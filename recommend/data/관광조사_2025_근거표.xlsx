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안내" sheetId="1" state="visible" r:id="rId3"/>
    <sheet name="Q1 연령 점수" sheetId="2" state="visible" r:id="rId4"/>
    <sheet name="연령별 활동" sheetId="3" state="visible" r:id="rId5"/>
    <sheet name="지역 보정" sheetId="4" state="visible" r:id="rId6"/>
    <sheet name="기타 기준값" sheetId="5" state="visible" r:id="rId7"/>
    <sheet name="C7~C10 외래 점수" sheetId="6" state="visible" r:id="rId8"/>
    <sheet name="외래 군집 분석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<sst xmlns="http://schemas.openxmlformats.org/spreadsheetml/2006/main" count="366" uniqueCount="207">
  <si>
    <r>
      <rPr>
        <b val="true"/>
        <sz val="12"/>
        <rFont val="Arial"/>
        <family val="0"/>
        <charset val="1"/>
      </rPr>
      <t xml:space="preserve">2025 </t>
    </r>
    <r>
      <rPr>
        <b val="true"/>
        <sz val="12"/>
        <rFont val="Noto Sans CJK SC"/>
        <family val="2"/>
      </rPr>
      <t xml:space="preserve">국민여행조사 근거표 — </t>
    </r>
    <r>
      <rPr>
        <b val="true"/>
        <sz val="12"/>
        <rFont val="Arial"/>
        <family val="0"/>
        <charset val="1"/>
      </rPr>
      <t xml:space="preserve">Tour Navigator </t>
    </r>
    <r>
      <rPr>
        <b val="true"/>
        <sz val="12"/>
        <rFont val="Noto Sans CJK SC"/>
        <family val="2"/>
      </rPr>
      <t xml:space="preserve">테마 추천 점수 산출용</t>
    </r>
  </si>
  <si>
    <r>
      <rPr>
        <sz val="10"/>
        <rFont val="Noto Sans CJK SC"/>
        <family val="2"/>
      </rPr>
      <t xml:space="preserve">출처</t>
    </r>
    <r>
      <rPr>
        <sz val="10"/>
        <rFont val="Arial"/>
        <family val="0"/>
        <charset val="1"/>
      </rPr>
      <t xml:space="preserve">: 2025 </t>
    </r>
    <r>
      <rPr>
        <sz val="10"/>
        <rFont val="Noto Sans CJK SC"/>
        <family val="2"/>
      </rPr>
      <t xml:space="preserve">국민여행조사 보고서 통계편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문화체육관광부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한국관광공사</t>
    </r>
    <r>
      <rPr>
        <sz val="10"/>
        <rFont val="Arial"/>
        <family val="0"/>
        <charset val="1"/>
      </rPr>
      <t xml:space="preserve">). </t>
    </r>
    <r>
      <rPr>
        <sz val="10"/>
        <rFont val="Noto Sans CJK SC"/>
        <family val="2"/>
      </rPr>
      <t xml:space="preserve">조사기간 </t>
    </r>
    <r>
      <rPr>
        <sz val="10"/>
        <rFont val="Arial"/>
        <family val="0"/>
        <charset val="1"/>
      </rPr>
      <t xml:space="preserve">2025.1~12, </t>
    </r>
    <r>
      <rPr>
        <sz val="10"/>
        <rFont val="Noto Sans CJK SC"/>
        <family val="2"/>
      </rPr>
      <t xml:space="preserve">만 </t>
    </r>
    <r>
      <rPr>
        <sz val="10"/>
        <rFont val="Arial"/>
        <family val="0"/>
        <charset val="1"/>
      </rPr>
      <t xml:space="preserve">15</t>
    </r>
    <r>
      <rPr>
        <sz val="10"/>
        <rFont val="Noto Sans CJK SC"/>
        <family val="2"/>
      </rPr>
      <t xml:space="preserve">세 이상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연간 </t>
    </r>
    <r>
      <rPr>
        <sz val="10"/>
        <rFont val="Arial"/>
        <family val="0"/>
        <charset val="1"/>
      </rPr>
      <t xml:space="preserve">51,600</t>
    </r>
    <r>
      <rPr>
        <sz val="10"/>
        <rFont val="Noto Sans CJK SC"/>
        <family val="2"/>
      </rPr>
      <t xml:space="preserve">명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관광여행 경험자 기준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단위 </t>
    </r>
    <r>
      <rPr>
        <sz val="10"/>
        <rFont val="Arial"/>
        <family val="0"/>
        <charset val="1"/>
      </rPr>
      <t xml:space="preserve">%.</t>
    </r>
  </si>
  <si>
    <r>
      <rPr>
        <sz val="10"/>
        <rFont val="Noto Sans CJK SC"/>
        <family val="2"/>
      </rPr>
      <t xml:space="preserve">파란 글씨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노란 칸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보고서에서 옮겨 적은 값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검정 글씨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수식</t>
    </r>
    <r>
      <rPr>
        <sz val="10"/>
        <rFont val="Arial"/>
        <family val="0"/>
        <charset val="1"/>
      </rPr>
      <t xml:space="preserve">(lift, </t>
    </r>
    <r>
      <rPr>
        <sz val="10"/>
        <rFont val="Noto Sans CJK SC"/>
        <family val="2"/>
      </rPr>
      <t xml:space="preserve">점수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보정</t>
    </r>
    <r>
      <rPr>
        <sz val="10"/>
        <rFont val="Arial"/>
        <family val="0"/>
        <charset val="1"/>
      </rPr>
      <t xml:space="preserve">).</t>
    </r>
  </si>
  <si>
    <r>
      <rPr>
        <sz val="10"/>
        <rFont val="Arial"/>
        <family val="0"/>
        <charset val="1"/>
      </rPr>
      <t xml:space="preserve">lift = </t>
    </r>
    <r>
      <rPr>
        <sz val="10"/>
        <rFont val="Noto Sans CJK SC"/>
        <family val="2"/>
      </rPr>
      <t xml:space="preserve">연령별 비율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전체 비율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점수 </t>
    </r>
    <r>
      <rPr>
        <sz val="10"/>
        <rFont val="Arial"/>
        <family val="0"/>
        <charset val="1"/>
      </rPr>
      <t xml:space="preserve">= 2×log₂(lift)</t>
    </r>
    <r>
      <rPr>
        <sz val="10"/>
        <rFont val="Noto Sans CJK SC"/>
        <family val="2"/>
      </rPr>
      <t xml:space="preserve">를 반올림해 </t>
    </r>
    <r>
      <rPr>
        <sz val="10"/>
        <rFont val="Arial"/>
        <family val="0"/>
        <charset val="1"/>
      </rPr>
      <t xml:space="preserve">0~3</t>
    </r>
    <r>
      <rPr>
        <sz val="10"/>
        <rFont val="Noto Sans CJK SC"/>
        <family val="2"/>
      </rPr>
      <t xml:space="preserve">으로 자름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「군집 산출 시나리오」 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장</t>
    </r>
    <r>
      <rPr>
        <sz val="10"/>
        <rFont val="Arial"/>
        <family val="0"/>
        <charset val="1"/>
      </rPr>
      <t xml:space="preserve">).</t>
    </r>
  </si>
  <si>
    <r>
      <rPr>
        <sz val="10"/>
        <rFont val="Noto Sans CJK SC"/>
        <family val="2"/>
      </rPr>
      <t xml:space="preserve">표 번호</t>
    </r>
    <r>
      <rPr>
        <sz val="10"/>
        <rFont val="Arial"/>
        <family val="0"/>
        <charset val="1"/>
      </rPr>
      <t xml:space="preserve">: 14-2-1 </t>
    </r>
    <r>
      <rPr>
        <sz val="10"/>
        <rFont val="Noto Sans CJK SC"/>
        <family val="2"/>
      </rPr>
      <t xml:space="preserve">동반자 유형 </t>
    </r>
    <r>
      <rPr>
        <sz val="10"/>
        <rFont val="Arial"/>
        <family val="0"/>
        <charset val="1"/>
      </rPr>
      <t xml:space="preserve">/ 14-1-1 </t>
    </r>
    <r>
      <rPr>
        <sz val="10"/>
        <rFont val="Noto Sans CJK SC"/>
        <family val="2"/>
      </rPr>
      <t xml:space="preserve">동반자 수 </t>
    </r>
    <r>
      <rPr>
        <sz val="10"/>
        <rFont val="Arial"/>
        <family val="0"/>
        <charset val="1"/>
      </rPr>
      <t xml:space="preserve">/ 15-1 </t>
    </r>
    <r>
      <rPr>
        <sz val="10"/>
        <rFont val="Noto Sans CJK SC"/>
        <family val="2"/>
      </rPr>
      <t xml:space="preserve">여행지 활동 </t>
    </r>
    <r>
      <rPr>
        <sz val="10"/>
        <rFont val="Arial"/>
        <family val="0"/>
        <charset val="1"/>
      </rPr>
      <t xml:space="preserve">/ 15-4 </t>
    </r>
    <r>
      <rPr>
        <sz val="10"/>
        <rFont val="Noto Sans CJK SC"/>
        <family val="2"/>
      </rPr>
      <t xml:space="preserve">주된 활동 </t>
    </r>
    <r>
      <rPr>
        <sz val="10"/>
        <rFont val="Arial"/>
        <family val="0"/>
        <charset val="1"/>
      </rPr>
      <t xml:space="preserve">/ 8-4 </t>
    </r>
    <r>
      <rPr>
        <sz val="10"/>
        <rFont val="Noto Sans CJK SC"/>
        <family val="2"/>
      </rPr>
      <t xml:space="preserve">관광여행 방문지 </t>
    </r>
    <r>
      <rPr>
        <sz val="10"/>
        <rFont val="Arial"/>
        <family val="0"/>
        <charset val="1"/>
      </rPr>
      <t xml:space="preserve">/ 7-2 </t>
    </r>
    <r>
      <rPr>
        <sz val="10"/>
        <rFont val="Noto Sans CJK SC"/>
        <family val="2"/>
      </rPr>
      <t xml:space="preserve">일정 </t>
    </r>
    <r>
      <rPr>
        <sz val="10"/>
        <rFont val="Arial"/>
        <family val="0"/>
        <charset val="1"/>
      </rPr>
      <t xml:space="preserve">/ 4-6 1</t>
    </r>
    <r>
      <rPr>
        <sz val="10"/>
        <rFont val="Noto Sans CJK SC"/>
        <family val="2"/>
      </rPr>
      <t xml:space="preserve">회 평균 지출 </t>
    </r>
    <r>
      <rPr>
        <sz val="10"/>
        <rFont val="Arial"/>
        <family val="0"/>
        <charset val="1"/>
      </rPr>
      <t xml:space="preserve">/ 10-2-1 </t>
    </r>
    <r>
      <rPr>
        <sz val="10"/>
        <rFont val="Noto Sans CJK SC"/>
        <family val="2"/>
      </rPr>
      <t xml:space="preserve">정보 획득 경로 </t>
    </r>
    <r>
      <rPr>
        <sz val="10"/>
        <rFont val="Arial"/>
        <family val="0"/>
        <charset val="1"/>
      </rPr>
      <t xml:space="preserve">/ 11-2-1 </t>
    </r>
    <r>
      <rPr>
        <sz val="10"/>
        <rFont val="Noto Sans CJK SC"/>
        <family val="2"/>
      </rPr>
      <t xml:space="preserve">참고 사이트 </t>
    </r>
    <r>
      <rPr>
        <sz val="10"/>
        <rFont val="Arial"/>
        <family val="0"/>
        <charset val="1"/>
      </rPr>
      <t xml:space="preserve">/ 16-1-1 </t>
    </r>
    <r>
      <rPr>
        <sz val="10"/>
        <rFont val="Noto Sans CJK SC"/>
        <family val="2"/>
      </rPr>
      <t xml:space="preserve">이동 수단 </t>
    </r>
    <r>
      <rPr>
        <sz val="10"/>
        <rFont val="Arial"/>
        <family val="0"/>
        <charset val="1"/>
      </rPr>
      <t xml:space="preserve">/ 14-5-1 </t>
    </r>
    <r>
      <rPr>
        <sz val="10"/>
        <rFont val="Noto Sans CJK SC"/>
        <family val="2"/>
      </rPr>
      <t xml:space="preserve">반려동물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</si>
  <si>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주의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보고서 </t>
    </r>
    <r>
      <rPr>
        <sz val="10"/>
        <rFont val="Arial"/>
        <family val="0"/>
        <charset val="1"/>
      </rPr>
      <t xml:space="preserve">PDF</t>
    </r>
    <r>
      <rPr>
        <sz val="10"/>
        <rFont val="Noto Sans CJK SC"/>
        <family val="2"/>
      </rPr>
      <t xml:space="preserve">에서 추출한 텍스트라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사용 전 원 보고서 표와 대조 권장</t>
    </r>
    <r>
      <rPr>
        <sz val="10"/>
        <rFont val="Arial"/>
        <family val="0"/>
        <charset val="1"/>
      </rPr>
      <t xml:space="preserve">. 16-1-1 </t>
    </r>
    <r>
      <rPr>
        <sz val="10"/>
        <rFont val="Noto Sans CJK SC"/>
        <family val="2"/>
      </rPr>
      <t xml:space="preserve">이동 수단은 열 순서가 모호해 자가용 비율만 사용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</si>
  <si>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외래객</t>
    </r>
    <r>
      <rPr>
        <sz val="10"/>
        <rFont val="Arial"/>
        <family val="0"/>
        <charset val="1"/>
      </rPr>
      <t xml:space="preserve">(C7~C10): 2025</t>
    </r>
    <r>
      <rPr>
        <sz val="10"/>
        <rFont val="Noto Sans CJK SC"/>
        <family val="2"/>
      </rPr>
      <t xml:space="preserve">년 외래관광객조사 원자료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사용자 제공</t>
    </r>
    <r>
      <rPr>
        <sz val="10"/>
        <rFont val="Arial"/>
        <family val="0"/>
        <charset val="1"/>
      </rPr>
      <t xml:space="preserve">). </t>
    </r>
    <r>
      <rPr>
        <sz val="10"/>
        <rFont val="Noto Sans CJK SC"/>
        <family val="2"/>
      </rPr>
      <t xml:space="preserve">여가 목적 방한객 </t>
    </r>
    <r>
      <rPr>
        <sz val="10"/>
        <rFont val="Arial"/>
        <family val="0"/>
        <charset val="1"/>
      </rPr>
      <t xml:space="preserve">10,471</t>
    </r>
    <r>
      <rPr>
        <sz val="10"/>
        <rFont val="Noto Sans CJK SC"/>
        <family val="2"/>
      </rPr>
      <t xml:space="preserve">명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연간 가중치</t>
    </r>
    <r>
      <rPr>
        <sz val="10"/>
        <rFont val="Arial"/>
        <family val="0"/>
        <charset val="1"/>
      </rPr>
      <t xml:space="preserve">(weight) </t>
    </r>
    <r>
      <rPr>
        <sz val="10"/>
        <rFont val="Noto Sans CJK SC"/>
        <family val="2"/>
      </rPr>
      <t xml:space="preserve">적용 가중 비율</t>
    </r>
    <r>
      <rPr>
        <sz val="10"/>
        <rFont val="Arial"/>
        <family val="0"/>
        <charset val="1"/>
      </rPr>
      <t xml:space="preserve">. C7 = </t>
    </r>
    <r>
      <rPr>
        <sz val="10"/>
        <rFont val="Noto Sans CJK SC"/>
        <family val="2"/>
      </rPr>
      <t xml:space="preserve">문</t>
    </r>
    <r>
      <rPr>
        <sz val="10"/>
        <rFont val="Arial"/>
        <family val="0"/>
        <charset val="1"/>
      </rPr>
      <t xml:space="preserve">8 K</t>
    </r>
    <r>
      <rPr>
        <sz val="10"/>
        <rFont val="Noto Sans CJK SC"/>
        <family val="2"/>
      </rPr>
      <t xml:space="preserve">팝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한류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촬영지 방문</t>
    </r>
    <r>
      <rPr>
        <sz val="10"/>
        <rFont val="Arial"/>
        <family val="0"/>
        <charset val="1"/>
      </rPr>
      <t xml:space="preserve">, C8 = </t>
    </r>
    <r>
      <rPr>
        <sz val="10"/>
        <rFont val="Noto Sans CJK SC"/>
        <family val="2"/>
      </rPr>
      <t xml:space="preserve">문</t>
    </r>
    <r>
      <rPr>
        <sz val="10"/>
        <rFont val="Arial"/>
        <family val="0"/>
        <charset val="1"/>
      </rPr>
      <t xml:space="preserve">8 </t>
    </r>
    <r>
      <rPr>
        <sz val="10"/>
        <rFont val="Noto Sans CJK SC"/>
        <family val="2"/>
      </rPr>
      <t xml:space="preserve">뷰티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미용 또는 치료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건강검진</t>
    </r>
    <r>
      <rPr>
        <sz val="10"/>
        <rFont val="Arial"/>
        <family val="0"/>
        <charset val="1"/>
      </rPr>
      <t xml:space="preserve">, C9·C10 = </t>
    </r>
    <r>
      <rPr>
        <sz val="10"/>
        <rFont val="Noto Sans CJK SC"/>
        <family val="2"/>
      </rPr>
      <t xml:space="preserve">가중 </t>
    </r>
    <r>
      <rPr>
        <sz val="10"/>
        <rFont val="Arial"/>
        <family val="0"/>
        <charset val="1"/>
      </rPr>
      <t xml:space="preserve">k-</t>
    </r>
    <r>
      <rPr>
        <sz val="10"/>
        <rFont val="Noto Sans CJK SC"/>
        <family val="2"/>
      </rPr>
      <t xml:space="preserve">평균</t>
    </r>
    <r>
      <rPr>
        <sz val="10"/>
        <rFont val="Arial"/>
        <family val="0"/>
        <charset val="1"/>
      </rPr>
      <t xml:space="preserve">(k=6) </t>
    </r>
    <r>
      <rPr>
        <sz val="10"/>
        <rFont val="Noto Sans CJK SC"/>
        <family val="2"/>
      </rPr>
      <t xml:space="preserve">소속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자연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지방형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역사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전통문화형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개 군집 합</t>
    </r>
    <r>
      <rPr>
        <sz val="10"/>
        <rFont val="Arial"/>
        <family val="0"/>
        <charset val="1"/>
      </rPr>
      <t xml:space="preserve">).</t>
    </r>
  </si>
  <si>
    <r>
      <rPr>
        <b val="true"/>
        <sz val="12"/>
        <color rgb="FF153B3D"/>
        <rFont val="Noto Sans CJK SC"/>
        <family val="2"/>
      </rPr>
      <t xml:space="preserve">연령 </t>
    </r>
    <r>
      <rPr>
        <b val="true"/>
        <sz val="12"/>
        <color rgb="FF153B3D"/>
        <rFont val="Arial"/>
        <family val="0"/>
        <charset val="1"/>
      </rPr>
      <t xml:space="preserve">× </t>
    </r>
    <r>
      <rPr>
        <b val="true"/>
        <sz val="12"/>
        <color rgb="FF153B3D"/>
        <rFont val="Noto Sans CJK SC"/>
        <family val="2"/>
      </rPr>
      <t xml:space="preserve">군집 대리 지표 → </t>
    </r>
    <r>
      <rPr>
        <b val="true"/>
        <sz val="12"/>
        <color rgb="FF153B3D"/>
        <rFont val="Arial"/>
        <family val="0"/>
        <charset val="1"/>
      </rPr>
      <t xml:space="preserve">Q1 </t>
    </r>
    <r>
      <rPr>
        <b val="true"/>
        <sz val="12"/>
        <color rgb="FF153B3D"/>
        <rFont val="Noto Sans CJK SC"/>
        <family val="2"/>
      </rPr>
      <t xml:space="preserve">점수</t>
    </r>
  </si>
  <si>
    <r>
      <rPr>
        <i val="true"/>
        <sz val="10"/>
        <color rgb="FF6B6B6B"/>
        <rFont val="Arial"/>
        <family val="0"/>
        <charset val="1"/>
      </rPr>
      <t xml:space="preserve">C1 </t>
    </r>
    <r>
      <rPr>
        <i val="true"/>
        <sz val="10"/>
        <color rgb="FF6B6B6B"/>
        <rFont val="Noto Sans CJK SC"/>
        <family val="2"/>
      </rPr>
      <t xml:space="preserve">친구 </t>
    </r>
    <r>
      <rPr>
        <i val="true"/>
        <sz val="10"/>
        <color rgb="FF6B6B6B"/>
        <rFont val="Arial"/>
        <family val="0"/>
        <charset val="1"/>
      </rPr>
      <t xml:space="preserve">/ C2 </t>
    </r>
    <r>
      <rPr>
        <i val="true"/>
        <sz val="10"/>
        <color rgb="FF6B6B6B"/>
        <rFont val="Noto Sans CJK SC"/>
        <family val="2"/>
      </rPr>
      <t xml:space="preserve">연인 </t>
    </r>
    <r>
      <rPr>
        <i val="true"/>
        <sz val="10"/>
        <color rgb="FF6B6B6B"/>
        <rFont val="Arial"/>
        <family val="0"/>
        <charset val="1"/>
      </rPr>
      <t xml:space="preserve">/ C3 </t>
    </r>
    <r>
      <rPr>
        <i val="true"/>
        <sz val="10"/>
        <color rgb="FF6B6B6B"/>
        <rFont val="Noto Sans CJK SC"/>
        <family val="2"/>
      </rPr>
      <t xml:space="preserve">자녀 </t>
    </r>
    <r>
      <rPr>
        <i val="true"/>
        <sz val="10"/>
        <color rgb="FF6B6B6B"/>
        <rFont val="Arial"/>
        <family val="0"/>
        <charset val="1"/>
      </rPr>
      <t xml:space="preserve">/ C4 </t>
    </r>
    <r>
      <rPr>
        <i val="true"/>
        <sz val="10"/>
        <color rgb="FF6B6B6B"/>
        <rFont val="Noto Sans CJK SC"/>
        <family val="2"/>
      </rPr>
      <t xml:space="preserve">친목 모임 </t>
    </r>
    <r>
      <rPr>
        <i val="true"/>
        <sz val="10"/>
        <color rgb="FF6B6B6B"/>
        <rFont val="Arial"/>
        <family val="0"/>
        <charset val="1"/>
      </rPr>
      <t xml:space="preserve">/ C5 </t>
    </r>
    <r>
      <rPr>
        <i val="true"/>
        <sz val="10"/>
        <color rgb="FF6B6B6B"/>
        <rFont val="Noto Sans CJK SC"/>
        <family val="2"/>
      </rPr>
      <t xml:space="preserve">혼자</t>
    </r>
    <r>
      <rPr>
        <i val="true"/>
        <sz val="10"/>
        <color rgb="FF6B6B6B"/>
        <rFont val="Arial"/>
        <family val="0"/>
        <charset val="1"/>
      </rPr>
      <t xml:space="preserve">(</t>
    </r>
    <r>
      <rPr>
        <i val="true"/>
        <sz val="10"/>
        <color rgb="FF6B6B6B"/>
        <rFont val="Noto Sans CJK SC"/>
        <family val="2"/>
      </rPr>
      <t xml:space="preserve">동반자 </t>
    </r>
    <r>
      <rPr>
        <i val="true"/>
        <sz val="10"/>
        <color rgb="FF6B6B6B"/>
        <rFont val="Arial"/>
        <family val="0"/>
        <charset val="1"/>
      </rPr>
      <t xml:space="preserve">1</t>
    </r>
    <r>
      <rPr>
        <i val="true"/>
        <sz val="10"/>
        <color rgb="FF6B6B6B"/>
        <rFont val="Noto Sans CJK SC"/>
        <family val="2"/>
      </rPr>
      <t xml:space="preserve">명</t>
    </r>
    <r>
      <rPr>
        <i val="true"/>
        <sz val="10"/>
        <color rgb="FF6B6B6B"/>
        <rFont val="Arial"/>
        <family val="0"/>
        <charset val="1"/>
      </rPr>
      <t xml:space="preserve">) / C6 </t>
    </r>
    <r>
      <rPr>
        <i val="true"/>
        <sz val="10"/>
        <color rgb="FF6B6B6B"/>
        <rFont val="Noto Sans CJK SC"/>
        <family val="2"/>
      </rPr>
      <t xml:space="preserve">음식이 주된 활동</t>
    </r>
    <r>
      <rPr>
        <i val="true"/>
        <sz val="10"/>
        <color rgb="FF6B6B6B"/>
        <rFont val="Arial"/>
        <family val="0"/>
        <charset val="1"/>
      </rPr>
      <t xml:space="preserve">. </t>
    </r>
    <r>
      <rPr>
        <i val="true"/>
        <sz val="10"/>
        <color rgb="FF6B6B6B"/>
        <rFont val="Noto Sans CJK SC"/>
        <family val="2"/>
      </rPr>
      <t xml:space="preserve">출처 </t>
    </r>
    <r>
      <rPr>
        <i val="true"/>
        <sz val="10"/>
        <color rgb="FF6B6B6B"/>
        <rFont val="Arial"/>
        <family val="0"/>
        <charset val="1"/>
      </rPr>
      <t xml:space="preserve">14-2-1, 14-1-1, 15-4</t>
    </r>
  </si>
  <si>
    <t xml:space="preserve">구분</t>
  </si>
  <si>
    <r>
      <rPr>
        <b val="true"/>
        <sz val="10"/>
        <color rgb="FFFFFFFF"/>
        <rFont val="Arial"/>
        <family val="0"/>
        <charset val="1"/>
      </rPr>
      <t xml:space="preserve">C1 </t>
    </r>
    <r>
      <rPr>
        <b val="true"/>
        <sz val="10"/>
        <color rgb="FFFFFFFF"/>
        <rFont val="Noto Sans CJK SC"/>
        <family val="2"/>
      </rPr>
      <t xml:space="preserve">친구</t>
    </r>
  </si>
  <si>
    <r>
      <rPr>
        <b val="true"/>
        <sz val="10"/>
        <color rgb="FFFFFFFF"/>
        <rFont val="Arial"/>
        <family val="0"/>
        <charset val="1"/>
      </rPr>
      <t xml:space="preserve">C2 </t>
    </r>
    <r>
      <rPr>
        <b val="true"/>
        <sz val="10"/>
        <color rgb="FFFFFFFF"/>
        <rFont val="Noto Sans CJK SC"/>
        <family val="2"/>
      </rPr>
      <t xml:space="preserve">연인</t>
    </r>
  </si>
  <si>
    <r>
      <rPr>
        <b val="true"/>
        <sz val="10"/>
        <color rgb="FFFFFFFF"/>
        <rFont val="Arial"/>
        <family val="0"/>
        <charset val="1"/>
      </rPr>
      <t xml:space="preserve">C3 </t>
    </r>
    <r>
      <rPr>
        <b val="true"/>
        <sz val="10"/>
        <color rgb="FFFFFFFF"/>
        <rFont val="Noto Sans CJK SC"/>
        <family val="2"/>
      </rPr>
      <t xml:space="preserve">자녀</t>
    </r>
  </si>
  <si>
    <r>
      <rPr>
        <b val="true"/>
        <sz val="10"/>
        <color rgb="FFFFFFFF"/>
        <rFont val="Arial"/>
        <family val="0"/>
        <charset val="1"/>
      </rPr>
      <t xml:space="preserve">C4 </t>
    </r>
    <r>
      <rPr>
        <b val="true"/>
        <sz val="10"/>
        <color rgb="FFFFFFFF"/>
        <rFont val="Noto Sans CJK SC"/>
        <family val="2"/>
      </rPr>
      <t xml:space="preserve">친목 모임</t>
    </r>
  </si>
  <si>
    <r>
      <rPr>
        <b val="true"/>
        <sz val="10"/>
        <color rgb="FFFFFFFF"/>
        <rFont val="Arial"/>
        <family val="0"/>
        <charset val="1"/>
      </rPr>
      <t xml:space="preserve">C5 </t>
    </r>
    <r>
      <rPr>
        <b val="true"/>
        <sz val="10"/>
        <color rgb="FFFFFFFF"/>
        <rFont val="Noto Sans CJK SC"/>
        <family val="2"/>
      </rPr>
      <t xml:space="preserve">혼자</t>
    </r>
  </si>
  <si>
    <r>
      <rPr>
        <b val="true"/>
        <sz val="10"/>
        <color rgb="FFFFFFFF"/>
        <rFont val="Arial"/>
        <family val="0"/>
        <charset val="1"/>
      </rPr>
      <t xml:space="preserve">C6 </t>
    </r>
    <r>
      <rPr>
        <b val="true"/>
        <sz val="10"/>
        <color rgb="FFFFFFFF"/>
        <rFont val="Noto Sans CJK SC"/>
        <family val="2"/>
      </rPr>
      <t xml:space="preserve">음식 주활동</t>
    </r>
  </si>
  <si>
    <t xml:space="preserve">전체</t>
  </si>
  <si>
    <r>
      <rPr>
        <b val="true"/>
        <sz val="10"/>
        <rFont val="Arial"/>
        <family val="0"/>
        <charset val="1"/>
      </rPr>
      <t xml:space="preserve">10</t>
    </r>
    <r>
      <rPr>
        <b val="true"/>
        <sz val="10"/>
        <rFont val="Noto Sans CJK SC"/>
        <family val="2"/>
      </rPr>
      <t xml:space="preserve">대</t>
    </r>
    <r>
      <rPr>
        <b val="true"/>
        <sz val="10"/>
        <rFont val="Arial"/>
        <family val="0"/>
        <charset val="1"/>
      </rPr>
      <t xml:space="preserve">(15~19)</t>
    </r>
  </si>
  <si>
    <r>
      <rPr>
        <b val="true"/>
        <sz val="10"/>
        <rFont val="Arial"/>
        <family val="0"/>
        <charset val="1"/>
      </rPr>
      <t xml:space="preserve">20</t>
    </r>
    <r>
      <rPr>
        <b val="true"/>
        <sz val="10"/>
        <rFont val="Noto Sans CJK SC"/>
        <family val="2"/>
      </rPr>
      <t xml:space="preserve">대</t>
    </r>
  </si>
  <si>
    <r>
      <rPr>
        <b val="true"/>
        <sz val="10"/>
        <rFont val="Arial"/>
        <family val="0"/>
        <charset val="1"/>
      </rPr>
      <t xml:space="preserve">30</t>
    </r>
    <r>
      <rPr>
        <b val="true"/>
        <sz val="10"/>
        <rFont val="Noto Sans CJK SC"/>
        <family val="2"/>
      </rPr>
      <t xml:space="preserve">대</t>
    </r>
  </si>
  <si>
    <r>
      <rPr>
        <b val="true"/>
        <sz val="10"/>
        <rFont val="Arial"/>
        <family val="0"/>
        <charset val="1"/>
      </rPr>
      <t xml:space="preserve">40</t>
    </r>
    <r>
      <rPr>
        <b val="true"/>
        <sz val="10"/>
        <rFont val="Noto Sans CJK SC"/>
        <family val="2"/>
      </rPr>
      <t xml:space="preserve">대</t>
    </r>
  </si>
  <si>
    <r>
      <rPr>
        <b val="true"/>
        <sz val="10"/>
        <rFont val="Arial"/>
        <family val="0"/>
        <charset val="1"/>
      </rPr>
      <t xml:space="preserve">50</t>
    </r>
    <r>
      <rPr>
        <b val="true"/>
        <sz val="10"/>
        <rFont val="Noto Sans CJK SC"/>
        <family val="2"/>
      </rPr>
      <t xml:space="preserve">대</t>
    </r>
  </si>
  <si>
    <r>
      <rPr>
        <b val="true"/>
        <sz val="10"/>
        <rFont val="Arial"/>
        <family val="0"/>
        <charset val="1"/>
      </rPr>
      <t xml:space="preserve">60</t>
    </r>
    <r>
      <rPr>
        <b val="true"/>
        <sz val="10"/>
        <rFont val="Noto Sans CJK SC"/>
        <family val="2"/>
      </rPr>
      <t xml:space="preserve">대</t>
    </r>
  </si>
  <si>
    <r>
      <rPr>
        <b val="true"/>
        <sz val="10"/>
        <rFont val="Arial"/>
        <family val="0"/>
        <charset val="1"/>
      </rPr>
      <t xml:space="preserve">70</t>
    </r>
    <r>
      <rPr>
        <b val="true"/>
        <sz val="10"/>
        <rFont val="Noto Sans CJK SC"/>
        <family val="2"/>
      </rPr>
      <t xml:space="preserve">대 이상</t>
    </r>
  </si>
  <si>
    <t xml:space="preserve">lift</t>
  </si>
  <si>
    <r>
      <rPr>
        <b val="true"/>
        <sz val="10"/>
        <color rgb="FFB8431C"/>
        <rFont val="Noto Sans CJK SC"/>
        <family val="2"/>
      </rPr>
      <t xml:space="preserve">점수 </t>
    </r>
    <r>
      <rPr>
        <b val="true"/>
        <sz val="10"/>
        <color rgb="FFB8431C"/>
        <rFont val="Arial"/>
        <family val="0"/>
        <charset val="1"/>
      </rPr>
      <t xml:space="preserve">= 2×log₂(lift) </t>
    </r>
    <r>
      <rPr>
        <b val="true"/>
        <sz val="10"/>
        <color rgb="FFB8431C"/>
        <rFont val="Noto Sans CJK SC"/>
        <family val="2"/>
      </rPr>
      <t xml:space="preserve">반올림</t>
    </r>
    <r>
      <rPr>
        <b val="true"/>
        <sz val="10"/>
        <color rgb="FFB8431C"/>
        <rFont val="Arial"/>
        <family val="0"/>
        <charset val="1"/>
      </rPr>
      <t xml:space="preserve">, 0~3</t>
    </r>
  </si>
  <si>
    <r>
      <rPr>
        <b val="true"/>
        <sz val="12"/>
        <color rgb="FF153B3D"/>
        <rFont val="Noto Sans CJK SC"/>
        <family val="2"/>
      </rPr>
      <t xml:space="preserve">연령 </t>
    </r>
    <r>
      <rPr>
        <b val="true"/>
        <sz val="12"/>
        <color rgb="FF153B3D"/>
        <rFont val="Arial"/>
        <family val="0"/>
        <charset val="1"/>
      </rPr>
      <t xml:space="preserve">× </t>
    </r>
    <r>
      <rPr>
        <b val="true"/>
        <sz val="12"/>
        <color rgb="FF153B3D"/>
        <rFont val="Noto Sans CJK SC"/>
        <family val="2"/>
      </rPr>
      <t xml:space="preserve">여행지 활동 </t>
    </r>
    <r>
      <rPr>
        <b val="true"/>
        <sz val="12"/>
        <color rgb="FF153B3D"/>
        <rFont val="Arial"/>
        <family val="0"/>
        <charset val="1"/>
      </rPr>
      <t xml:space="preserve">(</t>
    </r>
    <r>
      <rPr>
        <b val="true"/>
        <sz val="12"/>
        <color rgb="FF153B3D"/>
        <rFont val="Noto Sans CJK SC"/>
        <family val="2"/>
      </rPr>
      <t xml:space="preserve">중복응답</t>
    </r>
    <r>
      <rPr>
        <b val="true"/>
        <sz val="12"/>
        <color rgb="FF153B3D"/>
        <rFont val="Arial"/>
        <family val="0"/>
        <charset val="1"/>
      </rPr>
      <t xml:space="preserve">) → lift</t>
    </r>
  </si>
  <si>
    <r>
      <rPr>
        <i val="true"/>
        <sz val="10"/>
        <color rgb="FF6B6B6B"/>
        <rFont val="Noto Sans CJK SC"/>
        <family val="2"/>
      </rPr>
      <t xml:space="preserve">출처 </t>
    </r>
    <r>
      <rPr>
        <i val="true"/>
        <sz val="10"/>
        <color rgb="FF6B6B6B"/>
        <rFont val="Arial"/>
        <family val="0"/>
        <charset val="1"/>
      </rPr>
      <t xml:space="preserve">15-1. </t>
    </r>
    <r>
      <rPr>
        <i val="true"/>
        <sz val="10"/>
        <color rgb="FF6B6B6B"/>
        <rFont val="Noto Sans CJK SC"/>
        <family val="2"/>
      </rPr>
      <t xml:space="preserve">연령 차이가 큰 활동</t>
    </r>
    <r>
      <rPr>
        <i val="true"/>
        <sz val="10"/>
        <color rgb="FF6B6B6B"/>
        <rFont val="Arial"/>
        <family val="0"/>
        <charset val="1"/>
      </rPr>
      <t xml:space="preserve">: </t>
    </r>
    <r>
      <rPr>
        <i val="true"/>
        <sz val="10"/>
        <color rgb="FF6B6B6B"/>
        <rFont val="Noto Sans CJK SC"/>
        <family val="2"/>
      </rPr>
      <t xml:space="preserve">테마파크</t>
    </r>
    <r>
      <rPr>
        <i val="true"/>
        <sz val="10"/>
        <color rgb="FF6B6B6B"/>
        <rFont val="Arial"/>
        <family val="0"/>
        <charset val="1"/>
      </rPr>
      <t xml:space="preserve">·</t>
    </r>
    <r>
      <rPr>
        <i val="true"/>
        <sz val="10"/>
        <color rgb="FF6B6B6B"/>
        <rFont val="Noto Sans CJK SC"/>
        <family val="2"/>
      </rPr>
      <t xml:space="preserve">쇼핑</t>
    </r>
    <r>
      <rPr>
        <i val="true"/>
        <sz val="10"/>
        <color rgb="FF6B6B6B"/>
        <rFont val="Arial"/>
        <family val="0"/>
        <charset val="1"/>
      </rPr>
      <t xml:space="preserve">·</t>
    </r>
    <r>
      <rPr>
        <i val="true"/>
        <sz val="10"/>
        <color rgb="FF6B6B6B"/>
        <rFont val="Noto Sans CJK SC"/>
        <family val="2"/>
      </rPr>
      <t xml:space="preserve">촬영지</t>
    </r>
    <r>
      <rPr>
        <i val="true"/>
        <sz val="10"/>
        <color rgb="FF6B6B6B"/>
        <rFont val="Arial"/>
        <family val="0"/>
        <charset val="1"/>
      </rPr>
      <t xml:space="preserve">·</t>
    </r>
    <r>
      <rPr>
        <i val="true"/>
        <sz val="10"/>
        <color rgb="FF6B6B6B"/>
        <rFont val="Noto Sans CJK SC"/>
        <family val="2"/>
      </rPr>
      <t xml:space="preserve">온천</t>
    </r>
  </si>
  <si>
    <t xml:space="preserve">자연 및 풍경감상</t>
  </si>
  <si>
    <t xml:space="preserve">음식관광</t>
  </si>
  <si>
    <r>
      <rPr>
        <b val="true"/>
        <sz val="10"/>
        <color rgb="FFFFFFFF"/>
        <rFont val="Noto Sans CJK SC"/>
        <family val="2"/>
      </rPr>
      <t xml:space="preserve">휴식</t>
    </r>
    <r>
      <rPr>
        <b val="true"/>
        <sz val="10"/>
        <color rgb="FFFFFFFF"/>
        <rFont val="Arial"/>
        <family val="0"/>
        <charset val="1"/>
      </rPr>
      <t xml:space="preserve">/</t>
    </r>
    <r>
      <rPr>
        <b val="true"/>
        <sz val="10"/>
        <color rgb="FFFFFFFF"/>
        <rFont val="Noto Sans CJK SC"/>
        <family val="2"/>
      </rPr>
      <t xml:space="preserve">휴양</t>
    </r>
  </si>
  <si>
    <t xml:space="preserve">역사 유적지 방문</t>
  </si>
  <si>
    <r>
      <rPr>
        <b val="true"/>
        <sz val="10"/>
        <color rgb="FFFFFFFF"/>
        <rFont val="Noto Sans CJK SC"/>
        <family val="2"/>
      </rPr>
      <t xml:space="preserve">테마파크</t>
    </r>
    <r>
      <rPr>
        <b val="true"/>
        <sz val="10"/>
        <color rgb="FFFFFFFF"/>
        <rFont val="Arial"/>
        <family val="0"/>
        <charset val="1"/>
      </rPr>
      <t xml:space="preserve">·</t>
    </r>
    <r>
      <rPr>
        <b val="true"/>
        <sz val="10"/>
        <color rgb="FFFFFFFF"/>
        <rFont val="Noto Sans CJK SC"/>
        <family val="2"/>
      </rPr>
      <t xml:space="preserve">놀이시설</t>
    </r>
    <r>
      <rPr>
        <b val="true"/>
        <sz val="10"/>
        <color rgb="FFFFFFFF"/>
        <rFont val="Arial"/>
        <family val="0"/>
        <charset val="1"/>
      </rPr>
      <t xml:space="preserve">·</t>
    </r>
    <r>
      <rPr>
        <b val="true"/>
        <sz val="10"/>
        <color rgb="FFFFFFFF"/>
        <rFont val="Noto Sans CJK SC"/>
        <family val="2"/>
      </rPr>
      <t xml:space="preserve">동식물원</t>
    </r>
  </si>
  <si>
    <r>
      <rPr>
        <b val="true"/>
        <sz val="10"/>
        <color rgb="FFFFFFFF"/>
        <rFont val="Noto Sans CJK SC"/>
        <family val="2"/>
      </rPr>
      <t xml:space="preserve">야외 위락</t>
    </r>
    <r>
      <rPr>
        <b val="true"/>
        <sz val="10"/>
        <color rgb="FFFFFFFF"/>
        <rFont val="Arial"/>
        <family val="0"/>
        <charset val="1"/>
      </rPr>
      <t xml:space="preserve">·</t>
    </r>
    <r>
      <rPr>
        <b val="true"/>
        <sz val="10"/>
        <color rgb="FFFFFFFF"/>
        <rFont val="Noto Sans CJK SC"/>
        <family val="2"/>
      </rPr>
      <t xml:space="preserve">레포츠</t>
    </r>
  </si>
  <si>
    <t xml:space="preserve">쇼핑</t>
  </si>
  <si>
    <r>
      <rPr>
        <b val="true"/>
        <sz val="10"/>
        <color rgb="FFFFFFFF"/>
        <rFont val="Noto Sans CJK SC"/>
        <family val="2"/>
      </rPr>
      <t xml:space="preserve">지역 문화예술</t>
    </r>
    <r>
      <rPr>
        <b val="true"/>
        <sz val="10"/>
        <color rgb="FFFFFFFF"/>
        <rFont val="Arial"/>
        <family val="0"/>
        <charset val="1"/>
      </rPr>
      <t xml:space="preserve">·</t>
    </r>
    <r>
      <rPr>
        <b val="true"/>
        <sz val="10"/>
        <color rgb="FFFFFFFF"/>
        <rFont val="Noto Sans CJK SC"/>
        <family val="2"/>
      </rPr>
      <t xml:space="preserve">공연</t>
    </r>
    <r>
      <rPr>
        <b val="true"/>
        <sz val="10"/>
        <color rgb="FFFFFFFF"/>
        <rFont val="Arial"/>
        <family val="0"/>
        <charset val="1"/>
      </rPr>
      <t xml:space="preserve">·</t>
    </r>
    <r>
      <rPr>
        <b val="true"/>
        <sz val="10"/>
        <color rgb="FFFFFFFF"/>
        <rFont val="Noto Sans CJK SC"/>
        <family val="2"/>
      </rPr>
      <t xml:space="preserve">전시</t>
    </r>
  </si>
  <si>
    <r>
      <rPr>
        <b val="true"/>
        <sz val="10"/>
        <color rgb="FFFFFFFF"/>
        <rFont val="Noto Sans CJK SC"/>
        <family val="2"/>
      </rPr>
      <t xml:space="preserve">지역 축제</t>
    </r>
    <r>
      <rPr>
        <b val="true"/>
        <sz val="10"/>
        <color rgb="FFFFFFFF"/>
        <rFont val="Arial"/>
        <family val="0"/>
        <charset val="1"/>
      </rPr>
      <t xml:space="preserve">·</t>
    </r>
    <r>
      <rPr>
        <b val="true"/>
        <sz val="10"/>
        <color rgb="FFFFFFFF"/>
        <rFont val="Noto Sans CJK SC"/>
        <family val="2"/>
      </rPr>
      <t xml:space="preserve">이벤트</t>
    </r>
  </si>
  <si>
    <r>
      <rPr>
        <b val="true"/>
        <sz val="10"/>
        <color rgb="FFFFFFFF"/>
        <rFont val="Noto Sans CJK SC"/>
        <family val="2"/>
      </rPr>
      <t xml:space="preserve">공연장</t>
    </r>
    <r>
      <rPr>
        <b val="true"/>
        <sz val="10"/>
        <color rgb="FFFFFFFF"/>
        <rFont val="Arial"/>
        <family val="0"/>
        <charset val="1"/>
      </rPr>
      <t xml:space="preserve">·</t>
    </r>
    <r>
      <rPr>
        <b val="true"/>
        <sz val="10"/>
        <color rgb="FFFFFFFF"/>
        <rFont val="Noto Sans CJK SC"/>
        <family val="2"/>
      </rPr>
      <t xml:space="preserve">드라마</t>
    </r>
    <r>
      <rPr>
        <b val="true"/>
        <sz val="10"/>
        <color rgb="FFFFFFFF"/>
        <rFont val="Arial"/>
        <family val="0"/>
        <charset val="1"/>
      </rPr>
      <t xml:space="preserve">/</t>
    </r>
    <r>
      <rPr>
        <b val="true"/>
        <sz val="10"/>
        <color rgb="FFFFFFFF"/>
        <rFont val="Noto Sans CJK SC"/>
        <family val="2"/>
      </rPr>
      <t xml:space="preserve">영화 촬영지</t>
    </r>
  </si>
  <si>
    <r>
      <rPr>
        <b val="true"/>
        <sz val="10"/>
        <color rgb="FFFFFFFF"/>
        <rFont val="Noto Sans CJK SC"/>
        <family val="2"/>
      </rPr>
      <t xml:space="preserve">온천</t>
    </r>
    <r>
      <rPr>
        <b val="true"/>
        <sz val="10"/>
        <color rgb="FFFFFFFF"/>
        <rFont val="Arial"/>
        <family val="0"/>
        <charset val="1"/>
      </rPr>
      <t xml:space="preserve">/</t>
    </r>
    <r>
      <rPr>
        <b val="true"/>
        <sz val="10"/>
        <color rgb="FFFFFFFF"/>
        <rFont val="Noto Sans CJK SC"/>
        <family val="2"/>
      </rPr>
      <t xml:space="preserve">스파</t>
    </r>
  </si>
  <si>
    <r>
      <rPr>
        <b val="true"/>
        <sz val="12"/>
        <color rgb="FF153B3D"/>
        <rFont val="Noto Sans CJK SC"/>
        <family val="2"/>
      </rPr>
      <t xml:space="preserve">연령 </t>
    </r>
    <r>
      <rPr>
        <b val="true"/>
        <sz val="12"/>
        <color rgb="FF153B3D"/>
        <rFont val="Arial"/>
        <family val="0"/>
        <charset val="1"/>
      </rPr>
      <t xml:space="preserve">× </t>
    </r>
    <r>
      <rPr>
        <b val="true"/>
        <sz val="12"/>
        <color rgb="FF153B3D"/>
        <rFont val="Noto Sans CJK SC"/>
        <family val="2"/>
      </rPr>
      <t xml:space="preserve">관광여행 방문지 → 테마 지역 보정</t>
    </r>
  </si>
  <si>
    <r>
      <rPr>
        <i val="true"/>
        <sz val="10"/>
        <color rgb="FF6B6B6B"/>
        <rFont val="Noto Sans CJK SC"/>
        <family val="2"/>
      </rPr>
      <t xml:space="preserve">출처 </t>
    </r>
    <r>
      <rPr>
        <i val="true"/>
        <sz val="10"/>
        <color rgb="FF6B6B6B"/>
        <rFont val="Arial"/>
        <family val="0"/>
        <charset val="1"/>
      </rPr>
      <t xml:space="preserve">8-4. </t>
    </r>
    <r>
      <rPr>
        <i val="true"/>
        <sz val="10"/>
        <color rgb="FF6B6B6B"/>
        <rFont val="Noto Sans CJK SC"/>
        <family val="2"/>
      </rPr>
      <t xml:space="preserve">보정 </t>
    </r>
    <r>
      <rPr>
        <i val="true"/>
        <sz val="10"/>
        <color rgb="FF6B6B6B"/>
        <rFont val="Arial"/>
        <family val="0"/>
        <charset val="1"/>
      </rPr>
      <t xml:space="preserve">= 0.1×(lift−1), ±0.05 </t>
    </r>
    <r>
      <rPr>
        <i val="true"/>
        <sz val="10"/>
        <color rgb="FF6B6B6B"/>
        <rFont val="Noto Sans CJK SC"/>
        <family val="2"/>
      </rPr>
      <t xml:space="preserve">한도</t>
    </r>
  </si>
  <si>
    <t xml:space="preserve">서울</t>
  </si>
  <si>
    <t xml:space="preserve">부산</t>
  </si>
  <si>
    <t xml:space="preserve">대구</t>
  </si>
  <si>
    <t xml:space="preserve">인천</t>
  </si>
  <si>
    <t xml:space="preserve">광주</t>
  </si>
  <si>
    <t xml:space="preserve">대전</t>
  </si>
  <si>
    <t xml:space="preserve">울산</t>
  </si>
  <si>
    <t xml:space="preserve">세종</t>
  </si>
  <si>
    <t xml:space="preserve">경기</t>
  </si>
  <si>
    <t xml:space="preserve">강원</t>
  </si>
  <si>
    <t xml:space="preserve">충북</t>
  </si>
  <si>
    <t xml:space="preserve">충남</t>
  </si>
  <si>
    <t xml:space="preserve">전북</t>
  </si>
  <si>
    <t xml:space="preserve">전남</t>
  </si>
  <si>
    <t xml:space="preserve">경북</t>
  </si>
  <si>
    <t xml:space="preserve">경남</t>
  </si>
  <si>
    <t xml:space="preserve">제주</t>
  </si>
  <si>
    <r>
      <rPr>
        <b val="true"/>
        <sz val="10"/>
        <color rgb="FFB8431C"/>
        <rFont val="Noto Sans CJK SC"/>
        <family val="2"/>
      </rPr>
      <t xml:space="preserve">테마별 지역 </t>
    </r>
    <r>
      <rPr>
        <b val="true"/>
        <sz val="10"/>
        <color rgb="FFB8431C"/>
        <rFont val="Arial"/>
        <family val="0"/>
        <charset val="1"/>
      </rPr>
      <t xml:space="preserve">lift (</t>
    </r>
    <r>
      <rPr>
        <b val="true"/>
        <sz val="10"/>
        <color rgb="FFB8431C"/>
        <rFont val="Noto Sans CJK SC"/>
        <family val="2"/>
      </rPr>
      <t xml:space="preserve">테마 지역 비중 합 기준</t>
    </r>
    <r>
      <rPr>
        <b val="true"/>
        <sz val="10"/>
        <color rgb="FFB8431C"/>
        <rFont val="Arial"/>
        <family val="0"/>
        <charset val="1"/>
      </rPr>
      <t xml:space="preserve">)</t>
    </r>
  </si>
  <si>
    <r>
      <rPr>
        <b val="true"/>
        <sz val="10"/>
        <color rgb="FFFFFFFF"/>
        <rFont val="Noto Sans CJK SC"/>
        <family val="2"/>
      </rPr>
      <t xml:space="preserve">테마 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지역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</si>
  <si>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Arial"/>
        <family val="0"/>
        <charset val="1"/>
      </rPr>
      <t xml:space="preserve">10</t>
    </r>
    <r>
      <rPr>
        <b val="true"/>
        <sz val="10"/>
        <color rgb="FFFFFFFF"/>
        <rFont val="Noto Sans CJK SC"/>
        <family val="2"/>
      </rPr>
      <t xml:space="preserve">대</t>
    </r>
    <r>
      <rPr>
        <b val="true"/>
        <sz val="10"/>
        <color rgb="FFFFFFFF"/>
        <rFont val="Arial"/>
        <family val="0"/>
        <charset val="1"/>
      </rPr>
      <t xml:space="preserve">(15~19)</t>
    </r>
  </si>
  <si>
    <r>
      <rPr>
        <b val="true"/>
        <sz val="10"/>
        <color rgb="FFFFFFFF"/>
        <rFont val="Arial"/>
        <family val="0"/>
        <charset val="1"/>
      </rPr>
      <t xml:space="preserve">20</t>
    </r>
    <r>
      <rPr>
        <b val="true"/>
        <sz val="10"/>
        <color rgb="FFFFFFFF"/>
        <rFont val="Noto Sans CJK SC"/>
        <family val="2"/>
      </rPr>
      <t xml:space="preserve">대</t>
    </r>
  </si>
  <si>
    <r>
      <rPr>
        <b val="true"/>
        <sz val="10"/>
        <color rgb="FFFFFFFF"/>
        <rFont val="Arial"/>
        <family val="0"/>
        <charset val="1"/>
      </rPr>
      <t xml:space="preserve">30</t>
    </r>
    <r>
      <rPr>
        <b val="true"/>
        <sz val="10"/>
        <color rgb="FFFFFFFF"/>
        <rFont val="Noto Sans CJK SC"/>
        <family val="2"/>
      </rPr>
      <t xml:space="preserve">대</t>
    </r>
  </si>
  <si>
    <r>
      <rPr>
        <b val="true"/>
        <sz val="10"/>
        <color rgb="FFFFFFFF"/>
        <rFont val="Arial"/>
        <family val="0"/>
        <charset val="1"/>
      </rPr>
      <t xml:space="preserve">40</t>
    </r>
    <r>
      <rPr>
        <b val="true"/>
        <sz val="10"/>
        <color rgb="FFFFFFFF"/>
        <rFont val="Noto Sans CJK SC"/>
        <family val="2"/>
      </rPr>
      <t xml:space="preserve">대</t>
    </r>
  </si>
  <si>
    <r>
      <rPr>
        <b val="true"/>
        <sz val="10"/>
        <color rgb="FFFFFFFF"/>
        <rFont val="Arial"/>
        <family val="0"/>
        <charset val="1"/>
      </rPr>
      <t xml:space="preserve">50</t>
    </r>
    <r>
      <rPr>
        <b val="true"/>
        <sz val="10"/>
        <color rgb="FFFFFFFF"/>
        <rFont val="Noto Sans CJK SC"/>
        <family val="2"/>
      </rPr>
      <t xml:space="preserve">대</t>
    </r>
  </si>
  <si>
    <r>
      <rPr>
        <b val="true"/>
        <sz val="10"/>
        <color rgb="FFFFFFFF"/>
        <rFont val="Arial"/>
        <family val="0"/>
        <charset val="1"/>
      </rPr>
      <t xml:space="preserve">60</t>
    </r>
    <r>
      <rPr>
        <b val="true"/>
        <sz val="10"/>
        <color rgb="FFFFFFFF"/>
        <rFont val="Noto Sans CJK SC"/>
        <family val="2"/>
      </rPr>
      <t xml:space="preserve">대</t>
    </r>
  </si>
  <si>
    <r>
      <rPr>
        <b val="true"/>
        <sz val="10"/>
        <color rgb="FFFFFFFF"/>
        <rFont val="Arial"/>
        <family val="0"/>
        <charset val="1"/>
      </rPr>
      <t xml:space="preserve">70</t>
    </r>
    <r>
      <rPr>
        <b val="true"/>
        <sz val="10"/>
        <color rgb="FFFFFFFF"/>
        <rFont val="Noto Sans CJK SC"/>
        <family val="2"/>
      </rPr>
      <t xml:space="preserve">대 이상</t>
    </r>
  </si>
  <si>
    <r>
      <rPr>
        <b val="true"/>
        <sz val="10"/>
        <rFont val="Noto Sans CJK SC"/>
        <family val="2"/>
      </rPr>
      <t xml:space="preserve">왕과 사는 남자 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강원</t>
    </r>
    <r>
      <rPr>
        <b val="true"/>
        <sz val="10"/>
        <rFont val="Arial"/>
        <family val="0"/>
        <charset val="1"/>
      </rPr>
      <t xml:space="preserve">)</t>
    </r>
  </si>
  <si>
    <r>
      <rPr>
        <b val="true"/>
        <sz val="10"/>
        <rFont val="Noto Sans CJK SC"/>
        <family val="2"/>
      </rPr>
      <t xml:space="preserve">케이팝 데몬 헌터스 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서울</t>
    </r>
    <r>
      <rPr>
        <b val="true"/>
        <sz val="10"/>
        <rFont val="Arial"/>
        <family val="0"/>
        <charset val="1"/>
      </rPr>
      <t xml:space="preserve">)</t>
    </r>
  </si>
  <si>
    <r>
      <rPr>
        <b val="true"/>
        <sz val="10"/>
        <rFont val="Arial"/>
        <family val="0"/>
        <charset val="1"/>
      </rPr>
      <t xml:space="preserve">RESCENE Route (</t>
    </r>
    <r>
      <rPr>
        <b val="true"/>
        <sz val="10"/>
        <rFont val="Noto Sans CJK SC"/>
        <family val="2"/>
      </rPr>
      <t xml:space="preserve">경북</t>
    </r>
    <r>
      <rPr>
        <b val="true"/>
        <sz val="10"/>
        <rFont val="Arial"/>
        <family val="0"/>
        <charset val="1"/>
      </rPr>
      <t xml:space="preserve">·</t>
    </r>
    <r>
      <rPr>
        <b val="true"/>
        <sz val="10"/>
        <rFont val="Noto Sans CJK SC"/>
        <family val="2"/>
      </rPr>
      <t xml:space="preserve">경남</t>
    </r>
    <r>
      <rPr>
        <b val="true"/>
        <sz val="10"/>
        <rFont val="Arial"/>
        <family val="0"/>
        <charset val="1"/>
      </rPr>
      <t xml:space="preserve">)</t>
    </r>
  </si>
  <si>
    <r>
      <rPr>
        <b val="true"/>
        <sz val="10"/>
        <rFont val="Noto Sans CJK SC"/>
        <family val="2"/>
      </rPr>
      <t xml:space="preserve">제주 </t>
    </r>
    <r>
      <rPr>
        <b val="true"/>
        <sz val="10"/>
        <rFont val="Arial"/>
        <family val="0"/>
        <charset val="1"/>
      </rPr>
      <t xml:space="preserve">K-Drama (</t>
    </r>
    <r>
      <rPr>
        <b val="true"/>
        <sz val="10"/>
        <rFont val="Noto Sans CJK SC"/>
        <family val="2"/>
      </rPr>
      <t xml:space="preserve">제주</t>
    </r>
    <r>
      <rPr>
        <b val="true"/>
        <sz val="10"/>
        <rFont val="Arial"/>
        <family val="0"/>
        <charset val="1"/>
      </rPr>
      <t xml:space="preserve">)</t>
    </r>
  </si>
  <si>
    <r>
      <rPr>
        <b val="true"/>
        <sz val="10"/>
        <rFont val="Noto Sans CJK SC"/>
        <family val="2"/>
      </rPr>
      <t xml:space="preserve">부산 영화 기행 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부산</t>
    </r>
    <r>
      <rPr>
        <b val="true"/>
        <sz val="10"/>
        <rFont val="Arial"/>
        <family val="0"/>
        <charset val="1"/>
      </rPr>
      <t xml:space="preserve">)</t>
    </r>
  </si>
  <si>
    <r>
      <rPr>
        <b val="true"/>
        <sz val="10"/>
        <rFont val="Arial"/>
        <family val="0"/>
        <charset val="1"/>
      </rPr>
      <t xml:space="preserve">[</t>
    </r>
    <r>
      <rPr>
        <b val="true"/>
        <sz val="10"/>
        <rFont val="Noto Sans CJK SC"/>
        <family val="2"/>
      </rPr>
      <t xml:space="preserve">가상</t>
    </r>
    <r>
      <rPr>
        <b val="true"/>
        <sz val="10"/>
        <rFont val="Arial"/>
        <family val="0"/>
        <charset val="1"/>
      </rPr>
      <t xml:space="preserve">] </t>
    </r>
    <r>
      <rPr>
        <b val="true"/>
        <sz val="10"/>
        <rFont val="Noto Sans CJK SC"/>
        <family val="2"/>
      </rPr>
      <t xml:space="preserve">통영</t>
    </r>
    <r>
      <rPr>
        <b val="true"/>
        <sz val="10"/>
        <rFont val="Arial"/>
        <family val="0"/>
        <charset val="1"/>
      </rPr>
      <t xml:space="preserve">·</t>
    </r>
    <r>
      <rPr>
        <b val="true"/>
        <sz val="10"/>
        <rFont val="Noto Sans CJK SC"/>
        <family val="2"/>
      </rPr>
      <t xml:space="preserve">남해 섬 로맨스 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경남</t>
    </r>
    <r>
      <rPr>
        <b val="true"/>
        <sz val="10"/>
        <rFont val="Arial"/>
        <family val="0"/>
        <charset val="1"/>
      </rPr>
      <t xml:space="preserve">)</t>
    </r>
  </si>
  <si>
    <r>
      <rPr>
        <b val="true"/>
        <sz val="10"/>
        <rFont val="Arial"/>
        <family val="0"/>
        <charset val="1"/>
      </rPr>
      <t xml:space="preserve">[</t>
    </r>
    <r>
      <rPr>
        <b val="true"/>
        <sz val="10"/>
        <rFont val="Noto Sans CJK SC"/>
        <family val="2"/>
      </rPr>
      <t xml:space="preserve">가상</t>
    </r>
    <r>
      <rPr>
        <b val="true"/>
        <sz val="10"/>
        <rFont val="Arial"/>
        <family val="0"/>
        <charset val="1"/>
      </rPr>
      <t xml:space="preserve">] </t>
    </r>
    <r>
      <rPr>
        <b val="true"/>
        <sz val="10"/>
        <rFont val="Noto Sans CJK SC"/>
        <family val="2"/>
      </rPr>
      <t xml:space="preserve">키즈 애니 어드벤처 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경기</t>
    </r>
    <r>
      <rPr>
        <b val="true"/>
        <sz val="10"/>
        <rFont val="Arial"/>
        <family val="0"/>
        <charset val="1"/>
      </rPr>
      <t xml:space="preserve">·</t>
    </r>
    <r>
      <rPr>
        <b val="true"/>
        <sz val="10"/>
        <rFont val="Noto Sans CJK SC"/>
        <family val="2"/>
      </rPr>
      <t xml:space="preserve">강원</t>
    </r>
    <r>
      <rPr>
        <b val="true"/>
        <sz val="10"/>
        <rFont val="Arial"/>
        <family val="0"/>
        <charset val="1"/>
      </rPr>
      <t xml:space="preserve">)</t>
    </r>
  </si>
  <si>
    <r>
      <rPr>
        <b val="true"/>
        <sz val="10"/>
        <rFont val="Arial"/>
        <family val="0"/>
        <charset val="1"/>
      </rPr>
      <t xml:space="preserve">[</t>
    </r>
    <r>
      <rPr>
        <b val="true"/>
        <sz val="10"/>
        <rFont val="Noto Sans CJK SC"/>
        <family val="2"/>
      </rPr>
      <t xml:space="preserve">가상</t>
    </r>
    <r>
      <rPr>
        <b val="true"/>
        <sz val="10"/>
        <rFont val="Arial"/>
        <family val="0"/>
        <charset val="1"/>
      </rPr>
      <t xml:space="preserve">] </t>
    </r>
    <r>
      <rPr>
        <b val="true"/>
        <sz val="10"/>
        <rFont val="Noto Sans CJK SC"/>
        <family val="2"/>
      </rPr>
      <t xml:space="preserve">대구</t>
    </r>
    <r>
      <rPr>
        <b val="true"/>
        <sz val="10"/>
        <rFont val="Arial"/>
        <family val="0"/>
        <charset val="1"/>
      </rPr>
      <t xml:space="preserve">·</t>
    </r>
    <r>
      <rPr>
        <b val="true"/>
        <sz val="10"/>
        <rFont val="Noto Sans CJK SC"/>
        <family val="2"/>
      </rPr>
      <t xml:space="preserve">안동 먹방 예능 로드 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대구</t>
    </r>
    <r>
      <rPr>
        <b val="true"/>
        <sz val="10"/>
        <rFont val="Arial"/>
        <family val="0"/>
        <charset val="1"/>
      </rPr>
      <t xml:space="preserve">·</t>
    </r>
    <r>
      <rPr>
        <b val="true"/>
        <sz val="10"/>
        <rFont val="Noto Sans CJK SC"/>
        <family val="2"/>
      </rPr>
      <t xml:space="preserve">경북</t>
    </r>
    <r>
      <rPr>
        <b val="true"/>
        <sz val="10"/>
        <rFont val="Arial"/>
        <family val="0"/>
        <charset val="1"/>
      </rPr>
      <t xml:space="preserve">)</t>
    </r>
  </si>
  <si>
    <r>
      <rPr>
        <b val="true"/>
        <sz val="10"/>
        <color rgb="FFB8431C"/>
        <rFont val="Noto Sans CJK SC"/>
        <family val="2"/>
      </rPr>
      <t xml:space="preserve">지역 보정값 </t>
    </r>
    <r>
      <rPr>
        <b val="true"/>
        <sz val="10"/>
        <color rgb="FFB8431C"/>
        <rFont val="Arial"/>
        <family val="0"/>
        <charset val="1"/>
      </rPr>
      <t xml:space="preserve">(</t>
    </r>
    <r>
      <rPr>
        <b val="true"/>
        <sz val="10"/>
        <color rgb="FFB8431C"/>
        <rFont val="Noto Sans CJK SC"/>
        <family val="2"/>
      </rPr>
      <t xml:space="preserve">최종 점수에 더함</t>
    </r>
    <r>
      <rPr>
        <b val="true"/>
        <sz val="10"/>
        <color rgb="FFB8431C"/>
        <rFont val="Arial"/>
        <family val="0"/>
        <charset val="1"/>
      </rPr>
      <t xml:space="preserve">)</t>
    </r>
  </si>
  <si>
    <t xml:space="preserve">문항 기준값에 쓴 지표</t>
  </si>
  <si>
    <r>
      <rPr>
        <i val="true"/>
        <sz val="10"/>
        <color rgb="FF6B6B6B"/>
        <rFont val="Arial"/>
        <family val="0"/>
        <charset val="1"/>
      </rPr>
      <t xml:space="preserve">Q7 </t>
    </r>
    <r>
      <rPr>
        <i val="true"/>
        <sz val="10"/>
        <color rgb="FF6B6B6B"/>
        <rFont val="Noto Sans CJK SC"/>
        <family val="2"/>
      </rPr>
      <t xml:space="preserve">지출 구간</t>
    </r>
    <r>
      <rPr>
        <i val="true"/>
        <sz val="10"/>
        <color rgb="FF6B6B6B"/>
        <rFont val="Arial"/>
        <family val="0"/>
        <charset val="1"/>
      </rPr>
      <t xml:space="preserve">, Q9 </t>
    </r>
    <r>
      <rPr>
        <i val="true"/>
        <sz val="10"/>
        <color rgb="FF6B6B6B"/>
        <rFont val="Noto Sans CJK SC"/>
        <family val="2"/>
      </rPr>
      <t xml:space="preserve">정보 경로</t>
    </r>
    <r>
      <rPr>
        <i val="true"/>
        <sz val="10"/>
        <color rgb="FF6B6B6B"/>
        <rFont val="Arial"/>
        <family val="0"/>
        <charset val="1"/>
      </rPr>
      <t xml:space="preserve">, Q11 </t>
    </r>
    <r>
      <rPr>
        <i val="true"/>
        <sz val="10"/>
        <color rgb="FF6B6B6B"/>
        <rFont val="Noto Sans CJK SC"/>
        <family val="2"/>
      </rPr>
      <t xml:space="preserve">기간 기본값</t>
    </r>
    <r>
      <rPr>
        <i val="true"/>
        <sz val="10"/>
        <color rgb="FF6B6B6B"/>
        <rFont val="Arial"/>
        <family val="0"/>
        <charset val="1"/>
      </rPr>
      <t xml:space="preserve">, Q12 </t>
    </r>
    <r>
      <rPr>
        <i val="true"/>
        <sz val="10"/>
        <color rgb="FF6B6B6B"/>
        <rFont val="Noto Sans CJK SC"/>
        <family val="2"/>
      </rPr>
      <t xml:space="preserve">이동 기본값</t>
    </r>
    <r>
      <rPr>
        <i val="true"/>
        <sz val="10"/>
        <color rgb="FF6B6B6B"/>
        <rFont val="Arial"/>
        <family val="0"/>
        <charset val="1"/>
      </rPr>
      <t xml:space="preserve">, Q14 </t>
    </r>
    <r>
      <rPr>
        <i val="true"/>
        <sz val="10"/>
        <color rgb="FF6B6B6B"/>
        <rFont val="Noto Sans CJK SC"/>
        <family val="2"/>
      </rPr>
      <t xml:space="preserve">반려동물</t>
    </r>
  </si>
  <si>
    <r>
      <rPr>
        <b val="true"/>
        <sz val="10"/>
        <color rgb="FFB8431C"/>
        <rFont val="Noto Sans CJK SC"/>
        <family val="2"/>
      </rPr>
      <t xml:space="preserve">관광여행 일정 </t>
    </r>
    <r>
      <rPr>
        <b val="true"/>
        <sz val="10"/>
        <color rgb="FFB8431C"/>
        <rFont val="Arial"/>
        <family val="0"/>
        <charset val="1"/>
      </rPr>
      <t xml:space="preserve">(7-2) (%)</t>
    </r>
  </si>
  <si>
    <t xml:space="preserve">당일</t>
  </si>
  <si>
    <r>
      <rPr>
        <b val="true"/>
        <sz val="10"/>
        <color rgb="FFFFFFFF"/>
        <rFont val="Arial"/>
        <family val="0"/>
        <charset val="1"/>
      </rPr>
      <t xml:space="preserve">1</t>
    </r>
    <r>
      <rPr>
        <b val="true"/>
        <sz val="10"/>
        <color rgb="FFFFFFFF"/>
        <rFont val="Noto Sans CJK SC"/>
        <family val="2"/>
      </rPr>
      <t xml:space="preserve">박 </t>
    </r>
    <r>
      <rPr>
        <b val="true"/>
        <sz val="10"/>
        <color rgb="FFFFFFFF"/>
        <rFont val="Arial"/>
        <family val="0"/>
        <charset val="1"/>
      </rPr>
      <t xml:space="preserve">2</t>
    </r>
    <r>
      <rPr>
        <b val="true"/>
        <sz val="10"/>
        <color rgb="FFFFFFFF"/>
        <rFont val="Noto Sans CJK SC"/>
        <family val="2"/>
      </rPr>
      <t xml:space="preserve">일</t>
    </r>
  </si>
  <si>
    <r>
      <rPr>
        <b val="true"/>
        <sz val="10"/>
        <color rgb="FFFFFFFF"/>
        <rFont val="Arial"/>
        <family val="0"/>
        <charset val="1"/>
      </rPr>
      <t xml:space="preserve">2</t>
    </r>
    <r>
      <rPr>
        <b val="true"/>
        <sz val="10"/>
        <color rgb="FFFFFFFF"/>
        <rFont val="Noto Sans CJK SC"/>
        <family val="2"/>
      </rPr>
      <t xml:space="preserve">박 </t>
    </r>
    <r>
      <rPr>
        <b val="true"/>
        <sz val="10"/>
        <color rgb="FFFFFFFF"/>
        <rFont val="Arial"/>
        <family val="0"/>
        <charset val="1"/>
      </rPr>
      <t xml:space="preserve">3</t>
    </r>
    <r>
      <rPr>
        <b val="true"/>
        <sz val="10"/>
        <color rgb="FFFFFFFF"/>
        <rFont val="Noto Sans CJK SC"/>
        <family val="2"/>
      </rPr>
      <t xml:space="preserve">일</t>
    </r>
  </si>
  <si>
    <r>
      <rPr>
        <b val="true"/>
        <sz val="10"/>
        <color rgb="FFFFFFFF"/>
        <rFont val="Arial"/>
        <family val="0"/>
        <charset val="1"/>
      </rPr>
      <t xml:space="preserve">3</t>
    </r>
    <r>
      <rPr>
        <b val="true"/>
        <sz val="10"/>
        <color rgb="FFFFFFFF"/>
        <rFont val="Noto Sans CJK SC"/>
        <family val="2"/>
      </rPr>
      <t xml:space="preserve">박 이상</t>
    </r>
  </si>
  <si>
    <r>
      <rPr>
        <b val="true"/>
        <sz val="10"/>
        <color rgb="FFB8431C"/>
        <rFont val="Arial"/>
        <family val="0"/>
        <charset val="1"/>
      </rPr>
      <t xml:space="preserve">1</t>
    </r>
    <r>
      <rPr>
        <b val="true"/>
        <sz val="10"/>
        <color rgb="FFB8431C"/>
        <rFont val="Noto Sans CJK SC"/>
        <family val="2"/>
      </rPr>
      <t xml:space="preserve">회 평균 관광여행 지출액 </t>
    </r>
    <r>
      <rPr>
        <b val="true"/>
        <sz val="10"/>
        <color rgb="FFB8431C"/>
        <rFont val="Arial"/>
        <family val="0"/>
        <charset val="1"/>
      </rPr>
      <t xml:space="preserve">(4-6) (</t>
    </r>
    <r>
      <rPr>
        <b val="true"/>
        <sz val="10"/>
        <color rgb="FFB8431C"/>
        <rFont val="Noto Sans CJK SC"/>
        <family val="2"/>
      </rPr>
      <t xml:space="preserve">천 원</t>
    </r>
    <r>
      <rPr>
        <b val="true"/>
        <sz val="10"/>
        <color rgb="FFB8431C"/>
        <rFont val="Arial"/>
        <family val="0"/>
        <charset val="1"/>
      </rPr>
      <t xml:space="preserve">)</t>
    </r>
  </si>
  <si>
    <t xml:space="preserve">관광여행 전체</t>
  </si>
  <si>
    <t xml:space="preserve">관광 숙박</t>
  </si>
  <si>
    <t xml:space="preserve">관광 당일</t>
  </si>
  <si>
    <r>
      <rPr>
        <b val="true"/>
        <sz val="10"/>
        <color rgb="FFB8431C"/>
        <rFont val="Noto Sans CJK SC"/>
        <family val="2"/>
      </rPr>
      <t xml:space="preserve">정보 획득 경로 </t>
    </r>
    <r>
      <rPr>
        <b val="true"/>
        <sz val="10"/>
        <color rgb="FFB8431C"/>
        <rFont val="Arial"/>
        <family val="0"/>
        <charset val="1"/>
      </rPr>
      <t xml:space="preserve">(10-2-1, </t>
    </r>
    <r>
      <rPr>
        <b val="true"/>
        <sz val="10"/>
        <color rgb="FFB8431C"/>
        <rFont val="Noto Sans CJK SC"/>
        <family val="2"/>
      </rPr>
      <t xml:space="preserve">중복응답</t>
    </r>
    <r>
      <rPr>
        <b val="true"/>
        <sz val="10"/>
        <color rgb="FFB8431C"/>
        <rFont val="Arial"/>
        <family val="0"/>
        <charset val="1"/>
      </rPr>
      <t xml:space="preserve">) (%)</t>
    </r>
  </si>
  <si>
    <t xml:space="preserve">과거 방문 경험</t>
  </si>
  <si>
    <t xml:space="preserve">주변인</t>
  </si>
  <si>
    <r>
      <rPr>
        <b val="true"/>
        <sz val="10"/>
        <color rgb="FFFFFFFF"/>
        <rFont val="Noto Sans CJK SC"/>
        <family val="2"/>
      </rPr>
      <t xml:space="preserve">인터넷 사이트</t>
    </r>
    <r>
      <rPr>
        <b val="true"/>
        <sz val="10"/>
        <color rgb="FFFFFFFF"/>
        <rFont val="Arial"/>
        <family val="0"/>
        <charset val="1"/>
      </rPr>
      <t xml:space="preserve">/</t>
    </r>
    <r>
      <rPr>
        <b val="true"/>
        <sz val="10"/>
        <color rgb="FFFFFFFF"/>
        <rFont val="Noto Sans CJK SC"/>
        <family val="2"/>
      </rPr>
      <t xml:space="preserve">모바일 앱</t>
    </r>
  </si>
  <si>
    <t xml:space="preserve">정보 없이 방문</t>
  </si>
  <si>
    <r>
      <rPr>
        <b val="true"/>
        <sz val="10"/>
        <color rgb="FFB8431C"/>
        <rFont val="Noto Sans CJK SC"/>
        <family val="2"/>
      </rPr>
      <t xml:space="preserve">참고한 인터넷 사이트 </t>
    </r>
    <r>
      <rPr>
        <b val="true"/>
        <sz val="10"/>
        <color rgb="FFB8431C"/>
        <rFont val="Arial"/>
        <family val="0"/>
        <charset val="1"/>
      </rPr>
      <t xml:space="preserve">(11-2-1, </t>
    </r>
    <r>
      <rPr>
        <b val="true"/>
        <sz val="10"/>
        <color rgb="FFB8431C"/>
        <rFont val="Noto Sans CJK SC"/>
        <family val="2"/>
      </rPr>
      <t xml:space="preserve">중복응답</t>
    </r>
    <r>
      <rPr>
        <b val="true"/>
        <sz val="10"/>
        <color rgb="FFB8431C"/>
        <rFont val="Arial"/>
        <family val="0"/>
        <charset val="1"/>
      </rPr>
      <t xml:space="preserve">) (%)</t>
    </r>
  </si>
  <si>
    <t xml:space="preserve">SNS</t>
  </si>
  <si>
    <t xml:space="preserve">동영상 사이트</t>
  </si>
  <si>
    <r>
      <rPr>
        <b val="true"/>
        <sz val="10"/>
        <color rgb="FFFFFFFF"/>
        <rFont val="Noto Sans CJK SC"/>
        <family val="2"/>
      </rPr>
      <t xml:space="preserve">대화형 </t>
    </r>
    <r>
      <rPr>
        <b val="true"/>
        <sz val="10"/>
        <color rgb="FFFFFFFF"/>
        <rFont val="Arial"/>
        <family val="0"/>
        <charset val="1"/>
      </rPr>
      <t xml:space="preserve">AI</t>
    </r>
  </si>
  <si>
    <r>
      <rPr>
        <b val="true"/>
        <sz val="10"/>
        <color rgb="FFB8431C"/>
        <rFont val="Noto Sans CJK SC"/>
        <family val="2"/>
      </rPr>
      <t xml:space="preserve">자가용 이용 </t>
    </r>
    <r>
      <rPr>
        <b val="true"/>
        <sz val="10"/>
        <color rgb="FFB8431C"/>
        <rFont val="Arial"/>
        <family val="0"/>
        <charset val="1"/>
      </rPr>
      <t xml:space="preserve">(16-1-1, 1</t>
    </r>
    <r>
      <rPr>
        <b val="true"/>
        <sz val="10"/>
        <color rgb="FFB8431C"/>
        <rFont val="Noto Sans CJK SC"/>
        <family val="2"/>
      </rPr>
      <t xml:space="preserve">순위</t>
    </r>
    <r>
      <rPr>
        <b val="true"/>
        <sz val="10"/>
        <color rgb="FFB8431C"/>
        <rFont val="Arial"/>
        <family val="0"/>
        <charset val="1"/>
      </rPr>
      <t xml:space="preserve">) (%)</t>
    </r>
  </si>
  <si>
    <t xml:space="preserve">자가용</t>
  </si>
  <si>
    <r>
      <rPr>
        <sz val="10"/>
        <rFont val="Noto Sans CJK SC"/>
        <family val="2"/>
      </rPr>
      <t xml:space="preserve">반려동물 </t>
    </r>
    <r>
      <rPr>
        <sz val="10"/>
        <rFont val="Arial"/>
        <family val="0"/>
        <charset val="1"/>
      </rPr>
      <t xml:space="preserve">(14-5-1, </t>
    </r>
    <r>
      <rPr>
        <sz val="10"/>
        <rFont val="Noto Sans CJK SC"/>
        <family val="2"/>
      </rPr>
      <t xml:space="preserve">전체</t>
    </r>
    <r>
      <rPr>
        <sz val="10"/>
        <rFont val="Arial"/>
        <family val="0"/>
        <charset val="1"/>
      </rPr>
      <t xml:space="preserve">): </t>
    </r>
    <r>
      <rPr>
        <sz val="10"/>
        <rFont val="Noto Sans CJK SC"/>
        <family val="2"/>
      </rPr>
      <t xml:space="preserve">키우지 않음 </t>
    </r>
    <r>
      <rPr>
        <sz val="10"/>
        <rFont val="Arial"/>
        <family val="0"/>
        <charset val="1"/>
      </rPr>
      <t xml:space="preserve">75.8% / </t>
    </r>
    <r>
      <rPr>
        <sz val="10"/>
        <rFont val="Noto Sans CJK SC"/>
        <family val="2"/>
      </rPr>
      <t xml:space="preserve">키우지만 함께 가지 않음 </t>
    </r>
    <r>
      <rPr>
        <sz val="10"/>
        <rFont val="Arial"/>
        <family val="0"/>
        <charset val="1"/>
      </rPr>
      <t xml:space="preserve">21.2% / </t>
    </r>
    <r>
      <rPr>
        <sz val="10"/>
        <rFont val="Noto Sans CJK SC"/>
        <family val="2"/>
      </rPr>
      <t xml:space="preserve">함께 여행 </t>
    </r>
    <r>
      <rPr>
        <sz val="10"/>
        <rFont val="Arial"/>
        <family val="0"/>
        <charset val="1"/>
      </rPr>
      <t xml:space="preserve">3.0%</t>
    </r>
  </si>
  <si>
    <r>
      <rPr>
        <b val="true"/>
        <sz val="12"/>
        <color rgb="FF153B3D"/>
        <rFont val="Noto Sans CJK SC"/>
        <family val="2"/>
      </rPr>
      <t xml:space="preserve">외래객 군집 </t>
    </r>
    <r>
      <rPr>
        <b val="true"/>
        <sz val="12"/>
        <color rgb="FF153B3D"/>
        <rFont val="Arial"/>
        <family val="0"/>
        <charset val="1"/>
      </rPr>
      <t xml:space="preserve">C7~C10 — </t>
    </r>
    <r>
      <rPr>
        <b val="true"/>
        <sz val="12"/>
        <color rgb="FF153B3D"/>
        <rFont val="Noto Sans CJK SC"/>
        <family val="2"/>
      </rPr>
      <t xml:space="preserve">보기별 가중 비율 → </t>
    </r>
    <r>
      <rPr>
        <b val="true"/>
        <sz val="12"/>
        <color rgb="FF153B3D"/>
        <rFont val="Arial"/>
        <family val="0"/>
        <charset val="1"/>
      </rPr>
      <t xml:space="preserve">lift → </t>
    </r>
    <r>
      <rPr>
        <b val="true"/>
        <sz val="12"/>
        <color rgb="FF153B3D"/>
        <rFont val="Noto Sans CJK SC"/>
        <family val="2"/>
      </rPr>
      <t xml:space="preserve">점수</t>
    </r>
  </si>
  <si>
    <r>
      <rPr>
        <i val="true"/>
        <sz val="10"/>
        <color rgb="FF6B6B6B"/>
        <rFont val="Noto Sans CJK SC"/>
        <family val="2"/>
      </rPr>
      <t xml:space="preserve">출처</t>
    </r>
    <r>
      <rPr>
        <i val="true"/>
        <sz val="10"/>
        <color rgb="FF6B6B6B"/>
        <rFont val="Arial"/>
        <family val="0"/>
        <charset val="1"/>
      </rPr>
      <t xml:space="preserve">: 2025 </t>
    </r>
    <r>
      <rPr>
        <i val="true"/>
        <sz val="10"/>
        <color rgb="FF6B6B6B"/>
        <rFont val="Noto Sans CJK SC"/>
        <family val="2"/>
      </rPr>
      <t xml:space="preserve">외래관광객조사 원자료 </t>
    </r>
    <r>
      <rPr>
        <i val="true"/>
        <sz val="10"/>
        <color rgb="FF6B6B6B"/>
        <rFont val="Arial"/>
        <family val="0"/>
        <charset val="1"/>
      </rPr>
      <t xml:space="preserve">(</t>
    </r>
    <r>
      <rPr>
        <i val="true"/>
        <sz val="10"/>
        <color rgb="FF6B6B6B"/>
        <rFont val="Noto Sans CJK SC"/>
        <family val="2"/>
      </rPr>
      <t xml:space="preserve">여가 목적 </t>
    </r>
    <r>
      <rPr>
        <i val="true"/>
        <sz val="10"/>
        <color rgb="FF6B6B6B"/>
        <rFont val="Arial"/>
        <family val="0"/>
        <charset val="1"/>
      </rPr>
      <t xml:space="preserve">10,471</t>
    </r>
    <r>
      <rPr>
        <i val="true"/>
        <sz val="10"/>
        <color rgb="FF6B6B6B"/>
        <rFont val="Noto Sans CJK SC"/>
        <family val="2"/>
      </rPr>
      <t xml:space="preserve">명</t>
    </r>
    <r>
      <rPr>
        <i val="true"/>
        <sz val="10"/>
        <color rgb="FF6B6B6B"/>
        <rFont val="Arial"/>
        <family val="0"/>
        <charset val="1"/>
      </rPr>
      <t xml:space="preserve">, weight </t>
    </r>
    <r>
      <rPr>
        <i val="true"/>
        <sz val="10"/>
        <color rgb="FF6B6B6B"/>
        <rFont val="Noto Sans CJK SC"/>
        <family val="2"/>
      </rPr>
      <t xml:space="preserve">적용</t>
    </r>
    <r>
      <rPr>
        <i val="true"/>
        <sz val="10"/>
        <color rgb="FF6B6B6B"/>
        <rFont val="Arial"/>
        <family val="0"/>
        <charset val="1"/>
      </rPr>
      <t xml:space="preserve">). C7·C8 = </t>
    </r>
    <r>
      <rPr>
        <i val="true"/>
        <sz val="10"/>
        <color rgb="FF6B6B6B"/>
        <rFont val="Noto Sans CJK SC"/>
        <family val="2"/>
      </rPr>
      <t xml:space="preserve">활동 규칙</t>
    </r>
    <r>
      <rPr>
        <i val="true"/>
        <sz val="10"/>
        <color rgb="FF6B6B6B"/>
        <rFont val="Arial"/>
        <family val="0"/>
        <charset val="1"/>
      </rPr>
      <t xml:space="preserve">, C9·C10 = </t>
    </r>
    <r>
      <rPr>
        <i val="true"/>
        <sz val="10"/>
        <color rgb="FF6B6B6B"/>
        <rFont val="Noto Sans CJK SC"/>
        <family val="2"/>
      </rPr>
      <t xml:space="preserve">가중 </t>
    </r>
    <r>
      <rPr>
        <i val="true"/>
        <sz val="10"/>
        <color rgb="FF6B6B6B"/>
        <rFont val="Arial"/>
        <family val="0"/>
        <charset val="1"/>
      </rPr>
      <t xml:space="preserve">k-</t>
    </r>
    <r>
      <rPr>
        <i val="true"/>
        <sz val="10"/>
        <color rgb="FF6B6B6B"/>
        <rFont val="Noto Sans CJK SC"/>
        <family val="2"/>
      </rPr>
      <t xml:space="preserve">평균</t>
    </r>
    <r>
      <rPr>
        <i val="true"/>
        <sz val="10"/>
        <color rgb="FF6B6B6B"/>
        <rFont val="Arial"/>
        <family val="0"/>
        <charset val="1"/>
      </rPr>
      <t xml:space="preserve">(k=6) </t>
    </r>
    <r>
      <rPr>
        <i val="true"/>
        <sz val="10"/>
        <color rgb="FF6B6B6B"/>
        <rFont val="Noto Sans CJK SC"/>
        <family val="2"/>
      </rPr>
      <t xml:space="preserve">소속</t>
    </r>
  </si>
  <si>
    <t xml:space="preserve">보기</t>
  </si>
  <si>
    <r>
      <rPr>
        <b val="true"/>
        <sz val="10"/>
        <color rgb="FFFFFFFF"/>
        <rFont val="Arial"/>
        <family val="0"/>
        <charset val="1"/>
      </rPr>
      <t xml:space="preserve">C7 </t>
    </r>
    <r>
      <rPr>
        <b val="true"/>
        <sz val="10"/>
        <color rgb="FFFFFFFF"/>
        <rFont val="Noto Sans CJK SC"/>
        <family val="2"/>
      </rPr>
      <t xml:space="preserve">안에서</t>
    </r>
  </si>
  <si>
    <r>
      <rPr>
        <b val="true"/>
        <sz val="10"/>
        <color rgb="FFFFFFFF"/>
        <rFont val="Arial"/>
        <family val="0"/>
        <charset val="1"/>
      </rPr>
      <t xml:space="preserve">C8 </t>
    </r>
    <r>
      <rPr>
        <b val="true"/>
        <sz val="10"/>
        <color rgb="FFFFFFFF"/>
        <rFont val="Noto Sans CJK SC"/>
        <family val="2"/>
      </rPr>
      <t xml:space="preserve">안에서</t>
    </r>
  </si>
  <si>
    <r>
      <rPr>
        <b val="true"/>
        <sz val="10"/>
        <color rgb="FFFFFFFF"/>
        <rFont val="Arial"/>
        <family val="0"/>
        <charset val="1"/>
      </rPr>
      <t xml:space="preserve">C9 </t>
    </r>
    <r>
      <rPr>
        <b val="true"/>
        <sz val="10"/>
        <color rgb="FFFFFFFF"/>
        <rFont val="Noto Sans CJK SC"/>
        <family val="2"/>
      </rPr>
      <t xml:space="preserve">안에서</t>
    </r>
  </si>
  <si>
    <r>
      <rPr>
        <b val="true"/>
        <sz val="10"/>
        <color rgb="FFFFFFFF"/>
        <rFont val="Arial"/>
        <family val="0"/>
        <charset val="1"/>
      </rPr>
      <t xml:space="preserve">C10 </t>
    </r>
    <r>
      <rPr>
        <b val="true"/>
        <sz val="10"/>
        <color rgb="FFFFFFFF"/>
        <rFont val="Noto Sans CJK SC"/>
        <family val="2"/>
      </rPr>
      <t xml:space="preserve">안에서</t>
    </r>
  </si>
  <si>
    <t xml:space="preserve">C7 lift</t>
  </si>
  <si>
    <r>
      <rPr>
        <b val="true"/>
        <sz val="10"/>
        <color rgb="FFFFFFFF"/>
        <rFont val="Arial"/>
        <family val="0"/>
        <charset val="1"/>
      </rPr>
      <t xml:space="preserve">C7 </t>
    </r>
    <r>
      <rPr>
        <b val="true"/>
        <sz val="10"/>
        <color rgb="FFFFFFFF"/>
        <rFont val="Noto Sans CJK SC"/>
        <family val="2"/>
      </rPr>
      <t xml:space="preserve">점수</t>
    </r>
  </si>
  <si>
    <t xml:space="preserve">C8 lift</t>
  </si>
  <si>
    <r>
      <rPr>
        <b val="true"/>
        <sz val="10"/>
        <color rgb="FFFFFFFF"/>
        <rFont val="Arial"/>
        <family val="0"/>
        <charset val="1"/>
      </rPr>
      <t xml:space="preserve">C8 </t>
    </r>
    <r>
      <rPr>
        <b val="true"/>
        <sz val="10"/>
        <color rgb="FFFFFFFF"/>
        <rFont val="Noto Sans CJK SC"/>
        <family val="2"/>
      </rPr>
      <t xml:space="preserve">점수</t>
    </r>
  </si>
  <si>
    <t xml:space="preserve">C9 lift</t>
  </si>
  <si>
    <r>
      <rPr>
        <b val="true"/>
        <sz val="10"/>
        <color rgb="FFFFFFFF"/>
        <rFont val="Arial"/>
        <family val="0"/>
        <charset val="1"/>
      </rPr>
      <t xml:space="preserve">C9 </t>
    </r>
    <r>
      <rPr>
        <b val="true"/>
        <sz val="10"/>
        <color rgb="FFFFFFFF"/>
        <rFont val="Noto Sans CJK SC"/>
        <family val="2"/>
      </rPr>
      <t xml:space="preserve">점수</t>
    </r>
  </si>
  <si>
    <t xml:space="preserve">C10 lift</t>
  </si>
  <si>
    <r>
      <rPr>
        <b val="true"/>
        <sz val="10"/>
        <color rgb="FFFFFFFF"/>
        <rFont val="Arial"/>
        <family val="0"/>
        <charset val="1"/>
      </rPr>
      <t xml:space="preserve">C10 </t>
    </r>
    <r>
      <rPr>
        <b val="true"/>
        <sz val="10"/>
        <color rgb="FFFFFFFF"/>
        <rFont val="Noto Sans CJK SC"/>
        <family val="2"/>
      </rPr>
      <t xml:space="preserve">점수</t>
    </r>
  </si>
  <si>
    <t xml:space="preserve">Q1</t>
  </si>
  <si>
    <r>
      <rPr>
        <sz val="10"/>
        <rFont val="Arial"/>
        <family val="0"/>
        <charset val="1"/>
      </rPr>
      <t xml:space="preserve">10</t>
    </r>
    <r>
      <rPr>
        <sz val="10"/>
        <rFont val="Noto Sans CJK SC"/>
        <family val="2"/>
      </rPr>
      <t xml:space="preserve">대</t>
    </r>
  </si>
  <si>
    <r>
      <rPr>
        <sz val="10"/>
        <rFont val="Arial"/>
        <family val="0"/>
        <charset val="1"/>
      </rPr>
      <t xml:space="preserve">20</t>
    </r>
    <r>
      <rPr>
        <sz val="10"/>
        <rFont val="Noto Sans CJK SC"/>
        <family val="2"/>
      </rPr>
      <t xml:space="preserve">대</t>
    </r>
  </si>
  <si>
    <r>
      <rPr>
        <sz val="10"/>
        <rFont val="Arial"/>
        <family val="0"/>
        <charset val="1"/>
      </rPr>
      <t xml:space="preserve">30</t>
    </r>
    <r>
      <rPr>
        <sz val="10"/>
        <rFont val="Noto Sans CJK SC"/>
        <family val="2"/>
      </rPr>
      <t xml:space="preserve">대</t>
    </r>
  </si>
  <si>
    <r>
      <rPr>
        <sz val="10"/>
        <rFont val="Arial"/>
        <family val="0"/>
        <charset val="1"/>
      </rPr>
      <t xml:space="preserve">40</t>
    </r>
    <r>
      <rPr>
        <sz val="10"/>
        <rFont val="Noto Sans CJK SC"/>
        <family val="2"/>
      </rPr>
      <t xml:space="preserve">대</t>
    </r>
  </si>
  <si>
    <r>
      <rPr>
        <sz val="10"/>
        <rFont val="Arial"/>
        <family val="0"/>
        <charset val="1"/>
      </rPr>
      <t xml:space="preserve">50</t>
    </r>
    <r>
      <rPr>
        <sz val="10"/>
        <rFont val="Noto Sans CJK SC"/>
        <family val="2"/>
      </rPr>
      <t xml:space="preserve">대</t>
    </r>
  </si>
  <si>
    <r>
      <rPr>
        <sz val="10"/>
        <rFont val="Arial"/>
        <family val="0"/>
        <charset val="1"/>
      </rPr>
      <t xml:space="preserve">60</t>
    </r>
    <r>
      <rPr>
        <sz val="10"/>
        <rFont val="Noto Sans CJK SC"/>
        <family val="2"/>
      </rPr>
      <t xml:space="preserve">대 이상</t>
    </r>
  </si>
  <si>
    <t xml:space="preserve">Q2</t>
  </si>
  <si>
    <t xml:space="preserve">혼자</t>
  </si>
  <si>
    <t xml:space="preserve">친구와</t>
  </si>
  <si>
    <r>
      <rPr>
        <sz val="10"/>
        <rFont val="Noto Sans CJK SC"/>
        <family val="2"/>
      </rPr>
      <t xml:space="preserve">연인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배우자와</t>
    </r>
  </si>
  <si>
    <t xml:space="preserve">아이와 가족</t>
  </si>
  <si>
    <t xml:space="preserve">부모님과</t>
  </si>
  <si>
    <t xml:space="preserve">활동</t>
  </si>
  <si>
    <t xml:space="preserve">식도락</t>
  </si>
  <si>
    <t xml:space="preserve">자연경관</t>
  </si>
  <si>
    <r>
      <rPr>
        <sz val="10"/>
        <rFont val="Noto Sans CJK SC"/>
        <family val="2"/>
      </rPr>
      <t xml:space="preserve">휴양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웰니스</t>
    </r>
  </si>
  <si>
    <r>
      <rPr>
        <sz val="10"/>
        <rFont val="Noto Sans CJK SC"/>
        <family val="2"/>
      </rPr>
      <t xml:space="preserve">고궁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역사</t>
    </r>
  </si>
  <si>
    <t xml:space="preserve">전통문화체험</t>
  </si>
  <si>
    <r>
      <rPr>
        <sz val="10"/>
        <rFont val="Noto Sans CJK SC"/>
        <family val="2"/>
      </rPr>
      <t xml:space="preserve">박물관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전시</t>
    </r>
  </si>
  <si>
    <r>
      <rPr>
        <sz val="10"/>
        <rFont val="Arial"/>
        <family val="0"/>
        <charset val="1"/>
      </rPr>
      <t xml:space="preserve">K</t>
    </r>
    <r>
      <rPr>
        <sz val="10"/>
        <rFont val="Noto Sans CJK SC"/>
        <family val="2"/>
      </rPr>
      <t xml:space="preserve">팝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한류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촬영지</t>
    </r>
  </si>
  <si>
    <t xml:space="preserve">공연 관람</t>
  </si>
  <si>
    <t xml:space="preserve">지역 축제</t>
  </si>
  <si>
    <r>
      <rPr>
        <sz val="10"/>
        <rFont val="Noto Sans CJK SC"/>
        <family val="2"/>
      </rPr>
      <t xml:space="preserve">뷰티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미용</t>
    </r>
  </si>
  <si>
    <r>
      <rPr>
        <sz val="10"/>
        <rFont val="Noto Sans CJK SC"/>
        <family val="2"/>
      </rPr>
      <t xml:space="preserve">치료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건강검진</t>
    </r>
  </si>
  <si>
    <t xml:space="preserve">레포츠 참가</t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</si>
  <si>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일 지출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</si>
  <si>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일 </t>
    </r>
    <r>
      <rPr>
        <sz val="10"/>
        <rFont val="Arial"/>
        <family val="0"/>
        <charset val="1"/>
      </rPr>
      <t xml:space="preserve">$50 </t>
    </r>
    <r>
      <rPr>
        <sz val="10"/>
        <rFont val="Noto Sans CJK SC"/>
        <family val="2"/>
      </rPr>
      <t xml:space="preserve">이하</t>
    </r>
  </si>
  <si>
    <t xml:space="preserve">$50~100</t>
  </si>
  <si>
    <t xml:space="preserve">$100~300</t>
  </si>
  <si>
    <t xml:space="preserve">$300~500</t>
  </si>
  <si>
    <r>
      <rPr>
        <sz val="10"/>
        <rFont val="Arial"/>
        <family val="0"/>
        <charset val="1"/>
      </rPr>
      <t xml:space="preserve">$500 </t>
    </r>
    <r>
      <rPr>
        <sz val="10"/>
        <rFont val="Noto Sans CJK SC"/>
        <family val="2"/>
      </rPr>
      <t xml:space="preserve">초과</t>
    </r>
  </si>
  <si>
    <t xml:space="preserve">Q9</t>
  </si>
  <si>
    <r>
      <rPr>
        <sz val="10"/>
        <rFont val="Noto Sans CJK SC"/>
        <family val="2"/>
      </rPr>
      <t xml:space="preserve">재방문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가 본 경험</t>
    </r>
    <r>
      <rPr>
        <sz val="10"/>
        <rFont val="Arial"/>
        <family val="0"/>
        <charset val="1"/>
      </rPr>
      <t xml:space="preserve">)</t>
    </r>
  </si>
  <si>
    <t xml:space="preserve">지인 추천</t>
  </si>
  <si>
    <r>
      <rPr>
        <sz val="10"/>
        <rFont val="Noto Sans CJK SC"/>
        <family val="2"/>
      </rPr>
      <t xml:space="preserve">인터넷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앱</t>
    </r>
  </si>
  <si>
    <r>
      <rPr>
        <sz val="10"/>
        <rFont val="Arial"/>
        <family val="0"/>
        <charset val="1"/>
      </rPr>
      <t xml:space="preserve">SNS·</t>
    </r>
    <r>
      <rPr>
        <sz val="10"/>
        <rFont val="Noto Sans CJK SC"/>
        <family val="2"/>
      </rPr>
      <t xml:space="preserve">유튜브</t>
    </r>
  </si>
  <si>
    <t xml:space="preserve">여행형태</t>
  </si>
  <si>
    <t xml:space="preserve">개별여행</t>
  </si>
  <si>
    <t xml:space="preserve">단체여행</t>
  </si>
  <si>
    <t xml:space="preserve">성별</t>
  </si>
  <si>
    <t xml:space="preserve">여성</t>
  </si>
  <si>
    <r>
      <rPr>
        <b val="true"/>
        <sz val="10"/>
        <color rgb="FFB8431C"/>
        <rFont val="Noto Sans CJK SC"/>
        <family val="2"/>
      </rPr>
      <t xml:space="preserve">방문 지역 </t>
    </r>
    <r>
      <rPr>
        <b val="true"/>
        <sz val="10"/>
        <color rgb="FFB8431C"/>
        <rFont val="Arial"/>
        <family val="0"/>
        <charset val="1"/>
      </rPr>
      <t xml:space="preserve">(</t>
    </r>
    <r>
      <rPr>
        <b val="true"/>
        <sz val="10"/>
        <color rgb="FFB8431C"/>
        <rFont val="Noto Sans CJK SC"/>
        <family val="2"/>
      </rPr>
      <t xml:space="preserve">문</t>
    </r>
    <r>
      <rPr>
        <b val="true"/>
        <sz val="10"/>
        <color rgb="FFB8431C"/>
        <rFont val="Arial"/>
        <family val="0"/>
        <charset val="1"/>
      </rPr>
      <t xml:space="preserve">9-2) — </t>
    </r>
    <r>
      <rPr>
        <b val="true"/>
        <sz val="10"/>
        <color rgb="FFB8431C"/>
        <rFont val="Noto Sans CJK SC"/>
        <family val="2"/>
      </rPr>
      <t xml:space="preserve">군집별 </t>
    </r>
    <r>
      <rPr>
        <b val="true"/>
        <sz val="10"/>
        <color rgb="FFB8431C"/>
        <rFont val="Arial"/>
        <family val="0"/>
        <charset val="1"/>
      </rPr>
      <t xml:space="preserve">lift = </t>
    </r>
    <r>
      <rPr>
        <b val="true"/>
        <sz val="10"/>
        <color rgb="FFB8431C"/>
        <rFont val="Noto Sans CJK SC"/>
        <family val="2"/>
      </rPr>
      <t xml:space="preserve">외래객 지역 보정 근거</t>
    </r>
  </si>
  <si>
    <t xml:space="preserve">지역</t>
  </si>
  <si>
    <r>
      <rPr>
        <b val="true"/>
        <sz val="10"/>
        <color rgb="FFB8431C"/>
        <rFont val="Noto Sans CJK SC"/>
        <family val="2"/>
      </rPr>
      <t xml:space="preserve">국적별 군집 비중 </t>
    </r>
    <r>
      <rPr>
        <b val="true"/>
        <sz val="10"/>
        <color rgb="FFB8431C"/>
        <rFont val="Arial"/>
        <family val="0"/>
        <charset val="1"/>
      </rPr>
      <t xml:space="preserve">(</t>
    </r>
    <r>
      <rPr>
        <b val="true"/>
        <sz val="10"/>
        <color rgb="FFB8431C"/>
        <rFont val="Noto Sans CJK SC"/>
        <family val="2"/>
      </rPr>
      <t xml:space="preserve">표본 </t>
    </r>
    <r>
      <rPr>
        <b val="true"/>
        <sz val="10"/>
        <color rgb="FFB8431C"/>
        <rFont val="Arial"/>
        <family val="0"/>
        <charset val="1"/>
      </rPr>
      <t xml:space="preserve">150</t>
    </r>
    <r>
      <rPr>
        <b val="true"/>
        <sz val="10"/>
        <color rgb="FFB8431C"/>
        <rFont val="Noto Sans CJK SC"/>
        <family val="2"/>
      </rPr>
      <t xml:space="preserve">명 이상</t>
    </r>
    <r>
      <rPr>
        <b val="true"/>
        <sz val="10"/>
        <color rgb="FFB8431C"/>
        <rFont val="Arial"/>
        <family val="0"/>
        <charset val="1"/>
      </rPr>
      <t xml:space="preserve">) — </t>
    </r>
    <r>
      <rPr>
        <b val="true"/>
        <sz val="10"/>
        <color rgb="FFB8431C"/>
        <rFont val="Noto Sans CJK SC"/>
        <family val="2"/>
      </rPr>
      <t xml:space="preserve">앱 언어 사전 가산 근거</t>
    </r>
  </si>
  <si>
    <t xml:space="preserve">국적</t>
  </si>
  <si>
    <t xml:space="preserve">표본 수</t>
  </si>
  <si>
    <r>
      <rPr>
        <b val="true"/>
        <sz val="10"/>
        <color rgb="FFFFFFFF"/>
        <rFont val="Arial"/>
        <family val="0"/>
        <charset val="1"/>
      </rPr>
      <t xml:space="preserve">C7 </t>
    </r>
    <r>
      <rPr>
        <b val="true"/>
        <sz val="10"/>
        <color rgb="FFFFFFFF"/>
        <rFont val="Noto Sans CJK SC"/>
        <family val="2"/>
      </rPr>
      <t xml:space="preserve">비중</t>
    </r>
  </si>
  <si>
    <r>
      <rPr>
        <b val="true"/>
        <sz val="10"/>
        <color rgb="FFFFFFFF"/>
        <rFont val="Arial"/>
        <family val="0"/>
        <charset val="1"/>
      </rPr>
      <t xml:space="preserve">C8 </t>
    </r>
    <r>
      <rPr>
        <b val="true"/>
        <sz val="10"/>
        <color rgb="FFFFFFFF"/>
        <rFont val="Noto Sans CJK SC"/>
        <family val="2"/>
      </rPr>
      <t xml:space="preserve">비중</t>
    </r>
  </si>
  <si>
    <r>
      <rPr>
        <b val="true"/>
        <sz val="10"/>
        <color rgb="FFFFFFFF"/>
        <rFont val="Arial"/>
        <family val="0"/>
        <charset val="1"/>
      </rPr>
      <t xml:space="preserve">C9 </t>
    </r>
    <r>
      <rPr>
        <b val="true"/>
        <sz val="10"/>
        <color rgb="FFFFFFFF"/>
        <rFont val="Noto Sans CJK SC"/>
        <family val="2"/>
      </rPr>
      <t xml:space="preserve">비중</t>
    </r>
  </si>
  <si>
    <r>
      <rPr>
        <b val="true"/>
        <sz val="10"/>
        <color rgb="FFFFFFFF"/>
        <rFont val="Arial"/>
        <family val="0"/>
        <charset val="1"/>
      </rPr>
      <t xml:space="preserve">C10 </t>
    </r>
    <r>
      <rPr>
        <b val="true"/>
        <sz val="10"/>
        <color rgb="FFFFFFFF"/>
        <rFont val="Noto Sans CJK SC"/>
        <family val="2"/>
      </rPr>
      <t xml:space="preserve">비중</t>
    </r>
  </si>
  <si>
    <t xml:space="preserve">중국</t>
  </si>
  <si>
    <t xml:space="preserve">일본</t>
  </si>
  <si>
    <t xml:space="preserve">대만</t>
  </si>
  <si>
    <t xml:space="preserve">홍콩</t>
  </si>
  <si>
    <t xml:space="preserve">미국</t>
  </si>
  <si>
    <t xml:space="preserve">기타</t>
  </si>
  <si>
    <t xml:space="preserve">싱가포르</t>
  </si>
  <si>
    <t xml:space="preserve">베트남</t>
  </si>
  <si>
    <t xml:space="preserve">필리핀</t>
  </si>
  <si>
    <t xml:space="preserve">말레이시아</t>
  </si>
  <si>
    <t xml:space="preserve">인도네시아</t>
  </si>
  <si>
    <t xml:space="preserve">호주</t>
  </si>
  <si>
    <t xml:space="preserve">태국</t>
  </si>
  <si>
    <t xml:space="preserve">프랑스</t>
  </si>
  <si>
    <t xml:space="preserve">캐나다</t>
  </si>
  <si>
    <t xml:space="preserve">중동</t>
  </si>
  <si>
    <t xml:space="preserve">러시아</t>
  </si>
  <si>
    <t xml:space="preserve">독일</t>
  </si>
  <si>
    <t xml:space="preserve">영국</t>
  </si>
  <si>
    <r>
      <rPr>
        <b val="true"/>
        <sz val="12"/>
        <color rgb="FF153B3D"/>
        <rFont val="Noto Sans CJK SC"/>
        <family val="2"/>
      </rPr>
      <t xml:space="preserve">외래객 원자료 가중 </t>
    </r>
    <r>
      <rPr>
        <b val="true"/>
        <sz val="12"/>
        <color rgb="FF153B3D"/>
        <rFont val="Arial"/>
        <family val="0"/>
        <charset val="1"/>
      </rPr>
      <t xml:space="preserve">k-</t>
    </r>
    <r>
      <rPr>
        <b val="true"/>
        <sz val="12"/>
        <color rgb="FF153B3D"/>
        <rFont val="Noto Sans CJK SC"/>
        <family val="2"/>
      </rPr>
      <t xml:space="preserve">평균 </t>
    </r>
    <r>
      <rPr>
        <b val="true"/>
        <sz val="12"/>
        <color rgb="FF153B3D"/>
        <rFont val="Arial"/>
        <family val="0"/>
        <charset val="1"/>
      </rPr>
      <t xml:space="preserve">(k=6) </t>
    </r>
    <r>
      <rPr>
        <b val="true"/>
        <sz val="12"/>
        <color rgb="FF153B3D"/>
        <rFont val="Noto Sans CJK SC"/>
        <family val="2"/>
      </rPr>
      <t xml:space="preserve">군집 프로파일</t>
    </r>
  </si>
  <si>
    <r>
      <rPr>
        <i val="true"/>
        <sz val="10"/>
        <color rgb="FF6B6B6B"/>
        <rFont val="Noto Sans CJK SC"/>
        <family val="2"/>
      </rPr>
      <t xml:space="preserve">변수</t>
    </r>
    <r>
      <rPr>
        <i val="true"/>
        <sz val="10"/>
        <color rgb="FF6B6B6B"/>
        <rFont val="Arial"/>
        <family val="0"/>
        <charset val="1"/>
      </rPr>
      <t xml:space="preserve">: </t>
    </r>
    <r>
      <rPr>
        <i val="true"/>
        <sz val="10"/>
        <color rgb="FF6B6B6B"/>
        <rFont val="Noto Sans CJK SC"/>
        <family val="2"/>
      </rPr>
      <t xml:space="preserve">활동 </t>
    </r>
    <r>
      <rPr>
        <i val="true"/>
        <sz val="10"/>
        <color rgb="FF6B6B6B"/>
        <rFont val="Arial"/>
        <family val="0"/>
        <charset val="1"/>
      </rPr>
      <t xml:space="preserve">12, </t>
    </r>
    <r>
      <rPr>
        <i val="true"/>
        <sz val="10"/>
        <color rgb="FF6B6B6B"/>
        <rFont val="Noto Sans CJK SC"/>
        <family val="2"/>
      </rPr>
      <t xml:space="preserve">동반자 </t>
    </r>
    <r>
      <rPr>
        <i val="true"/>
        <sz val="10"/>
        <color rgb="FF6B6B6B"/>
        <rFont val="Arial"/>
        <family val="0"/>
        <charset val="1"/>
      </rPr>
      <t xml:space="preserve">4, </t>
    </r>
    <r>
      <rPr>
        <i val="true"/>
        <sz val="10"/>
        <color rgb="FF6B6B6B"/>
        <rFont val="Noto Sans CJK SC"/>
        <family val="2"/>
      </rPr>
      <t xml:space="preserve">연령 </t>
    </r>
    <r>
      <rPr>
        <i val="true"/>
        <sz val="10"/>
        <color rgb="FF6B6B6B"/>
        <rFont val="Arial"/>
        <family val="0"/>
        <charset val="1"/>
      </rPr>
      <t xml:space="preserve">6, </t>
    </r>
    <r>
      <rPr>
        <i val="true"/>
        <sz val="10"/>
        <color rgb="FF6B6B6B"/>
        <rFont val="Noto Sans CJK SC"/>
        <family val="2"/>
      </rPr>
      <t xml:space="preserve">단체여행</t>
    </r>
    <r>
      <rPr>
        <i val="true"/>
        <sz val="10"/>
        <color rgb="FF6B6B6B"/>
        <rFont val="Arial"/>
        <family val="0"/>
        <charset val="1"/>
      </rPr>
      <t xml:space="preserve">, 1</t>
    </r>
    <r>
      <rPr>
        <i val="true"/>
        <sz val="10"/>
        <color rgb="FF6B6B6B"/>
        <rFont val="Noto Sans CJK SC"/>
        <family val="2"/>
      </rPr>
      <t xml:space="preserve">일 </t>
    </r>
    <r>
      <rPr>
        <i val="true"/>
        <sz val="10"/>
        <color rgb="FF6B6B6B"/>
        <rFont val="Arial"/>
        <family val="0"/>
        <charset val="1"/>
      </rPr>
      <t xml:space="preserve">$500 </t>
    </r>
    <r>
      <rPr>
        <i val="true"/>
        <sz val="10"/>
        <color rgb="FF6B6B6B"/>
        <rFont val="Noto Sans CJK SC"/>
        <family val="2"/>
      </rPr>
      <t xml:space="preserve">초과</t>
    </r>
    <r>
      <rPr>
        <i val="true"/>
        <sz val="10"/>
        <color rgb="FF6B6B6B"/>
        <rFont val="Arial"/>
        <family val="0"/>
        <charset val="1"/>
      </rPr>
      <t xml:space="preserve">, </t>
    </r>
    <r>
      <rPr>
        <i val="true"/>
        <sz val="10"/>
        <color rgb="FF6B6B6B"/>
        <rFont val="Noto Sans CJK SC"/>
        <family val="2"/>
      </rPr>
      <t xml:space="preserve">지방 방문</t>
    </r>
    <r>
      <rPr>
        <i val="true"/>
        <sz val="10"/>
        <color rgb="FF6B6B6B"/>
        <rFont val="Arial"/>
        <family val="0"/>
        <charset val="1"/>
      </rPr>
      <t xml:space="preserve">. </t>
    </r>
    <r>
      <rPr>
        <i val="true"/>
        <sz val="10"/>
        <color rgb="FF6B6B6B"/>
        <rFont val="Noto Sans CJK SC"/>
        <family val="2"/>
      </rPr>
      <t xml:space="preserve">실루엣 </t>
    </r>
    <r>
      <rPr>
        <i val="true"/>
        <sz val="10"/>
        <color rgb="FF6B6B6B"/>
        <rFont val="Arial"/>
        <family val="0"/>
        <charset val="1"/>
      </rPr>
      <t xml:space="preserve">k=4~9: 4:0.115, 5:0.116, 6:0.115, 7:0.103, 8:0.107, 9:0.098</t>
    </r>
  </si>
  <si>
    <t xml:space="preserve">변수</t>
  </si>
  <si>
    <r>
      <rPr>
        <b val="true"/>
        <sz val="10"/>
        <color rgb="FFFFFFFF"/>
        <rFont val="Noto Sans CJK SC"/>
        <family val="2"/>
      </rPr>
      <t xml:space="preserve">뷰티</t>
    </r>
    <r>
      <rPr>
        <b val="true"/>
        <sz val="10"/>
        <color rgb="FFFFFFFF"/>
        <rFont val="Arial"/>
        <family val="0"/>
        <charset val="1"/>
      </rPr>
      <t xml:space="preserve">·</t>
    </r>
    <r>
      <rPr>
        <b val="true"/>
        <sz val="10"/>
        <color rgb="FFFFFFFF"/>
        <rFont val="Noto Sans CJK SC"/>
        <family val="2"/>
      </rPr>
      <t xml:space="preserve">의료 도시형</t>
    </r>
  </si>
  <si>
    <r>
      <rPr>
        <b val="true"/>
        <sz val="10"/>
        <color rgb="FFFFFFFF"/>
        <rFont val="Noto Sans CJK SC"/>
        <family val="2"/>
      </rPr>
      <t xml:space="preserve">박물관</t>
    </r>
    <r>
      <rPr>
        <b val="true"/>
        <sz val="10"/>
        <color rgb="FFFFFFFF"/>
        <rFont val="Arial"/>
        <family val="0"/>
        <charset val="1"/>
      </rPr>
      <t xml:space="preserve">·</t>
    </r>
    <r>
      <rPr>
        <b val="true"/>
        <sz val="10"/>
        <color rgb="FFFFFFFF"/>
        <rFont val="Noto Sans CJK SC"/>
        <family val="2"/>
      </rPr>
      <t xml:space="preserve">역사 단체 탐방형</t>
    </r>
  </si>
  <si>
    <r>
      <rPr>
        <b val="true"/>
        <sz val="10"/>
        <color rgb="FFFFFFFF"/>
        <rFont val="Noto Sans CJK SC"/>
        <family val="2"/>
      </rPr>
      <t xml:space="preserve">자연</t>
    </r>
    <r>
      <rPr>
        <b val="true"/>
        <sz val="10"/>
        <color rgb="FFFFFFFF"/>
        <rFont val="Arial"/>
        <family val="0"/>
        <charset val="1"/>
      </rPr>
      <t xml:space="preserve">·</t>
    </r>
    <r>
      <rPr>
        <b val="true"/>
        <sz val="10"/>
        <color rgb="FFFFFFFF"/>
        <rFont val="Noto Sans CJK SC"/>
        <family val="2"/>
      </rPr>
      <t xml:space="preserve">지방 여행형</t>
    </r>
  </si>
  <si>
    <r>
      <rPr>
        <b val="true"/>
        <sz val="10"/>
        <color rgb="FFFFFFFF"/>
        <rFont val="Noto Sans CJK SC"/>
        <family val="2"/>
      </rPr>
      <t xml:space="preserve">고궁</t>
    </r>
    <r>
      <rPr>
        <b val="true"/>
        <sz val="10"/>
        <color rgb="FFFFFFFF"/>
        <rFont val="Arial"/>
        <family val="0"/>
        <charset val="1"/>
      </rPr>
      <t xml:space="preserve">·</t>
    </r>
    <r>
      <rPr>
        <b val="true"/>
        <sz val="10"/>
        <color rgb="FFFFFFFF"/>
        <rFont val="Noto Sans CJK SC"/>
        <family val="2"/>
      </rPr>
      <t xml:space="preserve">역사 시니어형</t>
    </r>
  </si>
  <si>
    <r>
      <rPr>
        <b val="true"/>
        <sz val="10"/>
        <color rgb="FFFFFFFF"/>
        <rFont val="Arial"/>
        <family val="0"/>
        <charset val="1"/>
      </rPr>
      <t xml:space="preserve">K</t>
    </r>
    <r>
      <rPr>
        <b val="true"/>
        <sz val="10"/>
        <color rgb="FFFFFFFF"/>
        <rFont val="Noto Sans CJK SC"/>
        <family val="2"/>
      </rPr>
      <t xml:space="preserve">팝</t>
    </r>
    <r>
      <rPr>
        <b val="true"/>
        <sz val="10"/>
        <color rgb="FFFFFFFF"/>
        <rFont val="Arial"/>
        <family val="0"/>
        <charset val="1"/>
      </rPr>
      <t xml:space="preserve">·</t>
    </r>
    <r>
      <rPr>
        <b val="true"/>
        <sz val="10"/>
        <color rgb="FFFFFFFF"/>
        <rFont val="Noto Sans CJK SC"/>
        <family val="2"/>
      </rPr>
      <t xml:space="preserve">공연 청년형</t>
    </r>
  </si>
  <si>
    <t xml:space="preserve">전통문화 체험형</t>
  </si>
  <si>
    <t xml:space="preserve">비중</t>
  </si>
  <si>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일 지출</t>
    </r>
    <r>
      <rPr>
        <b val="true"/>
        <sz val="10"/>
        <rFont val="Arial"/>
        <family val="0"/>
        <charset val="1"/>
      </rPr>
      <t xml:space="preserve">($)</t>
    </r>
  </si>
  <si>
    <r>
      <rPr>
        <sz val="10"/>
        <rFont val="Noto Sans CJK SC"/>
        <family val="2"/>
      </rPr>
      <t xml:space="preserve">동반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혼자</t>
    </r>
  </si>
  <si>
    <r>
      <rPr>
        <sz val="10"/>
        <rFont val="Noto Sans CJK SC"/>
        <family val="2"/>
      </rPr>
      <t xml:space="preserve">동반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배우자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파트너</t>
    </r>
  </si>
  <si>
    <r>
      <rPr>
        <sz val="10"/>
        <rFont val="Noto Sans CJK SC"/>
        <family val="2"/>
      </rPr>
      <t xml:space="preserve">동반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자녀</t>
    </r>
  </si>
  <si>
    <r>
      <rPr>
        <sz val="10"/>
        <rFont val="Noto Sans CJK SC"/>
        <family val="2"/>
      </rPr>
      <t xml:space="preserve">동반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친구</t>
    </r>
  </si>
  <si>
    <r>
      <rPr>
        <sz val="10"/>
        <rFont val="Noto Sans CJK SC"/>
        <family val="2"/>
      </rPr>
      <t xml:space="preserve">연령</t>
    </r>
    <r>
      <rPr>
        <sz val="10"/>
        <rFont val="Arial"/>
        <family val="0"/>
        <charset val="1"/>
      </rPr>
      <t xml:space="preserve">_10</t>
    </r>
    <r>
      <rPr>
        <sz val="10"/>
        <rFont val="Noto Sans CJK SC"/>
        <family val="2"/>
      </rPr>
      <t xml:space="preserve">대</t>
    </r>
  </si>
  <si>
    <r>
      <rPr>
        <sz val="10"/>
        <rFont val="Noto Sans CJK SC"/>
        <family val="2"/>
      </rPr>
      <t xml:space="preserve">연령</t>
    </r>
    <r>
      <rPr>
        <sz val="10"/>
        <rFont val="Arial"/>
        <family val="0"/>
        <charset val="1"/>
      </rPr>
      <t xml:space="preserve">_20</t>
    </r>
    <r>
      <rPr>
        <sz val="10"/>
        <rFont val="Noto Sans CJK SC"/>
        <family val="2"/>
      </rPr>
      <t xml:space="preserve">대</t>
    </r>
  </si>
  <si>
    <r>
      <rPr>
        <sz val="10"/>
        <rFont val="Noto Sans CJK SC"/>
        <family val="2"/>
      </rPr>
      <t xml:space="preserve">연령</t>
    </r>
    <r>
      <rPr>
        <sz val="10"/>
        <rFont val="Arial"/>
        <family val="0"/>
        <charset val="1"/>
      </rPr>
      <t xml:space="preserve">_30</t>
    </r>
    <r>
      <rPr>
        <sz val="10"/>
        <rFont val="Noto Sans CJK SC"/>
        <family val="2"/>
      </rPr>
      <t xml:space="preserve">대</t>
    </r>
  </si>
  <si>
    <r>
      <rPr>
        <sz val="10"/>
        <rFont val="Noto Sans CJK SC"/>
        <family val="2"/>
      </rPr>
      <t xml:space="preserve">연령</t>
    </r>
    <r>
      <rPr>
        <sz val="10"/>
        <rFont val="Arial"/>
        <family val="0"/>
        <charset val="1"/>
      </rPr>
      <t xml:space="preserve">_40</t>
    </r>
    <r>
      <rPr>
        <sz val="10"/>
        <rFont val="Noto Sans CJK SC"/>
        <family val="2"/>
      </rPr>
      <t xml:space="preserve">대</t>
    </r>
  </si>
  <si>
    <r>
      <rPr>
        <sz val="10"/>
        <rFont val="Noto Sans CJK SC"/>
        <family val="2"/>
      </rPr>
      <t xml:space="preserve">연령</t>
    </r>
    <r>
      <rPr>
        <sz val="10"/>
        <rFont val="Arial"/>
        <family val="0"/>
        <charset val="1"/>
      </rPr>
      <t xml:space="preserve">_50</t>
    </r>
    <r>
      <rPr>
        <sz val="10"/>
        <rFont val="Noto Sans CJK SC"/>
        <family val="2"/>
      </rPr>
      <t xml:space="preserve">대</t>
    </r>
  </si>
  <si>
    <r>
      <rPr>
        <sz val="10"/>
        <rFont val="Noto Sans CJK SC"/>
        <family val="2"/>
      </rPr>
      <t xml:space="preserve">연령</t>
    </r>
    <r>
      <rPr>
        <sz val="10"/>
        <rFont val="Arial"/>
        <family val="0"/>
        <charset val="1"/>
      </rPr>
      <t xml:space="preserve">_60</t>
    </r>
    <r>
      <rPr>
        <sz val="10"/>
        <rFont val="Noto Sans CJK SC"/>
        <family val="2"/>
      </rPr>
      <t xml:space="preserve">대</t>
    </r>
    <r>
      <rPr>
        <sz val="10"/>
        <rFont val="Arial"/>
        <family val="0"/>
        <charset val="1"/>
      </rPr>
      <t xml:space="preserve">+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</si>
  <si>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일</t>
    </r>
    <r>
      <rPr>
        <sz val="10"/>
        <rFont val="Arial"/>
        <family val="0"/>
        <charset val="1"/>
      </rPr>
      <t xml:space="preserve">$500+</t>
    </r>
  </si>
  <si>
    <t xml:space="preserve">지방방문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</si>
</sst>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"/>
    <numFmt numFmtId="166" formatCode="General"/>
    <numFmt numFmtId="167" formatCode="\+0.000;\-0.000;0.000"/>
    <numFmt numFmtId="168" formatCode="0.0%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b val="true"/>
      <sz val="12"/>
      <name val="Noto Sans CJK SC"/>
      <family val="2"/>
    </font>
    <font>
      <sz val="10"/>
      <name val="Noto Sans CJK SC"/>
      <family val="2"/>
    </font>
    <font>
      <sz val="10"/>
      <name val="Arial"/>
      <family val="0"/>
      <charset val="1"/>
    </font>
    <font>
      <b val="true"/>
      <sz val="12"/>
      <color rgb="FF153B3D"/>
      <name val="Noto Sans CJK SC"/>
      <family val="2"/>
    </font>
    <font>
      <b val="true"/>
      <sz val="12"/>
      <color rgb="FF153B3D"/>
      <name val="Arial"/>
      <family val="0"/>
      <charset val="1"/>
    </font>
    <font>
      <i val="true"/>
      <sz val="10"/>
      <color rgb="FF6B6B6B"/>
      <name val="Arial"/>
      <family val="0"/>
      <charset val="1"/>
    </font>
    <font>
      <i val="true"/>
      <sz val="10"/>
      <color rgb="FF6B6B6B"/>
      <name val="Noto Sans CJK SC"/>
      <family val="2"/>
    </font>
    <font>
      <b val="true"/>
      <sz val="10"/>
      <color rgb="FFFFFFFF"/>
      <name val="Noto Sans CJK SC"/>
      <family val="2"/>
    </font>
    <font>
      <b val="true"/>
      <sz val="10"/>
      <color rgb="FFFFFFFF"/>
      <name val="Arial"/>
      <family val="0"/>
      <charset val="1"/>
    </font>
    <font>
      <b val="true"/>
      <sz val="10"/>
      <name val="Noto Sans CJK SC"/>
      <family val="2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B8431C"/>
      <name val="Arial"/>
      <family val="0"/>
      <charset val="1"/>
    </font>
    <font>
      <b val="true"/>
      <sz val="10"/>
      <color rgb="FFB8431C"/>
      <name val="Noto Sans CJK SC"/>
      <family val="2"/>
    </font>
  </fonts>
  <fills count="4">
    <fill>
      <patternFill patternType="none"/>
    </fill>
    <fill>
      <patternFill patternType="gray125"/>
    </fill>
    <fill>
      <patternFill patternType="solid">
        <fgColor rgb="FF153B3D"/>
        <bgColor rgb="FF003366"/>
      </patternFill>
    </fill>
    <fill>
      <patternFill patternType="solid">
        <fgColor rgb="FFFFF4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8AA"/>
      </left>
      <right style="thin">
        <color rgb="FFBFB8AA"/>
      </right>
      <top style="thin">
        <color rgb="FFBFB8AA"/>
      </top>
      <bottom style="thin">
        <color rgb="FFBFB8A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3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8AA"/>
      <rgbColor rgb="FF808080"/>
      <rgbColor rgb="FF9999FF"/>
      <rgbColor rgb="FF993366"/>
      <rgbColor rgb="FFFFF4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6B6B"/>
      <rgbColor rgb="FF969696"/>
      <rgbColor rgb="FF003366"/>
      <rgbColor rgb="FF339966"/>
      <rgbColor rgb="FF003300"/>
      <rgbColor rgb="FF333300"/>
      <rgbColor rgb="FFB8431C"/>
      <rgbColor rgb="FF993366"/>
      <rgbColor rgb="FF333399"/>
      <rgbColor rgb="FF153B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0"/>
  </cols>
  <sheetData>
    <row r="1" customFormat="false" ht="19.4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4" customFormat="false" ht="15" hidden="false" customHeight="false" outlineLevel="0" collapsed="false">
      <c r="A4" s="3" t="s">
        <v>3</v>
      </c>
    </row>
    <row r="5" customFormat="false" ht="29.85" hidden="false" customHeight="false" outlineLevel="0" collapsed="false">
      <c r="A5" s="2" t="s">
        <v>4</v>
      </c>
    </row>
    <row r="6" customFormat="false" ht="15" hidden="false" customHeight="false" outlineLevel="0" collapsed="false">
      <c r="A6" s="2" t="s">
        <v>5</v>
      </c>
    </row>
    <row r="8" customFormat="false" ht="15" hidden="false" customHeight="false" outlineLevel="0" collapsed="false">
      <c r="A8" s="4" t="s">
        <v>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7" min="2" style="0" width="13"/>
  </cols>
  <sheetData>
    <row r="1" customFormat="false" ht="19.4" hidden="false" customHeight="false" outlineLevel="0" collapsed="false">
      <c r="A1" s="5" t="s">
        <v>7</v>
      </c>
    </row>
    <row r="2" customFormat="false" ht="15" hidden="false" customHeight="false" outlineLevel="0" collapsed="false">
      <c r="A2" s="6" t="s">
        <v>8</v>
      </c>
    </row>
    <row r="4" customFormat="false" ht="15" hidden="false" customHeight="false" outlineLevel="0" collapsed="false">
      <c r="A4" s="7" t="s">
        <v>9</v>
      </c>
      <c r="B4" s="8" t="s">
        <v>10</v>
      </c>
      <c r="C4" s="8" t="s">
        <v>11</v>
      </c>
      <c r="D4" s="8" t="s">
        <v>12</v>
      </c>
      <c r="E4" s="8" t="s">
        <v>13</v>
      </c>
      <c r="F4" s="8" t="s">
        <v>14</v>
      </c>
      <c r="G4" s="8" t="s">
        <v>15</v>
      </c>
    </row>
    <row r="5" customFormat="false" ht="15" hidden="false" customHeight="false" outlineLevel="0" collapsed="false">
      <c r="A5" s="9" t="s">
        <v>16</v>
      </c>
      <c r="B5" s="10" t="n">
        <v>28.1</v>
      </c>
      <c r="C5" s="10" t="n">
        <v>8.1</v>
      </c>
      <c r="D5" s="10" t="n">
        <v>32.1</v>
      </c>
      <c r="E5" s="10" t="n">
        <v>4.4</v>
      </c>
      <c r="F5" s="10" t="n">
        <v>3.1</v>
      </c>
      <c r="G5" s="10" t="n">
        <v>12.4</v>
      </c>
    </row>
    <row r="6" customFormat="false" ht="15" hidden="false" customHeight="false" outlineLevel="0" collapsed="false">
      <c r="A6" s="11" t="s">
        <v>17</v>
      </c>
      <c r="B6" s="10" t="n">
        <v>40.9</v>
      </c>
      <c r="C6" s="10" t="n">
        <v>3.4</v>
      </c>
      <c r="D6" s="10" t="n">
        <v>0</v>
      </c>
      <c r="E6" s="10" t="n">
        <v>0.4</v>
      </c>
      <c r="F6" s="10" t="n">
        <v>1.8</v>
      </c>
      <c r="G6" s="10" t="n">
        <v>13.4</v>
      </c>
    </row>
    <row r="7" customFormat="false" ht="15" hidden="false" customHeight="false" outlineLevel="0" collapsed="false">
      <c r="A7" s="11" t="s">
        <v>18</v>
      </c>
      <c r="B7" s="10" t="n">
        <v>55.3</v>
      </c>
      <c r="C7" s="10" t="n">
        <v>28.6</v>
      </c>
      <c r="D7" s="10" t="n">
        <v>1.2</v>
      </c>
      <c r="E7" s="10" t="n">
        <v>0.6</v>
      </c>
      <c r="F7" s="10" t="n">
        <v>3.6</v>
      </c>
      <c r="G7" s="10" t="n">
        <v>12.3</v>
      </c>
    </row>
    <row r="8" customFormat="false" ht="15" hidden="false" customHeight="false" outlineLevel="0" collapsed="false">
      <c r="A8" s="11" t="s">
        <v>19</v>
      </c>
      <c r="B8" s="10" t="n">
        <v>24.9</v>
      </c>
      <c r="C8" s="10" t="n">
        <v>17.8</v>
      </c>
      <c r="D8" s="10" t="n">
        <v>33.9</v>
      </c>
      <c r="E8" s="10" t="n">
        <v>1.1</v>
      </c>
      <c r="F8" s="10" t="n">
        <v>3.7</v>
      </c>
      <c r="G8" s="10" t="n">
        <v>12.3</v>
      </c>
    </row>
    <row r="9" customFormat="false" ht="15" hidden="false" customHeight="false" outlineLevel="0" collapsed="false">
      <c r="A9" s="11" t="s">
        <v>20</v>
      </c>
      <c r="B9" s="10" t="n">
        <v>15.6</v>
      </c>
      <c r="C9" s="10" t="n">
        <v>1.8</v>
      </c>
      <c r="D9" s="10" t="n">
        <v>63.1</v>
      </c>
      <c r="E9" s="10" t="n">
        <v>2.1</v>
      </c>
      <c r="F9" s="10" t="n">
        <v>2.6</v>
      </c>
      <c r="G9" s="10" t="n">
        <v>11.3</v>
      </c>
    </row>
    <row r="10" customFormat="false" ht="15" hidden="false" customHeight="false" outlineLevel="0" collapsed="false">
      <c r="A10" s="11" t="s">
        <v>21</v>
      </c>
      <c r="B10" s="10" t="n">
        <v>24.1</v>
      </c>
      <c r="C10" s="10" t="n">
        <v>0.6</v>
      </c>
      <c r="D10" s="10" t="n">
        <v>34.2</v>
      </c>
      <c r="E10" s="10" t="n">
        <v>5.7</v>
      </c>
      <c r="F10" s="10" t="n">
        <v>2.5</v>
      </c>
      <c r="G10" s="10" t="n">
        <v>12.7</v>
      </c>
    </row>
    <row r="11" customFormat="false" ht="15" hidden="false" customHeight="false" outlineLevel="0" collapsed="false">
      <c r="A11" s="11" t="s">
        <v>22</v>
      </c>
      <c r="B11" s="10" t="n">
        <v>29.2</v>
      </c>
      <c r="C11" s="10" t="n">
        <v>0.3</v>
      </c>
      <c r="D11" s="10" t="n">
        <v>21.4</v>
      </c>
      <c r="E11" s="10" t="n">
        <v>8.8</v>
      </c>
      <c r="F11" s="10" t="n">
        <v>3.1</v>
      </c>
      <c r="G11" s="10" t="n">
        <v>12.4</v>
      </c>
    </row>
    <row r="12" customFormat="false" ht="15" hidden="false" customHeight="false" outlineLevel="0" collapsed="false">
      <c r="A12" s="11" t="s">
        <v>23</v>
      </c>
      <c r="B12" s="10" t="n">
        <v>19.3</v>
      </c>
      <c r="C12" s="10" t="n">
        <v>0.1</v>
      </c>
      <c r="D12" s="10" t="n">
        <v>37.8</v>
      </c>
      <c r="E12" s="10" t="n">
        <v>13.3</v>
      </c>
      <c r="F12" s="10" t="n">
        <v>3.4</v>
      </c>
      <c r="G12" s="10" t="n">
        <v>13.7</v>
      </c>
    </row>
    <row r="14" customFormat="false" ht="15" hidden="false" customHeight="false" outlineLevel="0" collapsed="false">
      <c r="A14" s="12" t="s">
        <v>24</v>
      </c>
    </row>
    <row r="15" customFormat="false" ht="15" hidden="false" customHeight="false" outlineLevel="0" collapsed="false">
      <c r="A15" s="11" t="s">
        <v>17</v>
      </c>
      <c r="B15" s="13" t="n">
        <f aca="false">IF(B$5=0,0,B6/B$5)</f>
        <v>1.45551601423488</v>
      </c>
      <c r="C15" s="13" t="n">
        <f aca="false">IF(C$5=0,0,C6/C$5)</f>
        <v>0.419753086419753</v>
      </c>
      <c r="D15" s="13" t="n">
        <f aca="false">IF(D$5=0,0,D6/D$5)</f>
        <v>0</v>
      </c>
      <c r="E15" s="13" t="n">
        <f aca="false">IF(E$5=0,0,E6/E$5)</f>
        <v>0.0909090909090909</v>
      </c>
      <c r="F15" s="13" t="n">
        <f aca="false">IF(F$5=0,0,F6/F$5)</f>
        <v>0.580645161290323</v>
      </c>
      <c r="G15" s="13" t="n">
        <f aca="false">IF(G$5=0,0,G6/G$5)</f>
        <v>1.08064516129032</v>
      </c>
    </row>
    <row r="16" customFormat="false" ht="15" hidden="false" customHeight="false" outlineLevel="0" collapsed="false">
      <c r="A16" s="11" t="s">
        <v>18</v>
      </c>
      <c r="B16" s="13" t="n">
        <f aca="false">IF(B$5=0,0,B7/B$5)</f>
        <v>1.96797153024911</v>
      </c>
      <c r="C16" s="13" t="n">
        <f aca="false">IF(C$5=0,0,C7/C$5)</f>
        <v>3.53086419753086</v>
      </c>
      <c r="D16" s="13" t="n">
        <f aca="false">IF(D$5=0,0,D7/D$5)</f>
        <v>0.0373831775700935</v>
      </c>
      <c r="E16" s="13" t="n">
        <f aca="false">IF(E$5=0,0,E7/E$5)</f>
        <v>0.136363636363636</v>
      </c>
      <c r="F16" s="13" t="n">
        <f aca="false">IF(F$5=0,0,F7/F$5)</f>
        <v>1.16129032258065</v>
      </c>
      <c r="G16" s="13" t="n">
        <f aca="false">IF(G$5=0,0,G7/G$5)</f>
        <v>0.991935483870968</v>
      </c>
    </row>
    <row r="17" customFormat="false" ht="15" hidden="false" customHeight="false" outlineLevel="0" collapsed="false">
      <c r="A17" s="11" t="s">
        <v>19</v>
      </c>
      <c r="B17" s="13" t="n">
        <f aca="false">IF(B$5=0,0,B8/B$5)</f>
        <v>0.886120996441281</v>
      </c>
      <c r="C17" s="13" t="n">
        <f aca="false">IF(C$5=0,0,C8/C$5)</f>
        <v>2.19753086419753</v>
      </c>
      <c r="D17" s="13" t="n">
        <f aca="false">IF(D$5=0,0,D8/D$5)</f>
        <v>1.05607476635514</v>
      </c>
      <c r="E17" s="13" t="n">
        <f aca="false">IF(E$5=0,0,E8/E$5)</f>
        <v>0.25</v>
      </c>
      <c r="F17" s="13" t="n">
        <f aca="false">IF(F$5=0,0,F8/F$5)</f>
        <v>1.19354838709677</v>
      </c>
      <c r="G17" s="13" t="n">
        <f aca="false">IF(G$5=0,0,G8/G$5)</f>
        <v>0.991935483870968</v>
      </c>
    </row>
    <row r="18" customFormat="false" ht="15" hidden="false" customHeight="false" outlineLevel="0" collapsed="false">
      <c r="A18" s="11" t="s">
        <v>20</v>
      </c>
      <c r="B18" s="13" t="n">
        <f aca="false">IF(B$5=0,0,B9/B$5)</f>
        <v>0.555160142348754</v>
      </c>
      <c r="C18" s="13" t="n">
        <f aca="false">IF(C$5=0,0,C9/C$5)</f>
        <v>0.222222222222222</v>
      </c>
      <c r="D18" s="13" t="n">
        <f aca="false">IF(D$5=0,0,D9/D$5)</f>
        <v>1.96573208722741</v>
      </c>
      <c r="E18" s="13" t="n">
        <f aca="false">IF(E$5=0,0,E9/E$5)</f>
        <v>0.477272727272727</v>
      </c>
      <c r="F18" s="13" t="n">
        <f aca="false">IF(F$5=0,0,F9/F$5)</f>
        <v>0.838709677419355</v>
      </c>
      <c r="G18" s="13" t="n">
        <f aca="false">IF(G$5=0,0,G9/G$5)</f>
        <v>0.911290322580645</v>
      </c>
    </row>
    <row r="19" customFormat="false" ht="15" hidden="false" customHeight="false" outlineLevel="0" collapsed="false">
      <c r="A19" s="11" t="s">
        <v>21</v>
      </c>
      <c r="B19" s="13" t="n">
        <f aca="false">IF(B$5=0,0,B10/B$5)</f>
        <v>0.857651245551601</v>
      </c>
      <c r="C19" s="13" t="n">
        <f aca="false">IF(C$5=0,0,C10/C$5)</f>
        <v>0.0740740740740741</v>
      </c>
      <c r="D19" s="13" t="n">
        <f aca="false">IF(D$5=0,0,D10/D$5)</f>
        <v>1.06542056074766</v>
      </c>
      <c r="E19" s="13" t="n">
        <f aca="false">IF(E$5=0,0,E10/E$5)</f>
        <v>1.29545454545455</v>
      </c>
      <c r="F19" s="13" t="n">
        <f aca="false">IF(F$5=0,0,F10/F$5)</f>
        <v>0.806451612903226</v>
      </c>
      <c r="G19" s="13" t="n">
        <f aca="false">IF(G$5=0,0,G10/G$5)</f>
        <v>1.0241935483871</v>
      </c>
    </row>
    <row r="20" customFormat="false" ht="15" hidden="false" customHeight="false" outlineLevel="0" collapsed="false">
      <c r="A20" s="11" t="s">
        <v>22</v>
      </c>
      <c r="B20" s="13" t="n">
        <f aca="false">IF(B$5=0,0,B11/B$5)</f>
        <v>1.03914590747331</v>
      </c>
      <c r="C20" s="13" t="n">
        <f aca="false">IF(C$5=0,0,C11/C$5)</f>
        <v>0.037037037037037</v>
      </c>
      <c r="D20" s="13" t="n">
        <f aca="false">IF(D$5=0,0,D11/D$5)</f>
        <v>0.666666666666667</v>
      </c>
      <c r="E20" s="13" t="n">
        <f aca="false">IF(E$5=0,0,E11/E$5)</f>
        <v>2</v>
      </c>
      <c r="F20" s="13" t="n">
        <f aca="false">IF(F$5=0,0,F11/F$5)</f>
        <v>1</v>
      </c>
      <c r="G20" s="13" t="n">
        <f aca="false">IF(G$5=0,0,G11/G$5)</f>
        <v>1</v>
      </c>
    </row>
    <row r="21" customFormat="false" ht="15" hidden="false" customHeight="false" outlineLevel="0" collapsed="false">
      <c r="A21" s="11" t="s">
        <v>23</v>
      </c>
      <c r="B21" s="13" t="n">
        <f aca="false">IF(B$5=0,0,B12/B$5)</f>
        <v>0.686832740213523</v>
      </c>
      <c r="C21" s="13" t="n">
        <f aca="false">IF(C$5=0,0,C12/C$5)</f>
        <v>0.0123456790123457</v>
      </c>
      <c r="D21" s="13" t="n">
        <f aca="false">IF(D$5=0,0,D12/D$5)</f>
        <v>1.17757009345794</v>
      </c>
      <c r="E21" s="13" t="n">
        <f aca="false">IF(E$5=0,0,E12/E$5)</f>
        <v>3.02272727272727</v>
      </c>
      <c r="F21" s="13" t="n">
        <f aca="false">IF(F$5=0,0,F12/F$5)</f>
        <v>1.09677419354839</v>
      </c>
      <c r="G21" s="13" t="n">
        <f aca="false">IF(G$5=0,0,G12/G$5)</f>
        <v>1.10483870967742</v>
      </c>
    </row>
    <row r="23" customFormat="false" ht="15" hidden="false" customHeight="false" outlineLevel="0" collapsed="false">
      <c r="A23" s="14" t="s">
        <v>25</v>
      </c>
    </row>
    <row r="24" customFormat="false" ht="15" hidden="false" customHeight="false" outlineLevel="0" collapsed="false">
      <c r="A24" s="11" t="s">
        <v>17</v>
      </c>
      <c r="B24" s="15" t="n">
        <f aca="false">IF(B15&lt;=0,0,MAX(0,MIN(3,ROUND(2*LOG(B15,2),0))))</f>
        <v>1</v>
      </c>
      <c r="C24" s="15" t="n">
        <f aca="false">IF(C15&lt;=0,0,MAX(0,MIN(3,ROUND(2*LOG(C15,2),0))))</f>
        <v>0</v>
      </c>
      <c r="D24" s="15" t="n">
        <f aca="false">IF(D15&lt;=0,0,MAX(0,MIN(3,ROUND(2*LOG(D15,2),0))))</f>
        <v>0</v>
      </c>
      <c r="E24" s="15" t="n">
        <f aca="false">IF(E15&lt;=0,0,MAX(0,MIN(3,ROUND(2*LOG(E15,2),0))))</f>
        <v>0</v>
      </c>
      <c r="F24" s="15" t="n">
        <f aca="false">IF(F15&lt;=0,0,MAX(0,MIN(3,ROUND(2*LOG(F15,2),0))))</f>
        <v>0</v>
      </c>
      <c r="G24" s="15" t="n">
        <f aca="false">IF(G15&lt;=0,0,MAX(0,MIN(3,ROUND(2*LOG(G15,2),0))))</f>
        <v>0</v>
      </c>
    </row>
    <row r="25" customFormat="false" ht="15" hidden="false" customHeight="false" outlineLevel="0" collapsed="false">
      <c r="A25" s="11" t="s">
        <v>18</v>
      </c>
      <c r="B25" s="15" t="n">
        <f aca="false">IF(B16&lt;=0,0,MAX(0,MIN(3,ROUND(2*LOG(B16,2),0))))</f>
        <v>2</v>
      </c>
      <c r="C25" s="15" t="n">
        <f aca="false">IF(C16&lt;=0,0,MAX(0,MIN(3,ROUND(2*LOG(C16,2),0))))</f>
        <v>3</v>
      </c>
      <c r="D25" s="15" t="n">
        <f aca="false">IF(D16&lt;=0,0,MAX(0,MIN(3,ROUND(2*LOG(D16,2),0))))</f>
        <v>0</v>
      </c>
      <c r="E25" s="15" t="n">
        <f aca="false">IF(E16&lt;=0,0,MAX(0,MIN(3,ROUND(2*LOG(E16,2),0))))</f>
        <v>0</v>
      </c>
      <c r="F25" s="15" t="n">
        <f aca="false">IF(F16&lt;=0,0,MAX(0,MIN(3,ROUND(2*LOG(F16,2),0))))</f>
        <v>0</v>
      </c>
      <c r="G25" s="15" t="n">
        <f aca="false">IF(G16&lt;=0,0,MAX(0,MIN(3,ROUND(2*LOG(G16,2),0))))</f>
        <v>-0</v>
      </c>
    </row>
    <row r="26" customFormat="false" ht="15" hidden="false" customHeight="false" outlineLevel="0" collapsed="false">
      <c r="A26" s="11" t="s">
        <v>19</v>
      </c>
      <c r="B26" s="15" t="n">
        <f aca="false">IF(B17&lt;=0,0,MAX(0,MIN(3,ROUND(2*LOG(B17,2),0))))</f>
        <v>-0</v>
      </c>
      <c r="C26" s="15" t="n">
        <f aca="false">IF(C17&lt;=0,0,MAX(0,MIN(3,ROUND(2*LOG(C17,2),0))))</f>
        <v>2</v>
      </c>
      <c r="D26" s="15" t="n">
        <f aca="false">IF(D17&lt;=0,0,MAX(0,MIN(3,ROUND(2*LOG(D17,2),0))))</f>
        <v>0</v>
      </c>
      <c r="E26" s="15" t="n">
        <f aca="false">IF(E17&lt;=0,0,MAX(0,MIN(3,ROUND(2*LOG(E17,2),0))))</f>
        <v>0</v>
      </c>
      <c r="F26" s="15" t="n">
        <f aca="false">IF(F17&lt;=0,0,MAX(0,MIN(3,ROUND(2*LOG(F17,2),0))))</f>
        <v>1</v>
      </c>
      <c r="G26" s="15" t="n">
        <f aca="false">IF(G17&lt;=0,0,MAX(0,MIN(3,ROUND(2*LOG(G17,2),0))))</f>
        <v>-0</v>
      </c>
    </row>
    <row r="27" customFormat="false" ht="15" hidden="false" customHeight="false" outlineLevel="0" collapsed="false">
      <c r="A27" s="11" t="s">
        <v>20</v>
      </c>
      <c r="B27" s="15" t="n">
        <f aca="false">IF(B18&lt;=0,0,MAX(0,MIN(3,ROUND(2*LOG(B18,2),0))))</f>
        <v>0</v>
      </c>
      <c r="C27" s="15" t="n">
        <f aca="false">IF(C18&lt;=0,0,MAX(0,MIN(3,ROUND(2*LOG(C18,2),0))))</f>
        <v>0</v>
      </c>
      <c r="D27" s="15" t="n">
        <f aca="false">IF(D18&lt;=0,0,MAX(0,MIN(3,ROUND(2*LOG(D18,2),0))))</f>
        <v>2</v>
      </c>
      <c r="E27" s="15" t="n">
        <f aca="false">IF(E18&lt;=0,0,MAX(0,MIN(3,ROUND(2*LOG(E18,2),0))))</f>
        <v>0</v>
      </c>
      <c r="F27" s="15" t="n">
        <f aca="false">IF(F18&lt;=0,0,MAX(0,MIN(3,ROUND(2*LOG(F18,2),0))))</f>
        <v>0</v>
      </c>
      <c r="G27" s="15" t="n">
        <f aca="false">IF(G18&lt;=0,0,MAX(0,MIN(3,ROUND(2*LOG(G18,2),0))))</f>
        <v>-0</v>
      </c>
    </row>
    <row r="28" customFormat="false" ht="15" hidden="false" customHeight="false" outlineLevel="0" collapsed="false">
      <c r="A28" s="11" t="s">
        <v>21</v>
      </c>
      <c r="B28" s="15" t="n">
        <f aca="false">IF(B19&lt;=0,0,MAX(0,MIN(3,ROUND(2*LOG(B19,2),0))))</f>
        <v>-0</v>
      </c>
      <c r="C28" s="15" t="n">
        <f aca="false">IF(C19&lt;=0,0,MAX(0,MIN(3,ROUND(2*LOG(C19,2),0))))</f>
        <v>0</v>
      </c>
      <c r="D28" s="15" t="n">
        <f aca="false">IF(D19&lt;=0,0,MAX(0,MIN(3,ROUND(2*LOG(D19,2),0))))</f>
        <v>0</v>
      </c>
      <c r="E28" s="15" t="n">
        <f aca="false">IF(E19&lt;=0,0,MAX(0,MIN(3,ROUND(2*LOG(E19,2),0))))</f>
        <v>1</v>
      </c>
      <c r="F28" s="15" t="n">
        <f aca="false">IF(F19&lt;=0,0,MAX(0,MIN(3,ROUND(2*LOG(F19,2),0))))</f>
        <v>0</v>
      </c>
      <c r="G28" s="15" t="n">
        <f aca="false">IF(G19&lt;=0,0,MAX(0,MIN(3,ROUND(2*LOG(G19,2),0))))</f>
        <v>0</v>
      </c>
    </row>
    <row r="29" customFormat="false" ht="15" hidden="false" customHeight="false" outlineLevel="0" collapsed="false">
      <c r="A29" s="11" t="s">
        <v>22</v>
      </c>
      <c r="B29" s="15" t="n">
        <f aca="false">IF(B20&lt;=0,0,MAX(0,MIN(3,ROUND(2*LOG(B20,2),0))))</f>
        <v>0</v>
      </c>
      <c r="C29" s="15" t="n">
        <f aca="false">IF(C20&lt;=0,0,MAX(0,MIN(3,ROUND(2*LOG(C20,2),0))))</f>
        <v>0</v>
      </c>
      <c r="D29" s="15" t="n">
        <f aca="false">IF(D20&lt;=0,0,MAX(0,MIN(3,ROUND(2*LOG(D20,2),0))))</f>
        <v>0</v>
      </c>
      <c r="E29" s="15" t="n">
        <f aca="false">IF(E20&lt;=0,0,MAX(0,MIN(3,ROUND(2*LOG(E20,2),0))))</f>
        <v>2</v>
      </c>
      <c r="F29" s="15" t="n">
        <f aca="false">IF(F20&lt;=0,0,MAX(0,MIN(3,ROUND(2*LOG(F20,2),0))))</f>
        <v>0</v>
      </c>
      <c r="G29" s="15" t="n">
        <f aca="false">IF(G20&lt;=0,0,MAX(0,MIN(3,ROUND(2*LOG(G20,2),0))))</f>
        <v>0</v>
      </c>
    </row>
    <row r="30" customFormat="false" ht="15" hidden="false" customHeight="false" outlineLevel="0" collapsed="false">
      <c r="A30" s="11" t="s">
        <v>23</v>
      </c>
      <c r="B30" s="15" t="n">
        <f aca="false">IF(B21&lt;=0,0,MAX(0,MIN(3,ROUND(2*LOG(B21,2),0))))</f>
        <v>0</v>
      </c>
      <c r="C30" s="15" t="n">
        <f aca="false">IF(C21&lt;=0,0,MAX(0,MIN(3,ROUND(2*LOG(C21,2),0))))</f>
        <v>0</v>
      </c>
      <c r="D30" s="15" t="n">
        <f aca="false">IF(D21&lt;=0,0,MAX(0,MIN(3,ROUND(2*LOG(D21,2),0))))</f>
        <v>0</v>
      </c>
      <c r="E30" s="15" t="n">
        <f aca="false">IF(E21&lt;=0,0,MAX(0,MIN(3,ROUND(2*LOG(E21,2),0))))</f>
        <v>3</v>
      </c>
      <c r="F30" s="15" t="n">
        <f aca="false">IF(F21&lt;=0,0,MAX(0,MIN(3,ROUND(2*LOG(F21,2),0))))</f>
        <v>0</v>
      </c>
      <c r="G30" s="15" t="n">
        <f aca="false">IF(G21&lt;=0,0,MAX(0,MIN(3,ROUND(2*LOG(G21,2),0))))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12" min="2" style="0" width="12"/>
  </cols>
  <sheetData>
    <row r="1" customFormat="false" ht="19.4" hidden="false" customHeight="false" outlineLevel="0" collapsed="false">
      <c r="A1" s="5" t="s">
        <v>26</v>
      </c>
    </row>
    <row r="2" customFormat="false" ht="15" hidden="false" customHeight="false" outlineLevel="0" collapsed="false">
      <c r="A2" s="16" t="s">
        <v>27</v>
      </c>
    </row>
    <row r="4" customFormat="false" ht="44" hidden="false" customHeight="false" outlineLevel="0" collapsed="false">
      <c r="A4" s="7" t="s">
        <v>9</v>
      </c>
      <c r="B4" s="7" t="s">
        <v>28</v>
      </c>
      <c r="C4" s="7" t="s">
        <v>29</v>
      </c>
      <c r="D4" s="7" t="s">
        <v>30</v>
      </c>
      <c r="E4" s="7" t="s">
        <v>31</v>
      </c>
      <c r="F4" s="7" t="s">
        <v>32</v>
      </c>
      <c r="G4" s="7" t="s">
        <v>33</v>
      </c>
      <c r="H4" s="7" t="s">
        <v>34</v>
      </c>
      <c r="I4" s="7" t="s">
        <v>35</v>
      </c>
      <c r="J4" s="7" t="s">
        <v>36</v>
      </c>
      <c r="K4" s="7" t="s">
        <v>37</v>
      </c>
      <c r="L4" s="7" t="s">
        <v>38</v>
      </c>
    </row>
    <row r="5" customFormat="false" ht="15" hidden="false" customHeight="false" outlineLevel="0" collapsed="false">
      <c r="A5" s="9" t="s">
        <v>16</v>
      </c>
      <c r="B5" s="10" t="n">
        <v>77.4</v>
      </c>
      <c r="C5" s="10" t="n">
        <v>65.6</v>
      </c>
      <c r="D5" s="10" t="n">
        <v>55.5</v>
      </c>
      <c r="E5" s="10" t="n">
        <v>10.7</v>
      </c>
      <c r="F5" s="10" t="n">
        <v>9.3</v>
      </c>
      <c r="G5" s="10" t="n">
        <v>8</v>
      </c>
      <c r="H5" s="10" t="n">
        <v>7.4</v>
      </c>
      <c r="I5" s="10" t="n">
        <v>4.9</v>
      </c>
      <c r="J5" s="10" t="n">
        <v>3.3</v>
      </c>
      <c r="K5" s="10" t="n">
        <v>2.7</v>
      </c>
      <c r="L5" s="10" t="n">
        <v>2.5</v>
      </c>
    </row>
    <row r="6" customFormat="false" ht="15" hidden="false" customHeight="false" outlineLevel="0" collapsed="false">
      <c r="A6" s="11" t="s">
        <v>17</v>
      </c>
      <c r="B6" s="10" t="n">
        <v>63.2</v>
      </c>
      <c r="C6" s="10" t="n">
        <v>59.5</v>
      </c>
      <c r="D6" s="10" t="n">
        <v>45.2</v>
      </c>
      <c r="E6" s="10" t="n">
        <v>8.8</v>
      </c>
      <c r="F6" s="10" t="n">
        <v>14.8</v>
      </c>
      <c r="G6" s="10" t="n">
        <v>4.5</v>
      </c>
      <c r="H6" s="10" t="n">
        <v>12.5</v>
      </c>
      <c r="I6" s="10" t="n">
        <v>5.7</v>
      </c>
      <c r="J6" s="10" t="n">
        <v>3.7</v>
      </c>
      <c r="K6" s="10" t="n">
        <v>2.2</v>
      </c>
      <c r="L6" s="10" t="n">
        <v>1</v>
      </c>
    </row>
    <row r="7" customFormat="false" ht="15" hidden="false" customHeight="false" outlineLevel="0" collapsed="false">
      <c r="A7" s="11" t="s">
        <v>18</v>
      </c>
      <c r="B7" s="10" t="n">
        <v>74.1</v>
      </c>
      <c r="C7" s="10" t="n">
        <v>66.7</v>
      </c>
      <c r="D7" s="10" t="n">
        <v>56</v>
      </c>
      <c r="E7" s="10" t="n">
        <v>11.4</v>
      </c>
      <c r="F7" s="10" t="n">
        <v>12.3</v>
      </c>
      <c r="G7" s="10" t="n">
        <v>8.5</v>
      </c>
      <c r="H7" s="10" t="n">
        <v>7.5</v>
      </c>
      <c r="I7" s="10" t="n">
        <v>6.4</v>
      </c>
      <c r="J7" s="10" t="n">
        <v>3.4</v>
      </c>
      <c r="K7" s="10" t="n">
        <v>4.1</v>
      </c>
      <c r="L7" s="10" t="n">
        <v>1.1</v>
      </c>
    </row>
    <row r="8" customFormat="false" ht="15" hidden="false" customHeight="false" outlineLevel="0" collapsed="false">
      <c r="A8" s="11" t="s">
        <v>19</v>
      </c>
      <c r="B8" s="10" t="n">
        <v>76.1</v>
      </c>
      <c r="C8" s="10" t="n">
        <v>65.2</v>
      </c>
      <c r="D8" s="10" t="n">
        <v>58.7</v>
      </c>
      <c r="E8" s="10" t="n">
        <v>9.9</v>
      </c>
      <c r="F8" s="10" t="n">
        <v>13.4</v>
      </c>
      <c r="G8" s="10" t="n">
        <v>8</v>
      </c>
      <c r="H8" s="10" t="n">
        <v>7.2</v>
      </c>
      <c r="I8" s="10" t="n">
        <v>4.9</v>
      </c>
      <c r="J8" s="10" t="n">
        <v>3.2</v>
      </c>
      <c r="K8" s="10" t="n">
        <v>3.2</v>
      </c>
      <c r="L8" s="10" t="n">
        <v>2.1</v>
      </c>
    </row>
    <row r="9" customFormat="false" ht="15" hidden="false" customHeight="false" outlineLevel="0" collapsed="false">
      <c r="A9" s="11" t="s">
        <v>20</v>
      </c>
      <c r="B9" s="10" t="n">
        <v>78.2</v>
      </c>
      <c r="C9" s="10" t="n">
        <v>65.7</v>
      </c>
      <c r="D9" s="10" t="n">
        <v>58.4</v>
      </c>
      <c r="E9" s="10" t="n">
        <v>10.9</v>
      </c>
      <c r="F9" s="10" t="n">
        <v>10.4</v>
      </c>
      <c r="G9" s="10" t="n">
        <v>8.5</v>
      </c>
      <c r="H9" s="10" t="n">
        <v>6.4</v>
      </c>
      <c r="I9" s="10" t="n">
        <v>5.5</v>
      </c>
      <c r="J9" s="10" t="n">
        <v>3.2</v>
      </c>
      <c r="K9" s="10" t="n">
        <v>2.6</v>
      </c>
      <c r="L9" s="10" t="n">
        <v>2.4</v>
      </c>
    </row>
    <row r="10" customFormat="false" ht="15" hidden="false" customHeight="false" outlineLevel="0" collapsed="false">
      <c r="A10" s="11" t="s">
        <v>21</v>
      </c>
      <c r="B10" s="10" t="n">
        <v>79.6</v>
      </c>
      <c r="C10" s="10" t="n">
        <v>66.2</v>
      </c>
      <c r="D10" s="10" t="n">
        <v>55.9</v>
      </c>
      <c r="E10" s="10" t="n">
        <v>11.8</v>
      </c>
      <c r="F10" s="10" t="n">
        <v>6.8</v>
      </c>
      <c r="G10" s="10" t="n">
        <v>9</v>
      </c>
      <c r="H10" s="10" t="n">
        <v>8.1</v>
      </c>
      <c r="I10" s="10" t="n">
        <v>4.5</v>
      </c>
      <c r="J10" s="10" t="n">
        <v>3.3</v>
      </c>
      <c r="K10" s="10" t="n">
        <v>2.4</v>
      </c>
      <c r="L10" s="10" t="n">
        <v>3</v>
      </c>
    </row>
    <row r="11" customFormat="false" ht="15" hidden="false" customHeight="false" outlineLevel="0" collapsed="false">
      <c r="A11" s="11" t="s">
        <v>22</v>
      </c>
      <c r="B11" s="10" t="n">
        <v>79.2</v>
      </c>
      <c r="C11" s="10" t="n">
        <v>65.4</v>
      </c>
      <c r="D11" s="10" t="n">
        <v>53.1</v>
      </c>
      <c r="E11" s="10" t="n">
        <v>10.5</v>
      </c>
      <c r="F11" s="10" t="n">
        <v>5.2</v>
      </c>
      <c r="G11" s="10" t="n">
        <v>8.3</v>
      </c>
      <c r="H11" s="10" t="n">
        <v>7</v>
      </c>
      <c r="I11" s="10" t="n">
        <v>3.5</v>
      </c>
      <c r="J11" s="10" t="n">
        <v>3.2</v>
      </c>
      <c r="K11" s="10" t="n">
        <v>2</v>
      </c>
      <c r="L11" s="10" t="n">
        <v>3.4</v>
      </c>
    </row>
    <row r="12" customFormat="false" ht="15" hidden="false" customHeight="false" outlineLevel="0" collapsed="false">
      <c r="A12" s="11" t="s">
        <v>23</v>
      </c>
      <c r="B12" s="10" t="n">
        <v>80.3</v>
      </c>
      <c r="C12" s="10" t="n">
        <v>64.9</v>
      </c>
      <c r="D12" s="10" t="n">
        <v>47.5</v>
      </c>
      <c r="E12" s="10" t="n">
        <v>9.1</v>
      </c>
      <c r="F12" s="10" t="n">
        <v>4.9</v>
      </c>
      <c r="G12" s="10" t="n">
        <v>3.9</v>
      </c>
      <c r="H12" s="10" t="n">
        <v>6.7</v>
      </c>
      <c r="I12" s="10" t="n">
        <v>4.5</v>
      </c>
      <c r="J12" s="10" t="n">
        <v>4</v>
      </c>
      <c r="K12" s="10" t="n">
        <v>1.9</v>
      </c>
      <c r="L12" s="10" t="n">
        <v>3.4</v>
      </c>
    </row>
    <row r="14" customFormat="false" ht="15" hidden="false" customHeight="false" outlineLevel="0" collapsed="false">
      <c r="A14" s="12" t="s">
        <v>24</v>
      </c>
    </row>
    <row r="15" customFormat="false" ht="15" hidden="false" customHeight="false" outlineLevel="0" collapsed="false">
      <c r="A15" s="11" t="s">
        <v>17</v>
      </c>
      <c r="B15" s="13" t="n">
        <f aca="false">IF(B$5=0,0,B6/B$5)</f>
        <v>0.816537467700258</v>
      </c>
      <c r="C15" s="13" t="n">
        <f aca="false">IF(C$5=0,0,C6/C$5)</f>
        <v>0.907012195121951</v>
      </c>
      <c r="D15" s="13" t="n">
        <f aca="false">IF(D$5=0,0,D6/D$5)</f>
        <v>0.814414414414414</v>
      </c>
      <c r="E15" s="13" t="n">
        <f aca="false">IF(E$5=0,0,E6/E$5)</f>
        <v>0.822429906542056</v>
      </c>
      <c r="F15" s="13" t="n">
        <f aca="false">IF(F$5=0,0,F6/F$5)</f>
        <v>1.59139784946237</v>
      </c>
      <c r="G15" s="13" t="n">
        <f aca="false">IF(G$5=0,0,G6/G$5)</f>
        <v>0.5625</v>
      </c>
      <c r="H15" s="13" t="n">
        <f aca="false">IF(H$5=0,0,H6/H$5)</f>
        <v>1.68918918918919</v>
      </c>
      <c r="I15" s="13" t="n">
        <f aca="false">IF(I$5=0,0,I6/I$5)</f>
        <v>1.16326530612245</v>
      </c>
      <c r="J15" s="13" t="n">
        <f aca="false">IF(J$5=0,0,J6/J$5)</f>
        <v>1.12121212121212</v>
      </c>
      <c r="K15" s="13" t="n">
        <f aca="false">IF(K$5=0,0,K6/K$5)</f>
        <v>0.814814814814815</v>
      </c>
      <c r="L15" s="13" t="n">
        <f aca="false">IF(L$5=0,0,L6/L$5)</f>
        <v>0.4</v>
      </c>
    </row>
    <row r="16" customFormat="false" ht="15" hidden="false" customHeight="false" outlineLevel="0" collapsed="false">
      <c r="A16" s="11" t="s">
        <v>18</v>
      </c>
      <c r="B16" s="13" t="n">
        <f aca="false">IF(B$5=0,0,B7/B$5)</f>
        <v>0.957364341085271</v>
      </c>
      <c r="C16" s="13" t="n">
        <f aca="false">IF(C$5=0,0,C7/C$5)</f>
        <v>1.01676829268293</v>
      </c>
      <c r="D16" s="13" t="n">
        <f aca="false">IF(D$5=0,0,D7/D$5)</f>
        <v>1.00900900900901</v>
      </c>
      <c r="E16" s="13" t="n">
        <f aca="false">IF(E$5=0,0,E7/E$5)</f>
        <v>1.06542056074766</v>
      </c>
      <c r="F16" s="13" t="n">
        <f aca="false">IF(F$5=0,0,F7/F$5)</f>
        <v>1.32258064516129</v>
      </c>
      <c r="G16" s="13" t="n">
        <f aca="false">IF(G$5=0,0,G7/G$5)</f>
        <v>1.0625</v>
      </c>
      <c r="H16" s="13" t="n">
        <f aca="false">IF(H$5=0,0,H7/H$5)</f>
        <v>1.01351351351351</v>
      </c>
      <c r="I16" s="13" t="n">
        <f aca="false">IF(I$5=0,0,I7/I$5)</f>
        <v>1.30612244897959</v>
      </c>
      <c r="J16" s="13" t="n">
        <f aca="false">IF(J$5=0,0,J7/J$5)</f>
        <v>1.03030303030303</v>
      </c>
      <c r="K16" s="13" t="n">
        <f aca="false">IF(K$5=0,0,K7/K$5)</f>
        <v>1.51851851851852</v>
      </c>
      <c r="L16" s="13" t="n">
        <f aca="false">IF(L$5=0,0,L7/L$5)</f>
        <v>0.44</v>
      </c>
    </row>
    <row r="17" customFormat="false" ht="15" hidden="false" customHeight="false" outlineLevel="0" collapsed="false">
      <c r="A17" s="11" t="s">
        <v>19</v>
      </c>
      <c r="B17" s="13" t="n">
        <f aca="false">IF(B$5=0,0,B8/B$5)</f>
        <v>0.983204134366925</v>
      </c>
      <c r="C17" s="13" t="n">
        <f aca="false">IF(C$5=0,0,C8/C$5)</f>
        <v>0.99390243902439</v>
      </c>
      <c r="D17" s="13" t="n">
        <f aca="false">IF(D$5=0,0,D8/D$5)</f>
        <v>1.05765765765766</v>
      </c>
      <c r="E17" s="13" t="n">
        <f aca="false">IF(E$5=0,0,E8/E$5)</f>
        <v>0.925233644859813</v>
      </c>
      <c r="F17" s="13" t="n">
        <f aca="false">IF(F$5=0,0,F8/F$5)</f>
        <v>1.44086021505376</v>
      </c>
      <c r="G17" s="13" t="n">
        <f aca="false">IF(G$5=0,0,G8/G$5)</f>
        <v>1</v>
      </c>
      <c r="H17" s="13" t="n">
        <f aca="false">IF(H$5=0,0,H8/H$5)</f>
        <v>0.972972972972973</v>
      </c>
      <c r="I17" s="13" t="n">
        <f aca="false">IF(I$5=0,0,I8/I$5)</f>
        <v>1</v>
      </c>
      <c r="J17" s="13" t="n">
        <f aca="false">IF(J$5=0,0,J8/J$5)</f>
        <v>0.96969696969697</v>
      </c>
      <c r="K17" s="13" t="n">
        <f aca="false">IF(K$5=0,0,K8/K$5)</f>
        <v>1.18518518518519</v>
      </c>
      <c r="L17" s="13" t="n">
        <f aca="false">IF(L$5=0,0,L8/L$5)</f>
        <v>0.84</v>
      </c>
    </row>
    <row r="18" customFormat="false" ht="15" hidden="false" customHeight="false" outlineLevel="0" collapsed="false">
      <c r="A18" s="11" t="s">
        <v>20</v>
      </c>
      <c r="B18" s="13" t="n">
        <f aca="false">IF(B$5=0,0,B9/B$5)</f>
        <v>1.01033591731266</v>
      </c>
      <c r="C18" s="13" t="n">
        <f aca="false">IF(C$5=0,0,C9/C$5)</f>
        <v>1.0015243902439</v>
      </c>
      <c r="D18" s="13" t="n">
        <f aca="false">IF(D$5=0,0,D9/D$5)</f>
        <v>1.05225225225225</v>
      </c>
      <c r="E18" s="13" t="n">
        <f aca="false">IF(E$5=0,0,E9/E$5)</f>
        <v>1.01869158878505</v>
      </c>
      <c r="F18" s="13" t="n">
        <f aca="false">IF(F$5=0,0,F9/F$5)</f>
        <v>1.11827956989247</v>
      </c>
      <c r="G18" s="13" t="n">
        <f aca="false">IF(G$5=0,0,G9/G$5)</f>
        <v>1.0625</v>
      </c>
      <c r="H18" s="13" t="n">
        <f aca="false">IF(H$5=0,0,H9/H$5)</f>
        <v>0.864864864864865</v>
      </c>
      <c r="I18" s="13" t="n">
        <f aca="false">IF(I$5=0,0,I9/I$5)</f>
        <v>1.12244897959184</v>
      </c>
      <c r="J18" s="13" t="n">
        <f aca="false">IF(J$5=0,0,J9/J$5)</f>
        <v>0.96969696969697</v>
      </c>
      <c r="K18" s="13" t="n">
        <f aca="false">IF(K$5=0,0,K9/K$5)</f>
        <v>0.962962962962963</v>
      </c>
      <c r="L18" s="13" t="n">
        <f aca="false">IF(L$5=0,0,L9/L$5)</f>
        <v>0.96</v>
      </c>
    </row>
    <row r="19" customFormat="false" ht="15" hidden="false" customHeight="false" outlineLevel="0" collapsed="false">
      <c r="A19" s="11" t="s">
        <v>21</v>
      </c>
      <c r="B19" s="13" t="n">
        <f aca="false">IF(B$5=0,0,B10/B$5)</f>
        <v>1.02842377260982</v>
      </c>
      <c r="C19" s="13" t="n">
        <f aca="false">IF(C$5=0,0,C10/C$5)</f>
        <v>1.00914634146341</v>
      </c>
      <c r="D19" s="13" t="n">
        <f aca="false">IF(D$5=0,0,D10/D$5)</f>
        <v>1.00720720720721</v>
      </c>
      <c r="E19" s="13" t="n">
        <f aca="false">IF(E$5=0,0,E10/E$5)</f>
        <v>1.10280373831776</v>
      </c>
      <c r="F19" s="13" t="n">
        <f aca="false">IF(F$5=0,0,F10/F$5)</f>
        <v>0.731182795698925</v>
      </c>
      <c r="G19" s="13" t="n">
        <f aca="false">IF(G$5=0,0,G10/G$5)</f>
        <v>1.125</v>
      </c>
      <c r="H19" s="13" t="n">
        <f aca="false">IF(H$5=0,0,H10/H$5)</f>
        <v>1.09459459459459</v>
      </c>
      <c r="I19" s="13" t="n">
        <f aca="false">IF(I$5=0,0,I10/I$5)</f>
        <v>0.918367346938775</v>
      </c>
      <c r="J19" s="13" t="n">
        <f aca="false">IF(J$5=0,0,J10/J$5)</f>
        <v>1</v>
      </c>
      <c r="K19" s="13" t="n">
        <f aca="false">IF(K$5=0,0,K10/K$5)</f>
        <v>0.888888888888889</v>
      </c>
      <c r="L19" s="13" t="n">
        <f aca="false">IF(L$5=0,0,L10/L$5)</f>
        <v>1.2</v>
      </c>
    </row>
    <row r="20" customFormat="false" ht="15" hidden="false" customHeight="false" outlineLevel="0" collapsed="false">
      <c r="A20" s="11" t="s">
        <v>22</v>
      </c>
      <c r="B20" s="13" t="n">
        <f aca="false">IF(B$5=0,0,B11/B$5)</f>
        <v>1.02325581395349</v>
      </c>
      <c r="C20" s="13" t="n">
        <f aca="false">IF(C$5=0,0,C11/C$5)</f>
        <v>0.996951219512195</v>
      </c>
      <c r="D20" s="13" t="n">
        <f aca="false">IF(D$5=0,0,D11/D$5)</f>
        <v>0.956756756756757</v>
      </c>
      <c r="E20" s="13" t="n">
        <f aca="false">IF(E$5=0,0,E11/E$5)</f>
        <v>0.981308411214953</v>
      </c>
      <c r="F20" s="13" t="n">
        <f aca="false">IF(F$5=0,0,F11/F$5)</f>
        <v>0.559139784946237</v>
      </c>
      <c r="G20" s="13" t="n">
        <f aca="false">IF(G$5=0,0,G11/G$5)</f>
        <v>1.0375</v>
      </c>
      <c r="H20" s="13" t="n">
        <f aca="false">IF(H$5=0,0,H11/H$5)</f>
        <v>0.945945945945946</v>
      </c>
      <c r="I20" s="13" t="n">
        <f aca="false">IF(I$5=0,0,I11/I$5)</f>
        <v>0.714285714285714</v>
      </c>
      <c r="J20" s="13" t="n">
        <f aca="false">IF(J$5=0,0,J11/J$5)</f>
        <v>0.96969696969697</v>
      </c>
      <c r="K20" s="13" t="n">
        <f aca="false">IF(K$5=0,0,K11/K$5)</f>
        <v>0.740740740740741</v>
      </c>
      <c r="L20" s="13" t="n">
        <f aca="false">IF(L$5=0,0,L11/L$5)</f>
        <v>1.36</v>
      </c>
    </row>
    <row r="21" customFormat="false" ht="15" hidden="false" customHeight="false" outlineLevel="0" collapsed="false">
      <c r="A21" s="11" t="s">
        <v>23</v>
      </c>
      <c r="B21" s="13" t="n">
        <f aca="false">IF(B$5=0,0,B12/B$5)</f>
        <v>1.0374677002584</v>
      </c>
      <c r="C21" s="13" t="n">
        <f aca="false">IF(C$5=0,0,C12/C$5)</f>
        <v>0.989329268292683</v>
      </c>
      <c r="D21" s="13" t="n">
        <f aca="false">IF(D$5=0,0,D12/D$5)</f>
        <v>0.855855855855856</v>
      </c>
      <c r="E21" s="13" t="n">
        <f aca="false">IF(E$5=0,0,E12/E$5)</f>
        <v>0.850467289719626</v>
      </c>
      <c r="F21" s="13" t="n">
        <f aca="false">IF(F$5=0,0,F12/F$5)</f>
        <v>0.526881720430108</v>
      </c>
      <c r="G21" s="13" t="n">
        <f aca="false">IF(G$5=0,0,G12/G$5)</f>
        <v>0.4875</v>
      </c>
      <c r="H21" s="13" t="n">
        <f aca="false">IF(H$5=0,0,H12/H$5)</f>
        <v>0.905405405405405</v>
      </c>
      <c r="I21" s="13" t="n">
        <f aca="false">IF(I$5=0,0,I12/I$5)</f>
        <v>0.918367346938775</v>
      </c>
      <c r="J21" s="13" t="n">
        <f aca="false">IF(J$5=0,0,J12/J$5)</f>
        <v>1.21212121212121</v>
      </c>
      <c r="K21" s="13" t="n">
        <f aca="false">IF(K$5=0,0,K12/K$5)</f>
        <v>0.703703703703704</v>
      </c>
      <c r="L21" s="13" t="n">
        <f aca="false">IF(L$5=0,0,L12/L$5)</f>
        <v>1.36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18" min="2" style="0" width="8"/>
  </cols>
  <sheetData>
    <row r="1" customFormat="false" ht="19.4" hidden="false" customHeight="false" outlineLevel="0" collapsed="false">
      <c r="A1" s="5" t="s">
        <v>39</v>
      </c>
    </row>
    <row r="2" customFormat="false" ht="15" hidden="false" customHeight="false" outlineLevel="0" collapsed="false">
      <c r="A2" s="16" t="s">
        <v>40</v>
      </c>
    </row>
    <row r="4" customFormat="false" ht="15" hidden="false" customHeight="false" outlineLevel="0" collapsed="false">
      <c r="A4" s="7" t="s">
        <v>9</v>
      </c>
      <c r="B4" s="7" t="s">
        <v>41</v>
      </c>
      <c r="C4" s="7" t="s">
        <v>42</v>
      </c>
      <c r="D4" s="7" t="s">
        <v>43</v>
      </c>
      <c r="E4" s="7" t="s">
        <v>44</v>
      </c>
      <c r="F4" s="7" t="s">
        <v>45</v>
      </c>
      <c r="G4" s="7" t="s">
        <v>46</v>
      </c>
      <c r="H4" s="7" t="s">
        <v>47</v>
      </c>
      <c r="I4" s="7" t="s">
        <v>48</v>
      </c>
      <c r="J4" s="7" t="s">
        <v>49</v>
      </c>
      <c r="K4" s="7" t="s">
        <v>50</v>
      </c>
      <c r="L4" s="7" t="s">
        <v>51</v>
      </c>
      <c r="M4" s="7" t="s">
        <v>52</v>
      </c>
      <c r="N4" s="7" t="s">
        <v>53</v>
      </c>
      <c r="O4" s="7" t="s">
        <v>54</v>
      </c>
      <c r="P4" s="7" t="s">
        <v>55</v>
      </c>
      <c r="Q4" s="7" t="s">
        <v>56</v>
      </c>
      <c r="R4" s="7" t="s">
        <v>57</v>
      </c>
    </row>
    <row r="5" customFormat="false" ht="15" hidden="false" customHeight="false" outlineLevel="0" collapsed="false">
      <c r="A5" s="9" t="s">
        <v>16</v>
      </c>
      <c r="B5" s="10" t="n">
        <v>4.5</v>
      </c>
      <c r="C5" s="10" t="n">
        <v>4.7</v>
      </c>
      <c r="D5" s="10" t="n">
        <v>1.3</v>
      </c>
      <c r="E5" s="10" t="n">
        <v>3.9</v>
      </c>
      <c r="F5" s="10" t="n">
        <v>0.6</v>
      </c>
      <c r="G5" s="10" t="n">
        <v>1.4</v>
      </c>
      <c r="H5" s="10" t="n">
        <v>1.4</v>
      </c>
      <c r="I5" s="10" t="n">
        <v>0.6</v>
      </c>
      <c r="J5" s="10" t="n">
        <v>20.7</v>
      </c>
      <c r="K5" s="10" t="n">
        <v>13</v>
      </c>
      <c r="L5" s="10" t="n">
        <v>4.5</v>
      </c>
      <c r="M5" s="10" t="n">
        <v>9.1</v>
      </c>
      <c r="N5" s="10" t="n">
        <v>6.2</v>
      </c>
      <c r="O5" s="10" t="n">
        <v>9</v>
      </c>
      <c r="P5" s="10" t="n">
        <v>9.4</v>
      </c>
      <c r="Q5" s="10" t="n">
        <v>10.6</v>
      </c>
      <c r="R5" s="10" t="n">
        <v>4.4</v>
      </c>
    </row>
    <row r="6" customFormat="false" ht="15" hidden="false" customHeight="false" outlineLevel="0" collapsed="false">
      <c r="A6" s="11" t="s">
        <v>17</v>
      </c>
      <c r="B6" s="10" t="n">
        <v>13.1</v>
      </c>
      <c r="C6" s="10" t="n">
        <v>5.5</v>
      </c>
      <c r="D6" s="10" t="n">
        <v>3.1</v>
      </c>
      <c r="E6" s="10" t="n">
        <v>2.7</v>
      </c>
      <c r="F6" s="10" t="n">
        <v>0.8</v>
      </c>
      <c r="G6" s="10" t="n">
        <v>2.7</v>
      </c>
      <c r="H6" s="10" t="n">
        <v>1.1</v>
      </c>
      <c r="I6" s="10" t="n">
        <v>0.3</v>
      </c>
      <c r="J6" s="10" t="n">
        <v>18.7</v>
      </c>
      <c r="K6" s="10" t="n">
        <v>11.5</v>
      </c>
      <c r="L6" s="10" t="n">
        <v>4</v>
      </c>
      <c r="M6" s="10" t="n">
        <v>5.1</v>
      </c>
      <c r="N6" s="10" t="n">
        <v>5.8</v>
      </c>
      <c r="O6" s="10" t="n">
        <v>10.1</v>
      </c>
      <c r="P6" s="10" t="n">
        <v>7.5</v>
      </c>
      <c r="Q6" s="10" t="n">
        <v>7.9</v>
      </c>
      <c r="R6" s="10" t="n">
        <v>3</v>
      </c>
    </row>
    <row r="7" customFormat="false" ht="15" hidden="false" customHeight="false" outlineLevel="0" collapsed="false">
      <c r="A7" s="11" t="s">
        <v>18</v>
      </c>
      <c r="B7" s="10" t="n">
        <v>7.9</v>
      </c>
      <c r="C7" s="10" t="n">
        <v>6.9</v>
      </c>
      <c r="D7" s="10" t="n">
        <v>1.4</v>
      </c>
      <c r="E7" s="10" t="n">
        <v>3.8</v>
      </c>
      <c r="F7" s="10" t="n">
        <v>0.7</v>
      </c>
      <c r="G7" s="10" t="n">
        <v>1.3</v>
      </c>
      <c r="H7" s="10" t="n">
        <v>1.4</v>
      </c>
      <c r="I7" s="10" t="n">
        <v>0.7</v>
      </c>
      <c r="J7" s="10" t="n">
        <v>22.1</v>
      </c>
      <c r="K7" s="10" t="n">
        <v>13.4</v>
      </c>
      <c r="L7" s="10" t="n">
        <v>3.5</v>
      </c>
      <c r="M7" s="10" t="n">
        <v>7.8</v>
      </c>
      <c r="N7" s="10" t="n">
        <v>5.8</v>
      </c>
      <c r="O7" s="10" t="n">
        <v>7.7</v>
      </c>
      <c r="P7" s="10" t="n">
        <v>8</v>
      </c>
      <c r="Q7" s="10" t="n">
        <v>8.9</v>
      </c>
      <c r="R7" s="10" t="n">
        <v>3.6</v>
      </c>
    </row>
    <row r="8" customFormat="false" ht="15" hidden="false" customHeight="false" outlineLevel="0" collapsed="false">
      <c r="A8" s="11" t="s">
        <v>19</v>
      </c>
      <c r="B8" s="10" t="n">
        <v>4.7</v>
      </c>
      <c r="C8" s="10" t="n">
        <v>5.6</v>
      </c>
      <c r="D8" s="10" t="n">
        <v>1.1</v>
      </c>
      <c r="E8" s="10" t="n">
        <v>4.6</v>
      </c>
      <c r="F8" s="10" t="n">
        <v>0.6</v>
      </c>
      <c r="G8" s="10" t="n">
        <v>1.7</v>
      </c>
      <c r="H8" s="10" t="n">
        <v>1.4</v>
      </c>
      <c r="I8" s="10" t="n">
        <v>0.8</v>
      </c>
      <c r="J8" s="10" t="n">
        <v>23.9</v>
      </c>
      <c r="K8" s="10" t="n">
        <v>13.4</v>
      </c>
      <c r="L8" s="10" t="n">
        <v>4.1</v>
      </c>
      <c r="M8" s="10" t="n">
        <v>7.9</v>
      </c>
      <c r="N8" s="10" t="n">
        <v>5.4</v>
      </c>
      <c r="O8" s="10" t="n">
        <v>7.1</v>
      </c>
      <c r="P8" s="10" t="n">
        <v>8.4</v>
      </c>
      <c r="Q8" s="10" t="n">
        <v>9.9</v>
      </c>
      <c r="R8" s="10" t="n">
        <v>4.9</v>
      </c>
    </row>
    <row r="9" customFormat="false" ht="15" hidden="false" customHeight="false" outlineLevel="0" collapsed="false">
      <c r="A9" s="11" t="s">
        <v>20</v>
      </c>
      <c r="B9" s="10" t="n">
        <v>3.7</v>
      </c>
      <c r="C9" s="10" t="n">
        <v>4.7</v>
      </c>
      <c r="D9" s="10" t="n">
        <v>1.1</v>
      </c>
      <c r="E9" s="10" t="n">
        <v>3.8</v>
      </c>
      <c r="F9" s="10" t="n">
        <v>0.5</v>
      </c>
      <c r="G9" s="10" t="n">
        <v>1.6</v>
      </c>
      <c r="H9" s="10" t="n">
        <v>1.4</v>
      </c>
      <c r="I9" s="10" t="n">
        <v>0.6</v>
      </c>
      <c r="J9" s="10" t="n">
        <v>21</v>
      </c>
      <c r="K9" s="10" t="n">
        <v>13.2</v>
      </c>
      <c r="L9" s="10" t="n">
        <v>4.8</v>
      </c>
      <c r="M9" s="10" t="n">
        <v>10</v>
      </c>
      <c r="N9" s="10" t="n">
        <v>6.3</v>
      </c>
      <c r="O9" s="10" t="n">
        <v>8.2</v>
      </c>
      <c r="P9" s="10" t="n">
        <v>9.6</v>
      </c>
      <c r="Q9" s="10" t="n">
        <v>11.1</v>
      </c>
      <c r="R9" s="10" t="n">
        <v>4.3</v>
      </c>
    </row>
    <row r="10" customFormat="false" ht="15" hidden="false" customHeight="false" outlineLevel="0" collapsed="false">
      <c r="A10" s="11" t="s">
        <v>21</v>
      </c>
      <c r="B10" s="10" t="n">
        <v>3.3</v>
      </c>
      <c r="C10" s="10" t="n">
        <v>4.2</v>
      </c>
      <c r="D10" s="10" t="n">
        <v>1.4</v>
      </c>
      <c r="E10" s="10" t="n">
        <v>3.4</v>
      </c>
      <c r="F10" s="10" t="n">
        <v>0.6</v>
      </c>
      <c r="G10" s="10" t="n">
        <v>1.3</v>
      </c>
      <c r="H10" s="10" t="n">
        <v>1.3</v>
      </c>
      <c r="I10" s="10" t="n">
        <v>0.5</v>
      </c>
      <c r="J10" s="10" t="n">
        <v>18.6</v>
      </c>
      <c r="K10" s="10" t="n">
        <v>13.1</v>
      </c>
      <c r="L10" s="10" t="n">
        <v>5.2</v>
      </c>
      <c r="M10" s="10" t="n">
        <v>9.6</v>
      </c>
      <c r="N10" s="10" t="n">
        <v>6.8</v>
      </c>
      <c r="O10" s="10" t="n">
        <v>10.2</v>
      </c>
      <c r="P10" s="10" t="n">
        <v>9.8</v>
      </c>
      <c r="Q10" s="10" t="n">
        <v>11.6</v>
      </c>
      <c r="R10" s="10" t="n">
        <v>4.9</v>
      </c>
    </row>
    <row r="11" customFormat="false" ht="15" hidden="false" customHeight="false" outlineLevel="0" collapsed="false">
      <c r="A11" s="11" t="s">
        <v>22</v>
      </c>
      <c r="B11" s="10" t="n">
        <v>2.7</v>
      </c>
      <c r="C11" s="10" t="n">
        <v>3.1</v>
      </c>
      <c r="D11" s="10" t="n">
        <v>1.3</v>
      </c>
      <c r="E11" s="10" t="n">
        <v>4</v>
      </c>
      <c r="F11" s="10" t="n">
        <v>0.5</v>
      </c>
      <c r="G11" s="10" t="n">
        <v>1</v>
      </c>
      <c r="H11" s="10" t="n">
        <v>1.5</v>
      </c>
      <c r="I11" s="10" t="n">
        <v>0.6</v>
      </c>
      <c r="J11" s="10" t="n">
        <v>17.6</v>
      </c>
      <c r="K11" s="10" t="n">
        <v>12.9</v>
      </c>
      <c r="L11" s="10" t="n">
        <v>4.8</v>
      </c>
      <c r="M11" s="10" t="n">
        <v>10.3</v>
      </c>
      <c r="N11" s="10" t="n">
        <v>5.9</v>
      </c>
      <c r="O11" s="10" t="n">
        <v>10.8</v>
      </c>
      <c r="P11" s="10" t="n">
        <v>11.1</v>
      </c>
      <c r="Q11" s="10" t="n">
        <v>12</v>
      </c>
      <c r="R11" s="10" t="n">
        <v>5</v>
      </c>
    </row>
    <row r="12" customFormat="false" ht="15" hidden="false" customHeight="false" outlineLevel="0" collapsed="false">
      <c r="A12" s="11" t="s">
        <v>23</v>
      </c>
      <c r="B12" s="10" t="n">
        <v>2.8</v>
      </c>
      <c r="C12" s="10" t="n">
        <v>2.8</v>
      </c>
      <c r="D12" s="10" t="n">
        <v>1.3</v>
      </c>
      <c r="E12" s="10" t="n">
        <v>3.8</v>
      </c>
      <c r="F12" s="10" t="n">
        <v>0.8</v>
      </c>
      <c r="G12" s="10" t="n">
        <v>1.3</v>
      </c>
      <c r="H12" s="10" t="n">
        <v>1.2</v>
      </c>
      <c r="I12" s="10" t="n">
        <v>0.2</v>
      </c>
      <c r="J12" s="10" t="n">
        <v>21.9</v>
      </c>
      <c r="K12" s="10" t="n">
        <v>11.1</v>
      </c>
      <c r="L12" s="10" t="n">
        <v>4.8</v>
      </c>
      <c r="M12" s="10" t="n">
        <v>10.2</v>
      </c>
      <c r="N12" s="10" t="n">
        <v>7.9</v>
      </c>
      <c r="O12" s="10" t="n">
        <v>10.3</v>
      </c>
      <c r="P12" s="10" t="n">
        <v>10.6</v>
      </c>
      <c r="Q12" s="10" t="n">
        <v>10.6</v>
      </c>
      <c r="R12" s="10" t="n">
        <v>3.1</v>
      </c>
    </row>
    <row r="14" customFormat="false" ht="15" hidden="false" customHeight="false" outlineLevel="0" collapsed="false">
      <c r="A14" s="14" t="s">
        <v>58</v>
      </c>
    </row>
    <row r="15" customFormat="false" ht="26.85" hidden="false" customHeight="false" outlineLevel="0" collapsed="false">
      <c r="A15" s="7" t="s">
        <v>59</v>
      </c>
      <c r="B15" s="8" t="s">
        <v>60</v>
      </c>
      <c r="C15" s="8" t="s">
        <v>61</v>
      </c>
      <c r="D15" s="8" t="s">
        <v>62</v>
      </c>
      <c r="E15" s="8" t="s">
        <v>63</v>
      </c>
      <c r="F15" s="8" t="s">
        <v>64</v>
      </c>
      <c r="G15" s="8" t="s">
        <v>65</v>
      </c>
      <c r="H15" s="8" t="s">
        <v>66</v>
      </c>
    </row>
    <row r="16" customFormat="false" ht="15" hidden="false" customHeight="false" outlineLevel="0" collapsed="false">
      <c r="A16" s="9" t="s">
        <v>67</v>
      </c>
      <c r="B16" s="13" t="n">
        <f aca="false">(K6)/(K5)</f>
        <v>0.884615384615385</v>
      </c>
      <c r="C16" s="13" t="n">
        <f aca="false">(K7)/(K5)</f>
        <v>1.03076923076923</v>
      </c>
      <c r="D16" s="13" t="n">
        <f aca="false">(K8)/(K5)</f>
        <v>1.03076923076923</v>
      </c>
      <c r="E16" s="13" t="n">
        <f aca="false">(K9)/(K5)</f>
        <v>1.01538461538462</v>
      </c>
      <c r="F16" s="13" t="n">
        <f aca="false">(K10)/(K5)</f>
        <v>1.00769230769231</v>
      </c>
      <c r="G16" s="13" t="n">
        <f aca="false">(K11)/(K5)</f>
        <v>0.992307692307692</v>
      </c>
      <c r="H16" s="13" t="n">
        <f aca="false">(K12)/(K5)</f>
        <v>0.853846153846154</v>
      </c>
    </row>
    <row r="17" customFormat="false" ht="15" hidden="false" customHeight="false" outlineLevel="0" collapsed="false">
      <c r="A17" s="9" t="s">
        <v>68</v>
      </c>
      <c r="B17" s="13" t="n">
        <f aca="false">(B6)/(B5)</f>
        <v>2.91111111111111</v>
      </c>
      <c r="C17" s="13" t="n">
        <f aca="false">(B7)/(B5)</f>
        <v>1.75555555555556</v>
      </c>
      <c r="D17" s="13" t="n">
        <f aca="false">(B8)/(B5)</f>
        <v>1.04444444444444</v>
      </c>
      <c r="E17" s="13" t="n">
        <f aca="false">(B9)/(B5)</f>
        <v>0.822222222222222</v>
      </c>
      <c r="F17" s="13" t="n">
        <f aca="false">(B10)/(B5)</f>
        <v>0.733333333333333</v>
      </c>
      <c r="G17" s="13" t="n">
        <f aca="false">(B11)/(B5)</f>
        <v>0.6</v>
      </c>
      <c r="H17" s="13" t="n">
        <f aca="false">(B12)/(B5)</f>
        <v>0.622222222222222</v>
      </c>
    </row>
    <row r="18" customFormat="false" ht="15" hidden="false" customHeight="false" outlineLevel="0" collapsed="false">
      <c r="A18" s="11" t="s">
        <v>69</v>
      </c>
      <c r="B18" s="13" t="n">
        <f aca="false">(P6+Q6)/(P5+Q5)</f>
        <v>0.77</v>
      </c>
      <c r="C18" s="13" t="n">
        <f aca="false">(P7+Q7)/(P5+Q5)</f>
        <v>0.845</v>
      </c>
      <c r="D18" s="13" t="n">
        <f aca="false">(P8+Q8)/(P5+Q5)</f>
        <v>0.915</v>
      </c>
      <c r="E18" s="13" t="n">
        <f aca="false">(P9+Q9)/(P5+Q5)</f>
        <v>1.035</v>
      </c>
      <c r="F18" s="13" t="n">
        <f aca="false">(P10+Q10)/(P5+Q5)</f>
        <v>1.07</v>
      </c>
      <c r="G18" s="13" t="n">
        <f aca="false">(P11+Q11)/(P5+Q5)</f>
        <v>1.155</v>
      </c>
      <c r="H18" s="13" t="n">
        <f aca="false">(P12+Q12)/(P5+Q5)</f>
        <v>1.06</v>
      </c>
    </row>
    <row r="19" customFormat="false" ht="15" hidden="false" customHeight="false" outlineLevel="0" collapsed="false">
      <c r="A19" s="9" t="s">
        <v>70</v>
      </c>
      <c r="B19" s="13" t="n">
        <f aca="false">(R6)/(R5)</f>
        <v>0.681818181818182</v>
      </c>
      <c r="C19" s="13" t="n">
        <f aca="false">(R7)/(R5)</f>
        <v>0.818181818181818</v>
      </c>
      <c r="D19" s="13" t="n">
        <f aca="false">(R8)/(R5)</f>
        <v>1.11363636363636</v>
      </c>
      <c r="E19" s="13" t="n">
        <f aca="false">(R9)/(R5)</f>
        <v>0.977272727272727</v>
      </c>
      <c r="F19" s="13" t="n">
        <f aca="false">(R10)/(R5)</f>
        <v>1.11363636363636</v>
      </c>
      <c r="G19" s="13" t="n">
        <f aca="false">(R11)/(R5)</f>
        <v>1.13636363636364</v>
      </c>
      <c r="H19" s="13" t="n">
        <f aca="false">(R12)/(R5)</f>
        <v>0.704545454545455</v>
      </c>
    </row>
    <row r="20" customFormat="false" ht="15" hidden="false" customHeight="false" outlineLevel="0" collapsed="false">
      <c r="A20" s="9" t="s">
        <v>71</v>
      </c>
      <c r="B20" s="13" t="n">
        <f aca="false">(C6)/(C5)</f>
        <v>1.17021276595745</v>
      </c>
      <c r="C20" s="13" t="n">
        <f aca="false">(C7)/(C5)</f>
        <v>1.46808510638298</v>
      </c>
      <c r="D20" s="13" t="n">
        <f aca="false">(C8)/(C5)</f>
        <v>1.19148936170213</v>
      </c>
      <c r="E20" s="13" t="n">
        <f aca="false">(C9)/(C5)</f>
        <v>1</v>
      </c>
      <c r="F20" s="13" t="n">
        <f aca="false">(C10)/(C5)</f>
        <v>0.893617021276596</v>
      </c>
      <c r="G20" s="13" t="n">
        <f aca="false">(C11)/(C5)</f>
        <v>0.659574468085106</v>
      </c>
      <c r="H20" s="13" t="n">
        <f aca="false">(C12)/(C5)</f>
        <v>0.595744680851064</v>
      </c>
    </row>
    <row r="21" customFormat="false" ht="15" hidden="false" customHeight="false" outlineLevel="0" collapsed="false">
      <c r="A21" s="11" t="s">
        <v>72</v>
      </c>
      <c r="B21" s="13" t="n">
        <f aca="false">(Q6)/(Q5)</f>
        <v>0.745283018867925</v>
      </c>
      <c r="C21" s="13" t="n">
        <f aca="false">(Q7)/(Q5)</f>
        <v>0.839622641509434</v>
      </c>
      <c r="D21" s="13" t="n">
        <f aca="false">(Q8)/(Q5)</f>
        <v>0.933962264150943</v>
      </c>
      <c r="E21" s="13" t="n">
        <f aca="false">(Q9)/(Q5)</f>
        <v>1.04716981132075</v>
      </c>
      <c r="F21" s="13" t="n">
        <f aca="false">(Q10)/(Q5)</f>
        <v>1.09433962264151</v>
      </c>
      <c r="G21" s="13" t="n">
        <f aca="false">(Q11)/(Q5)</f>
        <v>1.13207547169811</v>
      </c>
      <c r="H21" s="13" t="n">
        <f aca="false">(Q12)/(Q5)</f>
        <v>1</v>
      </c>
    </row>
    <row r="22" customFormat="false" ht="15" hidden="false" customHeight="false" outlineLevel="0" collapsed="false">
      <c r="A22" s="11" t="s">
        <v>73</v>
      </c>
      <c r="B22" s="13" t="n">
        <f aca="false">(J6+K6)/(J5+K5)</f>
        <v>0.896142433234421</v>
      </c>
      <c r="C22" s="13" t="n">
        <f aca="false">(J7+K7)/(J5+K5)</f>
        <v>1.05341246290801</v>
      </c>
      <c r="D22" s="13" t="n">
        <f aca="false">(J8+K8)/(J5+K5)</f>
        <v>1.10682492581602</v>
      </c>
      <c r="E22" s="13" t="n">
        <f aca="false">(J9+K9)/(J5+K5)</f>
        <v>1.01483679525223</v>
      </c>
      <c r="F22" s="13" t="n">
        <f aca="false">(J10+K10)/(J5+K5)</f>
        <v>0.940652818991098</v>
      </c>
      <c r="G22" s="13" t="n">
        <f aca="false">(J11+K11)/(J5+K5)</f>
        <v>0.905044510385757</v>
      </c>
      <c r="H22" s="13" t="n">
        <f aca="false">(J12+K12)/(J5+K5)</f>
        <v>0.979228486646884</v>
      </c>
    </row>
    <row r="23" customFormat="false" ht="15" hidden="false" customHeight="false" outlineLevel="0" collapsed="false">
      <c r="A23" s="11" t="s">
        <v>74</v>
      </c>
      <c r="B23" s="13" t="n">
        <f aca="false">(D6+P6)/(D5+P5)</f>
        <v>0.990654205607477</v>
      </c>
      <c r="C23" s="13" t="n">
        <f aca="false">(D7+P7)/(D5+P5)</f>
        <v>0.878504672897196</v>
      </c>
      <c r="D23" s="13" t="n">
        <f aca="false">(D8+P8)/(D5+P5)</f>
        <v>0.88785046728972</v>
      </c>
      <c r="E23" s="13" t="n">
        <f aca="false">(D9+P9)/(D5+P5)</f>
        <v>1</v>
      </c>
      <c r="F23" s="13" t="n">
        <f aca="false">(D10+P10)/(D5+P5)</f>
        <v>1.04672897196262</v>
      </c>
      <c r="G23" s="13" t="n">
        <f aca="false">(D11+P11)/(D5+P5)</f>
        <v>1.1588785046729</v>
      </c>
      <c r="H23" s="13" t="n">
        <f aca="false">(D12+P12)/(D5+P5)</f>
        <v>1.11214953271028</v>
      </c>
    </row>
    <row r="25" customFormat="false" ht="15" hidden="false" customHeight="false" outlineLevel="0" collapsed="false">
      <c r="A25" s="14" t="s">
        <v>75</v>
      </c>
    </row>
    <row r="26" customFormat="false" ht="26.85" hidden="false" customHeight="false" outlineLevel="0" collapsed="false">
      <c r="A26" s="7" t="s">
        <v>59</v>
      </c>
      <c r="B26" s="8" t="s">
        <v>60</v>
      </c>
      <c r="C26" s="8" t="s">
        <v>61</v>
      </c>
      <c r="D26" s="8" t="s">
        <v>62</v>
      </c>
      <c r="E26" s="8" t="s">
        <v>63</v>
      </c>
      <c r="F26" s="8" t="s">
        <v>64</v>
      </c>
      <c r="G26" s="8" t="s">
        <v>65</v>
      </c>
      <c r="H26" s="8" t="s">
        <v>66</v>
      </c>
    </row>
    <row r="27" customFormat="false" ht="15" hidden="false" customHeight="false" outlineLevel="0" collapsed="false">
      <c r="A27" s="9" t="str">
        <f aca="false">A16</f>
        <v>왕과 사는 남자 (강원)</v>
      </c>
      <c r="B27" s="17" t="n">
        <f aca="false">MAX(-0.05,MIN(0.05,0.1*(B16-1)))</f>
        <v>-0.0115384615384615</v>
      </c>
      <c r="C27" s="17" t="n">
        <f aca="false">MAX(-0.05,MIN(0.05,0.1*(C16-1)))</f>
        <v>0.00307692307692309</v>
      </c>
      <c r="D27" s="17" t="n">
        <f aca="false">MAX(-0.05,MIN(0.05,0.1*(D16-1)))</f>
        <v>0.00307692307692309</v>
      </c>
      <c r="E27" s="17" t="n">
        <f aca="false">MAX(-0.05,MIN(0.05,0.1*(E16-1)))</f>
        <v>0.00153846153846153</v>
      </c>
      <c r="F27" s="17" t="n">
        <f aca="false">MAX(-0.05,MIN(0.05,0.1*(F16-1)))</f>
        <v>0.000769230769230767</v>
      </c>
      <c r="G27" s="17" t="n">
        <f aca="false">MAX(-0.05,MIN(0.05,0.1*(G16-1)))</f>
        <v>-0.000769230769230767</v>
      </c>
      <c r="H27" s="17" t="n">
        <f aca="false">MAX(-0.05,MIN(0.05,0.1*(H16-1)))</f>
        <v>-0.0146153846153846</v>
      </c>
    </row>
    <row r="28" customFormat="false" ht="15" hidden="false" customHeight="false" outlineLevel="0" collapsed="false">
      <c r="A28" s="9" t="str">
        <f aca="false">A17</f>
        <v>케이팝 데몬 헌터스 (서울)</v>
      </c>
      <c r="B28" s="17" t="n">
        <f aca="false">MAX(-0.05,MIN(0.05,0.1*(B17-1)))</f>
        <v>0.05</v>
      </c>
      <c r="C28" s="17" t="n">
        <f aca="false">MAX(-0.05,MIN(0.05,0.1*(C17-1)))</f>
        <v>0.05</v>
      </c>
      <c r="D28" s="17" t="n">
        <f aca="false">MAX(-0.05,MIN(0.05,0.1*(D17-1)))</f>
        <v>0.00444444444444445</v>
      </c>
      <c r="E28" s="17" t="n">
        <f aca="false">MAX(-0.05,MIN(0.05,0.1*(E17-1)))</f>
        <v>-0.0177777777777778</v>
      </c>
      <c r="F28" s="17" t="n">
        <f aca="false">MAX(-0.05,MIN(0.05,0.1*(F17-1)))</f>
        <v>-0.0266666666666667</v>
      </c>
      <c r="G28" s="17" t="n">
        <f aca="false">MAX(-0.05,MIN(0.05,0.1*(G17-1)))</f>
        <v>-0.04</v>
      </c>
      <c r="H28" s="17" t="n">
        <f aca="false">MAX(-0.05,MIN(0.05,0.1*(H17-1)))</f>
        <v>-0.0377777777777778</v>
      </c>
    </row>
    <row r="29" customFormat="false" ht="15" hidden="false" customHeight="false" outlineLevel="0" collapsed="false">
      <c r="A29" s="9" t="str">
        <f aca="false">A18</f>
        <v>RESCENE Route (경북·경남)</v>
      </c>
      <c r="B29" s="17" t="n">
        <f aca="false">MAX(-0.05,MIN(0.05,0.1*(B18-1)))</f>
        <v>-0.023</v>
      </c>
      <c r="C29" s="17" t="n">
        <f aca="false">MAX(-0.05,MIN(0.05,0.1*(C18-1)))</f>
        <v>-0.0155</v>
      </c>
      <c r="D29" s="17" t="n">
        <f aca="false">MAX(-0.05,MIN(0.05,0.1*(D18-1)))</f>
        <v>-0.0085</v>
      </c>
      <c r="E29" s="17" t="n">
        <f aca="false">MAX(-0.05,MIN(0.05,0.1*(E18-1)))</f>
        <v>0.00349999999999999</v>
      </c>
      <c r="F29" s="17" t="n">
        <f aca="false">MAX(-0.05,MIN(0.05,0.1*(F18-1)))</f>
        <v>0.00699999999999998</v>
      </c>
      <c r="G29" s="17" t="n">
        <f aca="false">MAX(-0.05,MIN(0.05,0.1*(G18-1)))</f>
        <v>0.0155</v>
      </c>
      <c r="H29" s="17" t="n">
        <f aca="false">MAX(-0.05,MIN(0.05,0.1*(H18-1)))</f>
        <v>0.00600000000000001</v>
      </c>
    </row>
    <row r="30" customFormat="false" ht="15" hidden="false" customHeight="false" outlineLevel="0" collapsed="false">
      <c r="A30" s="9" t="str">
        <f aca="false">A19</f>
        <v>제주 K-Drama (제주)</v>
      </c>
      <c r="B30" s="17" t="n">
        <f aca="false">MAX(-0.05,MIN(0.05,0.1*(B19-1)))</f>
        <v>-0.0318181818181818</v>
      </c>
      <c r="C30" s="17" t="n">
        <f aca="false">MAX(-0.05,MIN(0.05,0.1*(C19-1)))</f>
        <v>-0.0181818181818182</v>
      </c>
      <c r="D30" s="17" t="n">
        <f aca="false">MAX(-0.05,MIN(0.05,0.1*(D19-1)))</f>
        <v>0.0113636363636364</v>
      </c>
      <c r="E30" s="17" t="n">
        <f aca="false">MAX(-0.05,MIN(0.05,0.1*(E19-1)))</f>
        <v>-0.00227272727272728</v>
      </c>
      <c r="F30" s="17" t="n">
        <f aca="false">MAX(-0.05,MIN(0.05,0.1*(F19-1)))</f>
        <v>0.0113636363636364</v>
      </c>
      <c r="G30" s="17" t="n">
        <f aca="false">MAX(-0.05,MIN(0.05,0.1*(G19-1)))</f>
        <v>0.0136363636363636</v>
      </c>
      <c r="H30" s="17" t="n">
        <f aca="false">MAX(-0.05,MIN(0.05,0.1*(H19-1)))</f>
        <v>-0.0295454545454546</v>
      </c>
    </row>
    <row r="31" customFormat="false" ht="15" hidden="false" customHeight="false" outlineLevel="0" collapsed="false">
      <c r="A31" s="9" t="str">
        <f aca="false">A20</f>
        <v>부산 영화 기행 (부산)</v>
      </c>
      <c r="B31" s="17" t="n">
        <f aca="false">MAX(-0.05,MIN(0.05,0.1*(B20-1)))</f>
        <v>0.0170212765957447</v>
      </c>
      <c r="C31" s="17" t="n">
        <f aca="false">MAX(-0.05,MIN(0.05,0.1*(C20-1)))</f>
        <v>0.0468085106382979</v>
      </c>
      <c r="D31" s="17" t="n">
        <f aca="false">MAX(-0.05,MIN(0.05,0.1*(D20-1)))</f>
        <v>0.0191489361702128</v>
      </c>
      <c r="E31" s="17" t="n">
        <f aca="false">MAX(-0.05,MIN(0.05,0.1*(E20-1)))</f>
        <v>0</v>
      </c>
      <c r="F31" s="17" t="n">
        <f aca="false">MAX(-0.05,MIN(0.05,0.1*(F20-1)))</f>
        <v>-0.0106382978723404</v>
      </c>
      <c r="G31" s="17" t="n">
        <f aca="false">MAX(-0.05,MIN(0.05,0.1*(G20-1)))</f>
        <v>-0.0340425531914894</v>
      </c>
      <c r="H31" s="17" t="n">
        <f aca="false">MAX(-0.05,MIN(0.05,0.1*(H20-1)))</f>
        <v>-0.0404255319148936</v>
      </c>
    </row>
    <row r="32" customFormat="false" ht="15" hidden="false" customHeight="false" outlineLevel="0" collapsed="false">
      <c r="A32" s="9" t="str">
        <f aca="false">A21</f>
        <v>[가상] 통영·남해 섬 로맨스 (경남)</v>
      </c>
      <c r="B32" s="17" t="n">
        <f aca="false">MAX(-0.05,MIN(0.05,0.1*(B21-1)))</f>
        <v>-0.0254716981132075</v>
      </c>
      <c r="C32" s="17" t="n">
        <f aca="false">MAX(-0.05,MIN(0.05,0.1*(C21-1)))</f>
        <v>-0.0160377358490566</v>
      </c>
      <c r="D32" s="17" t="n">
        <f aca="false">MAX(-0.05,MIN(0.05,0.1*(D21-1)))</f>
        <v>-0.00660377358490566</v>
      </c>
      <c r="E32" s="17" t="n">
        <f aca="false">MAX(-0.05,MIN(0.05,0.1*(E21-1)))</f>
        <v>0.00471698113207548</v>
      </c>
      <c r="F32" s="17" t="n">
        <f aca="false">MAX(-0.05,MIN(0.05,0.1*(F21-1)))</f>
        <v>0.00943396226415094</v>
      </c>
      <c r="G32" s="17" t="n">
        <f aca="false">MAX(-0.05,MIN(0.05,0.1*(G21-1)))</f>
        <v>0.0132075471698113</v>
      </c>
      <c r="H32" s="17" t="n">
        <f aca="false">MAX(-0.05,MIN(0.05,0.1*(H21-1)))</f>
        <v>0</v>
      </c>
    </row>
    <row r="33" customFormat="false" ht="15" hidden="false" customHeight="false" outlineLevel="0" collapsed="false">
      <c r="A33" s="9" t="str">
        <f aca="false">A22</f>
        <v>[가상] 키즈 애니 어드벤처 (경기·강원)</v>
      </c>
      <c r="B33" s="17" t="n">
        <f aca="false">MAX(-0.05,MIN(0.05,0.1*(B22-1)))</f>
        <v>-0.0103857566765579</v>
      </c>
      <c r="C33" s="17" t="n">
        <f aca="false">MAX(-0.05,MIN(0.05,0.1*(C22-1)))</f>
        <v>0.00534124629080117</v>
      </c>
      <c r="D33" s="17" t="n">
        <f aca="false">MAX(-0.05,MIN(0.05,0.1*(D22-1)))</f>
        <v>0.0106824925816024</v>
      </c>
      <c r="E33" s="17" t="n">
        <f aca="false">MAX(-0.05,MIN(0.05,0.1*(E22-1)))</f>
        <v>0.00148367952522255</v>
      </c>
      <c r="F33" s="17" t="n">
        <f aca="false">MAX(-0.05,MIN(0.05,0.1*(F22-1)))</f>
        <v>-0.0059347181008902</v>
      </c>
      <c r="G33" s="17" t="n">
        <f aca="false">MAX(-0.05,MIN(0.05,0.1*(G22-1)))</f>
        <v>-0.00949554896142434</v>
      </c>
      <c r="H33" s="17" t="n">
        <f aca="false">MAX(-0.05,MIN(0.05,0.1*(H22-1)))</f>
        <v>-0.00207715133531158</v>
      </c>
    </row>
    <row r="34" customFormat="false" ht="15" hidden="false" customHeight="false" outlineLevel="0" collapsed="false">
      <c r="A34" s="9" t="str">
        <f aca="false">A23</f>
        <v>[가상] 대구·안동 먹방 예능 로드 (대구·경북)</v>
      </c>
      <c r="B34" s="17" t="n">
        <f aca="false">MAX(-0.05,MIN(0.05,0.1*(B23-1)))</f>
        <v>-0.000934579439252348</v>
      </c>
      <c r="C34" s="17" t="n">
        <f aca="false">MAX(-0.05,MIN(0.05,0.1*(C23-1)))</f>
        <v>-0.0121495327102804</v>
      </c>
      <c r="D34" s="17" t="n">
        <f aca="false">MAX(-0.05,MIN(0.05,0.1*(D23-1)))</f>
        <v>-0.0112149532710281</v>
      </c>
      <c r="E34" s="17" t="n">
        <f aca="false">MAX(-0.05,MIN(0.05,0.1*(E23-1)))</f>
        <v>0</v>
      </c>
      <c r="F34" s="17" t="n">
        <f aca="false">MAX(-0.05,MIN(0.05,0.1*(F23-1)))</f>
        <v>0.00467289719626167</v>
      </c>
      <c r="G34" s="17" t="n">
        <f aca="false">MAX(-0.05,MIN(0.05,0.1*(G23-1)))</f>
        <v>0.0158878504672897</v>
      </c>
      <c r="H34" s="17" t="n">
        <f aca="false">MAX(-0.05,MIN(0.05,0.1*(H23-1)))</f>
        <v>0.011214953271028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7" min="1" style="0" width="16"/>
  </cols>
  <sheetData>
    <row r="1" customFormat="false" ht="15" hidden="false" customHeight="false" outlineLevel="0" collapsed="false">
      <c r="A1" s="5" t="s">
        <v>76</v>
      </c>
    </row>
    <row r="2" customFormat="false" ht="15" hidden="false" customHeight="false" outlineLevel="0" collapsed="false">
      <c r="A2" s="6" t="s">
        <v>77</v>
      </c>
    </row>
    <row r="4" customFormat="false" ht="15" hidden="false" customHeight="false" outlineLevel="0" collapsed="false">
      <c r="A4" s="14" t="s">
        <v>78</v>
      </c>
    </row>
    <row r="5" customFormat="false" ht="15" hidden="false" customHeight="false" outlineLevel="0" collapsed="false">
      <c r="A5" s="7" t="s">
        <v>9</v>
      </c>
      <c r="B5" s="7" t="s">
        <v>79</v>
      </c>
      <c r="C5" s="8" t="s">
        <v>80</v>
      </c>
      <c r="D5" s="8" t="s">
        <v>81</v>
      </c>
      <c r="E5" s="8" t="s">
        <v>82</v>
      </c>
    </row>
    <row r="6" customFormat="false" ht="15" hidden="false" customHeight="false" outlineLevel="0" collapsed="false">
      <c r="A6" s="9" t="s">
        <v>16</v>
      </c>
      <c r="B6" s="10" t="n">
        <v>58.3</v>
      </c>
      <c r="C6" s="10" t="n">
        <v>30.4</v>
      </c>
      <c r="D6" s="10" t="n">
        <v>9.1</v>
      </c>
      <c r="E6" s="10" t="n">
        <v>2.3</v>
      </c>
    </row>
    <row r="7" customFormat="false" ht="15" hidden="false" customHeight="false" outlineLevel="0" collapsed="false">
      <c r="A7" s="11" t="s">
        <v>17</v>
      </c>
      <c r="B7" s="10" t="n">
        <v>65.8</v>
      </c>
      <c r="C7" s="10" t="n">
        <v>23.2</v>
      </c>
      <c r="D7" s="10" t="n">
        <v>10.1</v>
      </c>
      <c r="E7" s="10" t="n">
        <v>0.8</v>
      </c>
    </row>
    <row r="8" customFormat="false" ht="15" hidden="false" customHeight="false" outlineLevel="0" collapsed="false">
      <c r="A8" s="11" t="s">
        <v>18</v>
      </c>
      <c r="B8" s="10" t="n">
        <v>59</v>
      </c>
      <c r="C8" s="10" t="n">
        <v>30.1</v>
      </c>
      <c r="D8" s="10" t="n">
        <v>8.6</v>
      </c>
      <c r="E8" s="10" t="n">
        <v>2.3</v>
      </c>
    </row>
    <row r="9" customFormat="false" ht="15" hidden="false" customHeight="false" outlineLevel="0" collapsed="false">
      <c r="A9" s="11" t="s">
        <v>19</v>
      </c>
      <c r="B9" s="10" t="n">
        <v>54.8</v>
      </c>
      <c r="C9" s="10" t="n">
        <v>33</v>
      </c>
      <c r="D9" s="10" t="n">
        <v>9.9</v>
      </c>
      <c r="E9" s="10" t="n">
        <v>2.4</v>
      </c>
    </row>
    <row r="10" customFormat="false" ht="15" hidden="false" customHeight="false" outlineLevel="0" collapsed="false">
      <c r="A10" s="11" t="s">
        <v>20</v>
      </c>
      <c r="B10" s="10" t="n">
        <v>55.6</v>
      </c>
      <c r="C10" s="10" t="n">
        <v>30.9</v>
      </c>
      <c r="D10" s="10" t="n">
        <v>10.7</v>
      </c>
      <c r="E10" s="10" t="n">
        <v>2.8</v>
      </c>
    </row>
    <row r="11" customFormat="false" ht="15" hidden="false" customHeight="false" outlineLevel="0" collapsed="false">
      <c r="A11" s="11" t="s">
        <v>21</v>
      </c>
      <c r="B11" s="10" t="n">
        <v>56.4</v>
      </c>
      <c r="C11" s="10" t="n">
        <v>32.2</v>
      </c>
      <c r="D11" s="10" t="n">
        <v>9</v>
      </c>
      <c r="E11" s="10" t="n">
        <v>2.4</v>
      </c>
    </row>
    <row r="12" customFormat="false" ht="15" hidden="false" customHeight="false" outlineLevel="0" collapsed="false">
      <c r="A12" s="11" t="s">
        <v>22</v>
      </c>
      <c r="B12" s="10" t="n">
        <v>61.1</v>
      </c>
      <c r="C12" s="10" t="n">
        <v>29.6</v>
      </c>
      <c r="D12" s="10" t="n">
        <v>7.7</v>
      </c>
      <c r="E12" s="10" t="n">
        <v>1.7</v>
      </c>
    </row>
    <row r="13" customFormat="false" ht="15" hidden="false" customHeight="false" outlineLevel="0" collapsed="false">
      <c r="A13" s="11" t="s">
        <v>23</v>
      </c>
      <c r="B13" s="10" t="n">
        <v>67.2</v>
      </c>
      <c r="C13" s="10" t="n">
        <v>23.4</v>
      </c>
      <c r="D13" s="10" t="n">
        <v>7.5</v>
      </c>
      <c r="E13" s="10" t="n">
        <v>1.9</v>
      </c>
    </row>
    <row r="15" customFormat="false" ht="15" hidden="false" customHeight="false" outlineLevel="0" collapsed="false">
      <c r="A15" s="12" t="s">
        <v>83</v>
      </c>
    </row>
    <row r="16" customFormat="false" ht="15" hidden="false" customHeight="false" outlineLevel="0" collapsed="false">
      <c r="A16" s="7" t="s">
        <v>9</v>
      </c>
      <c r="B16" s="7" t="s">
        <v>84</v>
      </c>
      <c r="C16" s="7" t="s">
        <v>85</v>
      </c>
      <c r="D16" s="7" t="s">
        <v>86</v>
      </c>
    </row>
    <row r="17" customFormat="false" ht="15" hidden="false" customHeight="false" outlineLevel="0" collapsed="false">
      <c r="A17" s="9" t="s">
        <v>16</v>
      </c>
      <c r="B17" s="10" t="n">
        <v>140</v>
      </c>
      <c r="C17" s="10" t="n">
        <v>235</v>
      </c>
      <c r="D17" s="10" t="n">
        <v>71</v>
      </c>
    </row>
    <row r="18" customFormat="false" ht="15" hidden="false" customHeight="false" outlineLevel="0" collapsed="false">
      <c r="A18" s="11" t="s">
        <v>17</v>
      </c>
      <c r="B18" s="10" t="n">
        <v>115</v>
      </c>
      <c r="C18" s="10" t="n">
        <v>207</v>
      </c>
      <c r="D18" s="10" t="n">
        <v>68</v>
      </c>
    </row>
    <row r="19" customFormat="false" ht="15" hidden="false" customHeight="false" outlineLevel="0" collapsed="false">
      <c r="A19" s="11" t="s">
        <v>18</v>
      </c>
      <c r="B19" s="10" t="n">
        <v>148</v>
      </c>
      <c r="C19" s="10" t="n">
        <v>249</v>
      </c>
      <c r="D19" s="10" t="n">
        <v>77</v>
      </c>
    </row>
    <row r="20" customFormat="false" ht="15" hidden="false" customHeight="false" outlineLevel="0" collapsed="false">
      <c r="A20" s="11" t="s">
        <v>19</v>
      </c>
      <c r="B20" s="10" t="n">
        <v>148</v>
      </c>
      <c r="C20" s="10" t="n">
        <v>240</v>
      </c>
      <c r="D20" s="10" t="n">
        <v>71</v>
      </c>
    </row>
    <row r="21" customFormat="false" ht="15" hidden="false" customHeight="false" outlineLevel="0" collapsed="false">
      <c r="A21" s="11" t="s">
        <v>20</v>
      </c>
      <c r="B21" s="10" t="n">
        <v>137</v>
      </c>
      <c r="C21" s="10" t="n">
        <v>221</v>
      </c>
      <c r="D21" s="10" t="n">
        <v>68</v>
      </c>
    </row>
    <row r="22" customFormat="false" ht="15" hidden="false" customHeight="false" outlineLevel="0" collapsed="false">
      <c r="A22" s="11" t="s">
        <v>21</v>
      </c>
      <c r="B22" s="10" t="n">
        <v>148</v>
      </c>
      <c r="C22" s="10" t="n">
        <v>243</v>
      </c>
      <c r="D22" s="10" t="n">
        <v>74</v>
      </c>
    </row>
    <row r="23" customFormat="false" ht="15" hidden="false" customHeight="false" outlineLevel="0" collapsed="false">
      <c r="A23" s="11" t="s">
        <v>22</v>
      </c>
      <c r="B23" s="10" t="n">
        <v>136</v>
      </c>
      <c r="C23" s="10" t="n">
        <v>238</v>
      </c>
      <c r="D23" s="10" t="n">
        <v>69</v>
      </c>
    </row>
    <row r="24" customFormat="false" ht="15" hidden="false" customHeight="false" outlineLevel="0" collapsed="false">
      <c r="A24" s="11" t="s">
        <v>23</v>
      </c>
      <c r="B24" s="10" t="n">
        <v>112</v>
      </c>
      <c r="C24" s="10" t="n">
        <v>211</v>
      </c>
      <c r="D24" s="10" t="n">
        <v>63</v>
      </c>
    </row>
    <row r="26" customFormat="false" ht="15" hidden="false" customHeight="false" outlineLevel="0" collapsed="false">
      <c r="A26" s="14" t="s">
        <v>87</v>
      </c>
    </row>
    <row r="27" customFormat="false" ht="29.85" hidden="false" customHeight="false" outlineLevel="0" collapsed="false">
      <c r="A27" s="7" t="s">
        <v>9</v>
      </c>
      <c r="B27" s="7" t="s">
        <v>88</v>
      </c>
      <c r="C27" s="7" t="s">
        <v>89</v>
      </c>
      <c r="D27" s="7" t="s">
        <v>90</v>
      </c>
      <c r="E27" s="7" t="s">
        <v>91</v>
      </c>
    </row>
    <row r="28" customFormat="false" ht="15" hidden="false" customHeight="false" outlineLevel="0" collapsed="false">
      <c r="A28" s="9" t="s">
        <v>16</v>
      </c>
      <c r="B28" s="10" t="n">
        <v>47.3</v>
      </c>
      <c r="C28" s="10" t="n">
        <v>43.1</v>
      </c>
      <c r="D28" s="10" t="n">
        <v>27.3</v>
      </c>
      <c r="E28" s="10" t="n">
        <v>11.6</v>
      </c>
    </row>
    <row r="29" customFormat="false" ht="15" hidden="false" customHeight="false" outlineLevel="0" collapsed="false">
      <c r="A29" s="11" t="s">
        <v>17</v>
      </c>
      <c r="B29" s="10" t="n">
        <v>42</v>
      </c>
      <c r="C29" s="10" t="n">
        <v>46.6</v>
      </c>
      <c r="D29" s="10" t="n">
        <v>28.6</v>
      </c>
      <c r="E29" s="10" t="n">
        <v>16.3</v>
      </c>
    </row>
    <row r="30" customFormat="false" ht="15" hidden="false" customHeight="false" outlineLevel="0" collapsed="false">
      <c r="A30" s="11" t="s">
        <v>18</v>
      </c>
      <c r="B30" s="10" t="n">
        <v>40.9</v>
      </c>
      <c r="C30" s="10" t="n">
        <v>44.4</v>
      </c>
      <c r="D30" s="10" t="n">
        <v>39.1</v>
      </c>
      <c r="E30" s="10" t="n">
        <v>9.5</v>
      </c>
    </row>
    <row r="31" customFormat="false" ht="15" hidden="false" customHeight="false" outlineLevel="0" collapsed="false">
      <c r="A31" s="11" t="s">
        <v>19</v>
      </c>
      <c r="B31" s="10" t="n">
        <v>44.8</v>
      </c>
      <c r="C31" s="10" t="n">
        <v>39.1</v>
      </c>
      <c r="D31" s="10" t="n">
        <v>36</v>
      </c>
      <c r="E31" s="10" t="n">
        <v>10.4</v>
      </c>
    </row>
    <row r="32" customFormat="false" ht="15" hidden="false" customHeight="false" outlineLevel="0" collapsed="false">
      <c r="A32" s="11" t="s">
        <v>20</v>
      </c>
      <c r="B32" s="10" t="n">
        <v>48.2</v>
      </c>
      <c r="C32" s="10" t="n">
        <v>39.9</v>
      </c>
      <c r="D32" s="10" t="n">
        <v>31.3</v>
      </c>
      <c r="E32" s="10" t="n">
        <v>10.8</v>
      </c>
    </row>
    <row r="33" customFormat="false" ht="15" hidden="false" customHeight="false" outlineLevel="0" collapsed="false">
      <c r="A33" s="11" t="s">
        <v>21</v>
      </c>
      <c r="B33" s="10" t="n">
        <v>50.5</v>
      </c>
      <c r="C33" s="10" t="n">
        <v>43.2</v>
      </c>
      <c r="D33" s="10" t="n">
        <v>23.4</v>
      </c>
      <c r="E33" s="10" t="n">
        <v>11.8</v>
      </c>
    </row>
    <row r="34" customFormat="false" ht="15" hidden="false" customHeight="false" outlineLevel="0" collapsed="false">
      <c r="A34" s="11" t="s">
        <v>22</v>
      </c>
      <c r="B34" s="10" t="n">
        <v>51.7</v>
      </c>
      <c r="C34" s="10" t="n">
        <v>46.1</v>
      </c>
      <c r="D34" s="10" t="n">
        <v>15.1</v>
      </c>
      <c r="E34" s="10" t="n">
        <v>13.4</v>
      </c>
    </row>
    <row r="35" customFormat="false" ht="15" hidden="false" customHeight="false" outlineLevel="0" collapsed="false">
      <c r="A35" s="11" t="s">
        <v>23</v>
      </c>
      <c r="B35" s="10" t="n">
        <v>47.8</v>
      </c>
      <c r="C35" s="10" t="n">
        <v>49.5</v>
      </c>
      <c r="D35" s="10" t="n">
        <v>9.4</v>
      </c>
      <c r="E35" s="10" t="n">
        <v>13.5</v>
      </c>
    </row>
    <row r="37" customFormat="false" ht="15" hidden="false" customHeight="false" outlineLevel="0" collapsed="false">
      <c r="A37" s="14" t="s">
        <v>92</v>
      </c>
    </row>
    <row r="38" customFormat="false" ht="15" hidden="false" customHeight="false" outlineLevel="0" collapsed="false">
      <c r="A38" s="7" t="s">
        <v>9</v>
      </c>
      <c r="B38" s="8" t="s">
        <v>93</v>
      </c>
      <c r="C38" s="7" t="s">
        <v>94</v>
      </c>
      <c r="D38" s="7" t="s">
        <v>95</v>
      </c>
    </row>
    <row r="39" customFormat="false" ht="15" hidden="false" customHeight="false" outlineLevel="0" collapsed="false">
      <c r="A39" s="9" t="s">
        <v>16</v>
      </c>
      <c r="B39" s="10" t="n">
        <v>26.3</v>
      </c>
      <c r="C39" s="10" t="n">
        <v>24.2</v>
      </c>
      <c r="D39" s="10" t="n">
        <v>3.8</v>
      </c>
    </row>
    <row r="40" customFormat="false" ht="15" hidden="false" customHeight="false" outlineLevel="0" collapsed="false">
      <c r="A40" s="11" t="s">
        <v>17</v>
      </c>
      <c r="B40" s="10" t="n">
        <v>35</v>
      </c>
      <c r="C40" s="10" t="n">
        <v>25.7</v>
      </c>
      <c r="D40" s="10" t="n">
        <v>1</v>
      </c>
    </row>
    <row r="41" customFormat="false" ht="15" hidden="false" customHeight="false" outlineLevel="0" collapsed="false">
      <c r="A41" s="11" t="s">
        <v>18</v>
      </c>
      <c r="B41" s="10" t="n">
        <v>34.4</v>
      </c>
      <c r="C41" s="10" t="n">
        <v>25.8</v>
      </c>
      <c r="D41" s="10" t="n">
        <v>5.3</v>
      </c>
    </row>
    <row r="42" customFormat="false" ht="15" hidden="false" customHeight="false" outlineLevel="0" collapsed="false">
      <c r="A42" s="11" t="s">
        <v>19</v>
      </c>
      <c r="B42" s="10" t="n">
        <v>31.6</v>
      </c>
      <c r="C42" s="10" t="n">
        <v>22.6</v>
      </c>
      <c r="D42" s="10" t="n">
        <v>4.9</v>
      </c>
    </row>
    <row r="43" customFormat="false" ht="15" hidden="false" customHeight="false" outlineLevel="0" collapsed="false">
      <c r="A43" s="11" t="s">
        <v>20</v>
      </c>
      <c r="B43" s="10" t="n">
        <v>24.1</v>
      </c>
      <c r="C43" s="10" t="n">
        <v>24.2</v>
      </c>
      <c r="D43" s="10" t="n">
        <v>3.6</v>
      </c>
    </row>
    <row r="44" customFormat="false" ht="15" hidden="false" customHeight="false" outlineLevel="0" collapsed="false">
      <c r="A44" s="11" t="s">
        <v>21</v>
      </c>
      <c r="B44" s="10" t="n">
        <v>18.9</v>
      </c>
      <c r="C44" s="10" t="n">
        <v>24.5</v>
      </c>
      <c r="D44" s="10" t="n">
        <v>1.9</v>
      </c>
    </row>
    <row r="45" customFormat="false" ht="15" hidden="false" customHeight="false" outlineLevel="0" collapsed="false">
      <c r="A45" s="11" t="s">
        <v>22</v>
      </c>
      <c r="B45" s="10" t="n">
        <v>12.6</v>
      </c>
      <c r="C45" s="10" t="n">
        <v>27.6</v>
      </c>
      <c r="D45" s="10" t="n">
        <v>2.5</v>
      </c>
    </row>
    <row r="46" customFormat="false" ht="15" hidden="false" customHeight="false" outlineLevel="0" collapsed="false">
      <c r="A46" s="11" t="s">
        <v>23</v>
      </c>
      <c r="B46" s="10" t="n">
        <v>15.1</v>
      </c>
      <c r="C46" s="10" t="n">
        <v>12.8</v>
      </c>
      <c r="D46" s="10" t="n">
        <v>2.5</v>
      </c>
    </row>
    <row r="48" customFormat="false" ht="15" hidden="false" customHeight="false" outlineLevel="0" collapsed="false">
      <c r="A48" s="14" t="s">
        <v>96</v>
      </c>
    </row>
    <row r="49" customFormat="false" ht="15" hidden="false" customHeight="false" outlineLevel="0" collapsed="false">
      <c r="A49" s="7" t="s">
        <v>9</v>
      </c>
      <c r="B49" s="7" t="s">
        <v>97</v>
      </c>
    </row>
    <row r="50" customFormat="false" ht="15" hidden="false" customHeight="false" outlineLevel="0" collapsed="false">
      <c r="A50" s="9" t="s">
        <v>16</v>
      </c>
      <c r="B50" s="10" t="n">
        <v>84.5</v>
      </c>
    </row>
    <row r="51" customFormat="false" ht="15" hidden="false" customHeight="false" outlineLevel="0" collapsed="false">
      <c r="A51" s="11" t="s">
        <v>17</v>
      </c>
      <c r="B51" s="10" t="n">
        <v>63.9</v>
      </c>
    </row>
    <row r="52" customFormat="false" ht="15" hidden="false" customHeight="false" outlineLevel="0" collapsed="false">
      <c r="A52" s="11" t="s">
        <v>18</v>
      </c>
      <c r="B52" s="10" t="n">
        <v>75.9</v>
      </c>
    </row>
    <row r="53" customFormat="false" ht="15" hidden="false" customHeight="false" outlineLevel="0" collapsed="false">
      <c r="A53" s="11" t="s">
        <v>19</v>
      </c>
      <c r="B53" s="10" t="n">
        <v>87.9</v>
      </c>
    </row>
    <row r="54" customFormat="false" ht="15" hidden="false" customHeight="false" outlineLevel="0" collapsed="false">
      <c r="A54" s="11" t="s">
        <v>20</v>
      </c>
      <c r="B54" s="10" t="n">
        <v>90.3</v>
      </c>
    </row>
    <row r="55" customFormat="false" ht="15" hidden="false" customHeight="false" outlineLevel="0" collapsed="false">
      <c r="A55" s="11" t="s">
        <v>21</v>
      </c>
      <c r="B55" s="10" t="n">
        <v>87.7</v>
      </c>
    </row>
    <row r="56" customFormat="false" ht="15" hidden="false" customHeight="false" outlineLevel="0" collapsed="false">
      <c r="A56" s="11" t="s">
        <v>22</v>
      </c>
      <c r="B56" s="10" t="n">
        <v>84.5</v>
      </c>
    </row>
    <row r="57" customFormat="false" ht="15" hidden="false" customHeight="false" outlineLevel="0" collapsed="false">
      <c r="A57" s="11" t="s">
        <v>23</v>
      </c>
      <c r="B57" s="10" t="n">
        <v>78</v>
      </c>
    </row>
    <row r="59" customFormat="false" ht="15" hidden="false" customHeight="false" outlineLevel="0" collapsed="false">
      <c r="A59" s="4" t="s">
        <v>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0"/>
    <col collapsed="false" customWidth="true" hidden="false" outlineLevel="0" max="15" min="3" style="0" width="10"/>
  </cols>
  <sheetData>
    <row r="1" customFormat="false" ht="19.4" hidden="false" customHeight="false" outlineLevel="0" collapsed="false">
      <c r="A1" s="5" t="s">
        <v>99</v>
      </c>
    </row>
    <row r="2" customFormat="false" ht="15" hidden="false" customHeight="false" outlineLevel="0" collapsed="false">
      <c r="A2" s="16" t="s">
        <v>100</v>
      </c>
    </row>
    <row r="4" customFormat="false" ht="15" hidden="false" customHeight="false" outlineLevel="0" collapsed="false">
      <c r="A4" s="7" t="s">
        <v>9</v>
      </c>
      <c r="B4" s="7" t="s">
        <v>101</v>
      </c>
      <c r="C4" s="7" t="s">
        <v>16</v>
      </c>
      <c r="D4" s="8" t="s">
        <v>102</v>
      </c>
      <c r="E4" s="8" t="s">
        <v>103</v>
      </c>
      <c r="F4" s="8" t="s">
        <v>104</v>
      </c>
      <c r="G4" s="8" t="s">
        <v>105</v>
      </c>
      <c r="H4" s="8" t="s">
        <v>106</v>
      </c>
      <c r="I4" s="8" t="s">
        <v>107</v>
      </c>
      <c r="J4" s="8" t="s">
        <v>108</v>
      </c>
      <c r="K4" s="8" t="s">
        <v>109</v>
      </c>
      <c r="L4" s="8" t="s">
        <v>110</v>
      </c>
      <c r="M4" s="8" t="s">
        <v>111</v>
      </c>
      <c r="N4" s="8" t="s">
        <v>112</v>
      </c>
      <c r="O4" s="8" t="s">
        <v>113</v>
      </c>
    </row>
    <row r="5" customFormat="false" ht="15" hidden="false" customHeight="false" outlineLevel="0" collapsed="false">
      <c r="A5" s="18" t="s">
        <v>114</v>
      </c>
      <c r="B5" s="18" t="s">
        <v>115</v>
      </c>
      <c r="C5" s="19" t="n">
        <v>0.025694</v>
      </c>
      <c r="D5" s="19" t="n">
        <v>0.056172</v>
      </c>
      <c r="E5" s="19" t="n">
        <v>0.01814</v>
      </c>
      <c r="F5" s="19" t="n">
        <v>0.012456</v>
      </c>
      <c r="G5" s="19" t="n">
        <v>0.022098</v>
      </c>
      <c r="H5" s="13" t="n">
        <f aca="false">IF(C5=0,0,D5/C5)</f>
        <v>2.18619132871488</v>
      </c>
      <c r="I5" s="15" t="n">
        <f aca="false">IF(H5&lt;=0,0,MAX(0,MIN(3,ROUND(2*LOG(H5,2),0))))</f>
        <v>2</v>
      </c>
      <c r="J5" s="13" t="n">
        <f aca="false">IF(C5=0,0,E5/C5)</f>
        <v>0.706001401105316</v>
      </c>
      <c r="K5" s="15" t="n">
        <f aca="false">IF(J5&lt;=0,0,MAX(0,MIN(3,ROUND(2*LOG(J5,2),0))))</f>
        <v>0</v>
      </c>
      <c r="L5" s="13" t="n">
        <f aca="false">IF(C5=0,0,F5/C5)</f>
        <v>0.484782439480034</v>
      </c>
      <c r="M5" s="15" t="n">
        <f aca="false">IF(L5&lt;=0,0,MAX(0,MIN(3,ROUND(2*LOG(L5,2),0))))</f>
        <v>0</v>
      </c>
      <c r="N5" s="13" t="n">
        <f aca="false">IF(C5=0,0,G5/C5)</f>
        <v>0.860045146726862</v>
      </c>
      <c r="O5" s="15" t="n">
        <f aca="false">IF(N5&lt;=0,0,MAX(0,MIN(3,ROUND(2*LOG(N5,2),0))))</f>
        <v>-0</v>
      </c>
    </row>
    <row r="6" customFormat="false" ht="15" hidden="false" customHeight="false" outlineLevel="0" collapsed="false">
      <c r="A6" s="18" t="s">
        <v>114</v>
      </c>
      <c r="B6" s="18" t="s">
        <v>116</v>
      </c>
      <c r="C6" s="19" t="n">
        <v>0.346249</v>
      </c>
      <c r="D6" s="19" t="n">
        <v>0.530302</v>
      </c>
      <c r="E6" s="19" t="n">
        <v>0.377761</v>
      </c>
      <c r="F6" s="19" t="n">
        <v>0.366443</v>
      </c>
      <c r="G6" s="19" t="n">
        <v>0.269873</v>
      </c>
      <c r="H6" s="13" t="n">
        <f aca="false">IF(C6=0,0,D6/C6)</f>
        <v>1.53156254602901</v>
      </c>
      <c r="I6" s="15" t="n">
        <f aca="false">IF(H6&lt;=0,0,MAX(0,MIN(3,ROUND(2*LOG(H6,2),0))))</f>
        <v>1</v>
      </c>
      <c r="J6" s="13" t="n">
        <f aca="false">IF(C6=0,0,E6/C6)</f>
        <v>1.09100964912534</v>
      </c>
      <c r="K6" s="15" t="n">
        <f aca="false">IF(J6&lt;=0,0,MAX(0,MIN(3,ROUND(2*LOG(J6,2),0))))</f>
        <v>0</v>
      </c>
      <c r="L6" s="13" t="n">
        <f aca="false">IF(C6=0,0,F6/C6)</f>
        <v>1.05832219010019</v>
      </c>
      <c r="M6" s="15" t="n">
        <f aca="false">IF(L6&lt;=0,0,MAX(0,MIN(3,ROUND(2*LOG(L6,2),0))))</f>
        <v>0</v>
      </c>
      <c r="N6" s="13" t="n">
        <f aca="false">IF(C6=0,0,G6/C6)</f>
        <v>0.779418857527386</v>
      </c>
      <c r="O6" s="15" t="n">
        <f aca="false">IF(N6&lt;=0,0,MAX(0,MIN(3,ROUND(2*LOG(N6,2),0))))</f>
        <v>0</v>
      </c>
    </row>
    <row r="7" customFormat="false" ht="15" hidden="false" customHeight="false" outlineLevel="0" collapsed="false">
      <c r="A7" s="18" t="s">
        <v>114</v>
      </c>
      <c r="B7" s="18" t="s">
        <v>117</v>
      </c>
      <c r="C7" s="19" t="n">
        <v>0.245064</v>
      </c>
      <c r="D7" s="19" t="n">
        <v>0.194447</v>
      </c>
      <c r="E7" s="19" t="n">
        <v>0.291361</v>
      </c>
      <c r="F7" s="19" t="n">
        <v>0.253412</v>
      </c>
      <c r="G7" s="19" t="n">
        <v>0.2425</v>
      </c>
      <c r="H7" s="13" t="n">
        <f aca="false">IF(C7=0,0,D7/C7)</f>
        <v>0.793453954885255</v>
      </c>
      <c r="I7" s="15" t="n">
        <f aca="false">IF(H7&lt;=0,0,MAX(0,MIN(3,ROUND(2*LOG(H7,2),0))))</f>
        <v>0</v>
      </c>
      <c r="J7" s="13" t="n">
        <f aca="false">IF(C7=0,0,E7/C7)</f>
        <v>1.18891799693141</v>
      </c>
      <c r="K7" s="15" t="n">
        <f aca="false">IF(J7&lt;=0,0,MAX(0,MIN(3,ROUND(2*LOG(J7,2),0))))</f>
        <v>0</v>
      </c>
      <c r="L7" s="13" t="n">
        <f aca="false">IF(C7=0,0,F7/C7)</f>
        <v>1.03406457088761</v>
      </c>
      <c r="M7" s="15" t="n">
        <f aca="false">IF(L7&lt;=0,0,MAX(0,MIN(3,ROUND(2*LOG(L7,2),0))))</f>
        <v>0</v>
      </c>
      <c r="N7" s="13" t="n">
        <f aca="false">IF(C7=0,0,G7/C7)</f>
        <v>0.989537426957856</v>
      </c>
      <c r="O7" s="15" t="n">
        <f aca="false">IF(N7&lt;=0,0,MAX(0,MIN(3,ROUND(2*LOG(N7,2),0))))</f>
        <v>-0</v>
      </c>
    </row>
    <row r="8" customFormat="false" ht="15" hidden="false" customHeight="false" outlineLevel="0" collapsed="false">
      <c r="A8" s="18" t="s">
        <v>114</v>
      </c>
      <c r="B8" s="18" t="s">
        <v>118</v>
      </c>
      <c r="C8" s="19" t="n">
        <v>0.151796</v>
      </c>
      <c r="D8" s="19" t="n">
        <v>0.106756</v>
      </c>
      <c r="E8" s="19" t="n">
        <v>0.139664</v>
      </c>
      <c r="F8" s="19" t="n">
        <v>0.136789</v>
      </c>
      <c r="G8" s="19" t="n">
        <v>0.16953</v>
      </c>
      <c r="H8" s="13" t="n">
        <f aca="false">IF(C8=0,0,D8/C8)</f>
        <v>0.703285989090622</v>
      </c>
      <c r="I8" s="15" t="n">
        <f aca="false">IF(H8&lt;=0,0,MAX(0,MIN(3,ROUND(2*LOG(H8,2),0))))</f>
        <v>0</v>
      </c>
      <c r="J8" s="13" t="n">
        <f aca="false">IF(C8=0,0,E8/C8)</f>
        <v>0.920076945374055</v>
      </c>
      <c r="K8" s="15" t="n">
        <f aca="false">IF(J8&lt;=0,0,MAX(0,MIN(3,ROUND(2*LOG(J8,2),0))))</f>
        <v>-0</v>
      </c>
      <c r="L8" s="13" t="n">
        <f aca="false">IF(C8=0,0,F8/C8)</f>
        <v>0.901137052359746</v>
      </c>
      <c r="M8" s="15" t="n">
        <f aca="false">IF(L8&lt;=0,0,MAX(0,MIN(3,ROUND(2*LOG(L8,2),0))))</f>
        <v>-0</v>
      </c>
      <c r="N8" s="13" t="n">
        <f aca="false">IF(C8=0,0,G8/C8)</f>
        <v>1.11682784790113</v>
      </c>
      <c r="O8" s="15" t="n">
        <f aca="false">IF(N8&lt;=0,0,MAX(0,MIN(3,ROUND(2*LOG(N8,2),0))))</f>
        <v>0</v>
      </c>
    </row>
    <row r="9" customFormat="false" ht="15" hidden="false" customHeight="false" outlineLevel="0" collapsed="false">
      <c r="A9" s="18" t="s">
        <v>114</v>
      </c>
      <c r="B9" s="18" t="s">
        <v>119</v>
      </c>
      <c r="C9" s="19" t="n">
        <v>0.161923</v>
      </c>
      <c r="D9" s="19" t="n">
        <v>0.094799</v>
      </c>
      <c r="E9" s="19" t="n">
        <v>0.117112</v>
      </c>
      <c r="F9" s="19" t="n">
        <v>0.173637</v>
      </c>
      <c r="G9" s="19" t="n">
        <v>0.196635</v>
      </c>
      <c r="H9" s="13" t="n">
        <f aca="false">IF(C9=0,0,D9/C9)</f>
        <v>0.585457285252867</v>
      </c>
      <c r="I9" s="15" t="n">
        <f aca="false">IF(H9&lt;=0,0,MAX(0,MIN(3,ROUND(2*LOG(H9,2),0))))</f>
        <v>0</v>
      </c>
      <c r="J9" s="13" t="n">
        <f aca="false">IF(C9=0,0,E9/C9)</f>
        <v>0.723257350716081</v>
      </c>
      <c r="K9" s="15" t="n">
        <f aca="false">IF(J9&lt;=0,0,MAX(0,MIN(3,ROUND(2*LOG(J9,2),0))))</f>
        <v>0</v>
      </c>
      <c r="L9" s="13" t="n">
        <f aca="false">IF(C9=0,0,F9/C9)</f>
        <v>1.07234302724134</v>
      </c>
      <c r="M9" s="15" t="n">
        <f aca="false">IF(L9&lt;=0,0,MAX(0,MIN(3,ROUND(2*LOG(L9,2),0))))</f>
        <v>0</v>
      </c>
      <c r="N9" s="13" t="n">
        <f aca="false">IF(C9=0,0,G9/C9)</f>
        <v>1.21437349851473</v>
      </c>
      <c r="O9" s="15" t="n">
        <f aca="false">IF(N9&lt;=0,0,MAX(0,MIN(3,ROUND(2*LOG(N9,2),0))))</f>
        <v>1</v>
      </c>
    </row>
    <row r="10" customFormat="false" ht="15" hidden="false" customHeight="false" outlineLevel="0" collapsed="false">
      <c r="A10" s="18" t="s">
        <v>114</v>
      </c>
      <c r="B10" s="18" t="s">
        <v>120</v>
      </c>
      <c r="C10" s="19" t="n">
        <v>0.069274</v>
      </c>
      <c r="D10" s="19" t="n">
        <v>0.017524</v>
      </c>
      <c r="E10" s="19" t="n">
        <v>0.055962</v>
      </c>
      <c r="F10" s="19" t="n">
        <v>0.057264</v>
      </c>
      <c r="G10" s="19" t="n">
        <v>0.099364</v>
      </c>
      <c r="H10" s="13" t="n">
        <f aca="false">IF(C10=0,0,D10/C10)</f>
        <v>0.252966480930797</v>
      </c>
      <c r="I10" s="15" t="n">
        <f aca="false">IF(H10&lt;=0,0,MAX(0,MIN(3,ROUND(2*LOG(H10,2),0))))</f>
        <v>0</v>
      </c>
      <c r="J10" s="13" t="n">
        <f aca="false">IF(C10=0,0,E10/C10)</f>
        <v>0.807835551577793</v>
      </c>
      <c r="K10" s="15" t="n">
        <f aca="false">IF(J10&lt;=0,0,MAX(0,MIN(3,ROUND(2*LOG(J10,2),0))))</f>
        <v>0</v>
      </c>
      <c r="L10" s="13" t="n">
        <f aca="false">IF(C10=0,0,F10/C10)</f>
        <v>0.826630481854664</v>
      </c>
      <c r="M10" s="15" t="n">
        <f aca="false">IF(L10&lt;=0,0,MAX(0,MIN(3,ROUND(2*LOG(L10,2),0))))</f>
        <v>0</v>
      </c>
      <c r="N10" s="13" t="n">
        <f aca="false">IF(C10=0,0,G10/C10)</f>
        <v>1.43436209833415</v>
      </c>
      <c r="O10" s="15" t="n">
        <f aca="false">IF(N10&lt;=0,0,MAX(0,MIN(3,ROUND(2*LOG(N10,2),0))))</f>
        <v>1</v>
      </c>
    </row>
    <row r="11" customFormat="false" ht="15" hidden="false" customHeight="false" outlineLevel="0" collapsed="false">
      <c r="A11" s="18" t="s">
        <v>121</v>
      </c>
      <c r="B11" s="20" t="s">
        <v>122</v>
      </c>
      <c r="C11" s="19" t="n">
        <v>0.177365</v>
      </c>
      <c r="D11" s="19" t="n">
        <v>0.297646</v>
      </c>
      <c r="E11" s="19" t="n">
        <v>0.210938</v>
      </c>
      <c r="F11" s="19" t="n">
        <v>0.098451</v>
      </c>
      <c r="G11" s="19" t="n">
        <v>0.129072</v>
      </c>
      <c r="H11" s="13" t="n">
        <f aca="false">IF(C11=0,0,D11/C11)</f>
        <v>1.67815521664364</v>
      </c>
      <c r="I11" s="15" t="n">
        <f aca="false">IF(H11&lt;=0,0,MAX(0,MIN(3,ROUND(2*LOG(H11,2),0))))</f>
        <v>1</v>
      </c>
      <c r="J11" s="13" t="n">
        <f aca="false">IF(C11=0,0,E11/C11)</f>
        <v>1.18928762720943</v>
      </c>
      <c r="K11" s="15" t="n">
        <f aca="false">IF(J11&lt;=0,0,MAX(0,MIN(3,ROUND(2*LOG(J11,2),0))))</f>
        <v>1</v>
      </c>
      <c r="L11" s="13" t="n">
        <f aca="false">IF(C11=0,0,F11/C11)</f>
        <v>0.555075691370902</v>
      </c>
      <c r="M11" s="15" t="n">
        <f aca="false">IF(L11&lt;=0,0,MAX(0,MIN(3,ROUND(2*LOG(L11,2),0))))</f>
        <v>0</v>
      </c>
      <c r="N11" s="13" t="n">
        <f aca="false">IF(C11=0,0,G11/C11)</f>
        <v>0.727719674118344</v>
      </c>
      <c r="O11" s="15" t="n">
        <f aca="false">IF(N11&lt;=0,0,MAX(0,MIN(3,ROUND(2*LOG(N11,2),0))))</f>
        <v>0</v>
      </c>
    </row>
    <row r="12" customFormat="false" ht="15" hidden="false" customHeight="false" outlineLevel="0" collapsed="false">
      <c r="A12" s="18" t="s">
        <v>121</v>
      </c>
      <c r="B12" s="20" t="s">
        <v>123</v>
      </c>
      <c r="C12" s="19" t="n">
        <v>0.408428</v>
      </c>
      <c r="D12" s="19" t="n">
        <v>0.453371</v>
      </c>
      <c r="E12" s="19" t="n">
        <v>0.452598</v>
      </c>
      <c r="F12" s="19" t="n">
        <v>0.461047</v>
      </c>
      <c r="G12" s="19" t="n">
        <v>0.345346</v>
      </c>
      <c r="H12" s="13" t="n">
        <f aca="false">IF(C12=0,0,D12/C12)</f>
        <v>1.1100389787184</v>
      </c>
      <c r="I12" s="15" t="n">
        <f aca="false">IF(H12&lt;=0,0,MAX(0,MIN(3,ROUND(2*LOG(H12,2),0))))</f>
        <v>0</v>
      </c>
      <c r="J12" s="13" t="n">
        <f aca="false">IF(C12=0,0,E12/C12)</f>
        <v>1.10814635627332</v>
      </c>
      <c r="K12" s="15" t="n">
        <f aca="false">IF(J12&lt;=0,0,MAX(0,MIN(3,ROUND(2*LOG(J12,2),0))))</f>
        <v>0</v>
      </c>
      <c r="L12" s="13" t="n">
        <f aca="false">IF(C12=0,0,F12/C12)</f>
        <v>1.12883298892338</v>
      </c>
      <c r="M12" s="15" t="n">
        <f aca="false">IF(L12&lt;=0,0,MAX(0,MIN(3,ROUND(2*LOG(L12,2),0))))</f>
        <v>0</v>
      </c>
      <c r="N12" s="13" t="n">
        <f aca="false">IF(C12=0,0,G12/C12)</f>
        <v>0.845549276739107</v>
      </c>
      <c r="O12" s="15" t="n">
        <f aca="false">IF(N12&lt;=0,0,MAX(0,MIN(3,ROUND(2*LOG(N12,2),0))))</f>
        <v>-0</v>
      </c>
    </row>
    <row r="13" customFormat="false" ht="15" hidden="false" customHeight="false" outlineLevel="0" collapsed="false">
      <c r="A13" s="18" t="s">
        <v>121</v>
      </c>
      <c r="B13" s="20" t="s">
        <v>124</v>
      </c>
      <c r="C13" s="19" t="n">
        <v>0.226686</v>
      </c>
      <c r="D13" s="19" t="n">
        <v>0.085161</v>
      </c>
      <c r="E13" s="19" t="n">
        <v>0.155423</v>
      </c>
      <c r="F13" s="19" t="n">
        <v>0.235156</v>
      </c>
      <c r="G13" s="19" t="n">
        <v>0.331955</v>
      </c>
      <c r="H13" s="13" t="n">
        <f aca="false">IF(C13=0,0,D13/C13)</f>
        <v>0.375678250972711</v>
      </c>
      <c r="I13" s="15" t="n">
        <f aca="false">IF(H13&lt;=0,0,MAX(0,MIN(3,ROUND(2*LOG(H13,2),0))))</f>
        <v>0</v>
      </c>
      <c r="J13" s="13" t="n">
        <f aca="false">IF(C13=0,0,E13/C13)</f>
        <v>0.685631225571937</v>
      </c>
      <c r="K13" s="15" t="n">
        <f aca="false">IF(J13&lt;=0,0,MAX(0,MIN(3,ROUND(2*LOG(J13,2),0))))</f>
        <v>0</v>
      </c>
      <c r="L13" s="13" t="n">
        <f aca="false">IF(C13=0,0,F13/C13)</f>
        <v>1.03736446009017</v>
      </c>
      <c r="M13" s="15" t="n">
        <f aca="false">IF(L13&lt;=0,0,MAX(0,MIN(3,ROUND(2*LOG(L13,2),0))))</f>
        <v>0</v>
      </c>
      <c r="N13" s="13" t="n">
        <f aca="false">IF(C13=0,0,G13/C13)</f>
        <v>1.46438244973223</v>
      </c>
      <c r="O13" s="15" t="n">
        <f aca="false">IF(N13&lt;=0,0,MAX(0,MIN(3,ROUND(2*LOG(N13,2),0))))</f>
        <v>1</v>
      </c>
    </row>
    <row r="14" customFormat="false" ht="15" hidden="false" customHeight="false" outlineLevel="0" collapsed="false">
      <c r="A14" s="18" t="s">
        <v>121</v>
      </c>
      <c r="B14" s="20" t="s">
        <v>125</v>
      </c>
      <c r="C14" s="19" t="n">
        <v>0.131175</v>
      </c>
      <c r="D14" s="19" t="n">
        <v>0.073071</v>
      </c>
      <c r="E14" s="19" t="n">
        <v>0.086294</v>
      </c>
      <c r="F14" s="19" t="n">
        <v>0.181343</v>
      </c>
      <c r="G14" s="19" t="n">
        <v>0.151947</v>
      </c>
      <c r="H14" s="13" t="n">
        <f aca="false">IF(C14=0,0,D14/C14)</f>
        <v>0.55704974271012</v>
      </c>
      <c r="I14" s="15" t="n">
        <f aca="false">IF(H14&lt;=0,0,MAX(0,MIN(3,ROUND(2*LOG(H14,2),0))))</f>
        <v>0</v>
      </c>
      <c r="J14" s="13" t="n">
        <f aca="false">IF(C14=0,0,E14/C14)</f>
        <v>0.657854011816276</v>
      </c>
      <c r="K14" s="15" t="n">
        <f aca="false">IF(J14&lt;=0,0,MAX(0,MIN(3,ROUND(2*LOG(J14,2),0))))</f>
        <v>0</v>
      </c>
      <c r="L14" s="13" t="n">
        <f aca="false">IF(C14=0,0,F14/C14)</f>
        <v>1.38245092433772</v>
      </c>
      <c r="M14" s="15" t="n">
        <f aca="false">IF(L14&lt;=0,0,MAX(0,MIN(3,ROUND(2*LOG(L14,2),0))))</f>
        <v>1</v>
      </c>
      <c r="N14" s="13" t="n">
        <f aca="false">IF(C14=0,0,G14/C14)</f>
        <v>1.15835334476844</v>
      </c>
      <c r="O14" s="15" t="n">
        <f aca="false">IF(N14&lt;=0,0,MAX(0,MIN(3,ROUND(2*LOG(N14,2),0))))</f>
        <v>0</v>
      </c>
    </row>
    <row r="15" customFormat="false" ht="15" hidden="false" customHeight="false" outlineLevel="0" collapsed="false">
      <c r="A15" s="18" t="s">
        <v>121</v>
      </c>
      <c r="B15" s="20" t="s">
        <v>126</v>
      </c>
      <c r="C15" s="19" t="n">
        <v>0.081419</v>
      </c>
      <c r="D15" s="19" t="n">
        <v>0.077747</v>
      </c>
      <c r="E15" s="19" t="n">
        <v>0.062817</v>
      </c>
      <c r="F15" s="19" t="n">
        <v>0.065277</v>
      </c>
      <c r="G15" s="19" t="n">
        <v>0.107373</v>
      </c>
      <c r="H15" s="13" t="n">
        <f aca="false">IF(C15=0,0,D15/C15)</f>
        <v>0.954899961925349</v>
      </c>
      <c r="I15" s="15" t="n">
        <f aca="false">IF(H15&lt;=0,0,MAX(0,MIN(3,ROUND(2*LOG(H15,2),0))))</f>
        <v>-0</v>
      </c>
      <c r="J15" s="13" t="n">
        <f aca="false">IF(C15=0,0,E15/C15)</f>
        <v>0.771527530429015</v>
      </c>
      <c r="K15" s="15" t="n">
        <f aca="false">IF(J15&lt;=0,0,MAX(0,MIN(3,ROUND(2*LOG(J15,2),0))))</f>
        <v>0</v>
      </c>
      <c r="L15" s="13" t="n">
        <f aca="false">IF(C15=0,0,F15/C15)</f>
        <v>0.801741608224125</v>
      </c>
      <c r="M15" s="15" t="n">
        <f aca="false">IF(L15&lt;=0,0,MAX(0,MIN(3,ROUND(2*LOG(L15,2),0))))</f>
        <v>0</v>
      </c>
      <c r="N15" s="13" t="n">
        <f aca="false">IF(C15=0,0,G15/C15)</f>
        <v>1.31877080288385</v>
      </c>
      <c r="O15" s="15" t="n">
        <f aca="false">IF(N15&lt;=0,0,MAX(0,MIN(3,ROUND(2*LOG(N15,2),0))))</f>
        <v>1</v>
      </c>
    </row>
    <row r="16" customFormat="false" ht="15" hidden="false" customHeight="false" outlineLevel="0" collapsed="false">
      <c r="A16" s="20" t="s">
        <v>127</v>
      </c>
      <c r="B16" s="20" t="s">
        <v>128</v>
      </c>
      <c r="C16" s="19" t="n">
        <v>0.863622</v>
      </c>
      <c r="D16" s="19" t="n">
        <v>0.828018</v>
      </c>
      <c r="E16" s="19" t="n">
        <v>0.840663</v>
      </c>
      <c r="F16" s="19" t="n">
        <v>0.90843</v>
      </c>
      <c r="G16" s="19" t="n">
        <v>0.834241</v>
      </c>
      <c r="H16" s="13" t="n">
        <f aca="false">IF(C16=0,0,D16/C16)</f>
        <v>0.958773630129849</v>
      </c>
      <c r="I16" s="15" t="n">
        <f aca="false">IF(H16&lt;=0,0,MAX(0,MIN(3,ROUND(2*LOG(H16,2),0))))</f>
        <v>-0</v>
      </c>
      <c r="J16" s="13" t="n">
        <f aca="false">IF(C16=0,0,E16/C16)</f>
        <v>0.973415452593843</v>
      </c>
      <c r="K16" s="15" t="n">
        <f aca="false">IF(J16&lt;=0,0,MAX(0,MIN(3,ROUND(2*LOG(J16,2),0))))</f>
        <v>-0</v>
      </c>
      <c r="L16" s="13" t="n">
        <f aca="false">IF(C16=0,0,F16/C16)</f>
        <v>1.05188381027811</v>
      </c>
      <c r="M16" s="15" t="n">
        <f aca="false">IF(L16&lt;=0,0,MAX(0,MIN(3,ROUND(2*LOG(L16,2),0))))</f>
        <v>0</v>
      </c>
      <c r="N16" s="13" t="n">
        <f aca="false">IF(C16=0,0,G16/C16)</f>
        <v>0.965979328919365</v>
      </c>
      <c r="O16" s="15" t="n">
        <f aca="false">IF(N16&lt;=0,0,MAX(0,MIN(3,ROUND(2*LOG(N16,2),0))))</f>
        <v>-0</v>
      </c>
    </row>
    <row r="17" customFormat="false" ht="15" hidden="false" customHeight="false" outlineLevel="0" collapsed="false">
      <c r="A17" s="20" t="s">
        <v>127</v>
      </c>
      <c r="B17" s="20" t="s">
        <v>34</v>
      </c>
      <c r="C17" s="19" t="n">
        <v>0.871141</v>
      </c>
      <c r="D17" s="19" t="n">
        <v>0.899013</v>
      </c>
      <c r="E17" s="19" t="n">
        <v>0.913059</v>
      </c>
      <c r="F17" s="19" t="n">
        <v>0.844039</v>
      </c>
      <c r="G17" s="19" t="n">
        <v>0.851555</v>
      </c>
      <c r="H17" s="13" t="n">
        <f aca="false">IF(C17=0,0,D17/C17)</f>
        <v>1.03199482058588</v>
      </c>
      <c r="I17" s="15" t="n">
        <f aca="false">IF(H17&lt;=0,0,MAX(0,MIN(3,ROUND(2*LOG(H17,2),0))))</f>
        <v>0</v>
      </c>
      <c r="J17" s="13" t="n">
        <f aca="false">IF(C17=0,0,E17/C17)</f>
        <v>1.0481185020565</v>
      </c>
      <c r="K17" s="15" t="n">
        <f aca="false">IF(J17&lt;=0,0,MAX(0,MIN(3,ROUND(2*LOG(J17,2),0))))</f>
        <v>0</v>
      </c>
      <c r="L17" s="13" t="n">
        <f aca="false">IF(C17=0,0,F17/C17)</f>
        <v>0.968889077657922</v>
      </c>
      <c r="M17" s="15" t="n">
        <f aca="false">IF(L17&lt;=0,0,MAX(0,MIN(3,ROUND(2*LOG(L17,2),0))))</f>
        <v>-0</v>
      </c>
      <c r="N17" s="13" t="n">
        <f aca="false">IF(C17=0,0,G17/C17)</f>
        <v>0.977516842853223</v>
      </c>
      <c r="O17" s="15" t="n">
        <f aca="false">IF(N17&lt;=0,0,MAX(0,MIN(3,ROUND(2*LOG(N17,2),0))))</f>
        <v>-0</v>
      </c>
    </row>
    <row r="18" customFormat="false" ht="15" hidden="false" customHeight="false" outlineLevel="0" collapsed="false">
      <c r="A18" s="20" t="s">
        <v>127</v>
      </c>
      <c r="B18" s="20" t="s">
        <v>129</v>
      </c>
      <c r="C18" s="19" t="n">
        <v>0.569227</v>
      </c>
      <c r="D18" s="19" t="n">
        <v>0.34335</v>
      </c>
      <c r="E18" s="19" t="n">
        <v>0.409116</v>
      </c>
      <c r="F18" s="19" t="n">
        <v>1</v>
      </c>
      <c r="G18" s="19" t="n">
        <v>0.788738</v>
      </c>
      <c r="H18" s="13" t="n">
        <f aca="false">IF(C18=0,0,D18/C18)</f>
        <v>0.603186426504716</v>
      </c>
      <c r="I18" s="15" t="n">
        <f aca="false">IF(H18&lt;=0,0,MAX(0,MIN(3,ROUND(2*LOG(H18,2),0))))</f>
        <v>0</v>
      </c>
      <c r="J18" s="13" t="n">
        <f aca="false">IF(C18=0,0,E18/C18)</f>
        <v>0.718722056402806</v>
      </c>
      <c r="K18" s="15" t="n">
        <f aca="false">IF(J18&lt;=0,0,MAX(0,MIN(3,ROUND(2*LOG(J18,2),0))))</f>
        <v>0</v>
      </c>
      <c r="L18" s="13" t="n">
        <f aca="false">IF(C18=0,0,F18/C18)</f>
        <v>1.75676838941231</v>
      </c>
      <c r="M18" s="15" t="n">
        <f aca="false">IF(L18&lt;=0,0,MAX(0,MIN(3,ROUND(2*LOG(L18,2),0))))</f>
        <v>2</v>
      </c>
      <c r="N18" s="13" t="n">
        <f aca="false">IF(C18=0,0,G18/C18)</f>
        <v>1.38562998592829</v>
      </c>
      <c r="O18" s="15" t="n">
        <f aca="false">IF(N18&lt;=0,0,MAX(0,MIN(3,ROUND(2*LOG(N18,2),0))))</f>
        <v>1</v>
      </c>
    </row>
    <row r="19" customFormat="false" ht="15" hidden="false" customHeight="false" outlineLevel="0" collapsed="false">
      <c r="A19" s="20" t="s">
        <v>127</v>
      </c>
      <c r="B19" s="20" t="s">
        <v>130</v>
      </c>
      <c r="C19" s="19" t="n">
        <v>0.180519</v>
      </c>
      <c r="D19" s="19" t="n">
        <v>0.123335</v>
      </c>
      <c r="E19" s="19" t="n">
        <v>0.165834</v>
      </c>
      <c r="F19" s="19" t="n">
        <v>0.155665</v>
      </c>
      <c r="G19" s="19" t="n">
        <v>0.256672</v>
      </c>
      <c r="H19" s="13" t="n">
        <f aca="false">IF(C19=0,0,D19/C19)</f>
        <v>0.683224480525596</v>
      </c>
      <c r="I19" s="15" t="n">
        <f aca="false">IF(H19&lt;=0,0,MAX(0,MIN(3,ROUND(2*LOG(H19,2),0))))</f>
        <v>0</v>
      </c>
      <c r="J19" s="13" t="n">
        <f aca="false">IF(C19=0,0,E19/C19)</f>
        <v>0.918651222309009</v>
      </c>
      <c r="K19" s="15" t="n">
        <f aca="false">IF(J19&lt;=0,0,MAX(0,MIN(3,ROUND(2*LOG(J19,2),0))))</f>
        <v>-0</v>
      </c>
      <c r="L19" s="13" t="n">
        <f aca="false">IF(C19=0,0,F19/C19)</f>
        <v>0.862319201856868</v>
      </c>
      <c r="M19" s="15" t="n">
        <f aca="false">IF(L19&lt;=0,0,MAX(0,MIN(3,ROUND(2*LOG(L19,2),0))))</f>
        <v>-0</v>
      </c>
      <c r="N19" s="13" t="n">
        <f aca="false">IF(C19=0,0,G19/C19)</f>
        <v>1.42185587112714</v>
      </c>
      <c r="O19" s="15" t="n">
        <f aca="false">IF(N19&lt;=0,0,MAX(0,MIN(3,ROUND(2*LOG(N19,2),0))))</f>
        <v>1</v>
      </c>
    </row>
    <row r="20" customFormat="false" ht="15" hidden="false" customHeight="false" outlineLevel="0" collapsed="false">
      <c r="A20" s="20" t="s">
        <v>127</v>
      </c>
      <c r="B20" s="20" t="s">
        <v>131</v>
      </c>
      <c r="C20" s="19" t="n">
        <v>0.391262</v>
      </c>
      <c r="D20" s="19" t="n">
        <v>0.280872</v>
      </c>
      <c r="E20" s="19" t="n">
        <v>0.280811</v>
      </c>
      <c r="F20" s="19" t="n">
        <v>0</v>
      </c>
      <c r="G20" s="19" t="n">
        <v>0.934562</v>
      </c>
      <c r="H20" s="13" t="n">
        <f aca="false">IF(C20=0,0,D20/C20)</f>
        <v>0.717861688587187</v>
      </c>
      <c r="I20" s="15" t="n">
        <f aca="false">IF(H20&lt;=0,0,MAX(0,MIN(3,ROUND(2*LOG(H20,2),0))))</f>
        <v>0</v>
      </c>
      <c r="J20" s="13" t="n">
        <f aca="false">IF(C20=0,0,E20/C20)</f>
        <v>0.71770578282583</v>
      </c>
      <c r="K20" s="15" t="n">
        <f aca="false">IF(J20&lt;=0,0,MAX(0,MIN(3,ROUND(2*LOG(J20,2),0))))</f>
        <v>0</v>
      </c>
      <c r="L20" s="13" t="n">
        <f aca="false">IF(C20=0,0,F20/C20)</f>
        <v>0</v>
      </c>
      <c r="M20" s="15" t="n">
        <f aca="false">IF(L20&lt;=0,0,MAX(0,MIN(3,ROUND(2*LOG(L20,2),0))))</f>
        <v>0</v>
      </c>
      <c r="N20" s="13" t="n">
        <f aca="false">IF(C20=0,0,G20/C20)</f>
        <v>2.38858360893723</v>
      </c>
      <c r="O20" s="15" t="n">
        <f aca="false">IF(N20&lt;=0,0,MAX(0,MIN(3,ROUND(2*LOG(N20,2),0))))</f>
        <v>3</v>
      </c>
    </row>
    <row r="21" customFormat="false" ht="15" hidden="false" customHeight="false" outlineLevel="0" collapsed="false">
      <c r="A21" s="20" t="s">
        <v>127</v>
      </c>
      <c r="B21" s="20" t="s">
        <v>132</v>
      </c>
      <c r="C21" s="19" t="n">
        <v>0.179006</v>
      </c>
      <c r="D21" s="19" t="n">
        <v>0.162381</v>
      </c>
      <c r="E21" s="19" t="n">
        <v>0.150721</v>
      </c>
      <c r="F21" s="19" t="n">
        <v>0.041227</v>
      </c>
      <c r="G21" s="19" t="n">
        <v>0.377736</v>
      </c>
      <c r="H21" s="13" t="n">
        <f aca="false">IF(C21=0,0,D21/C21)</f>
        <v>0.907126018122298</v>
      </c>
      <c r="I21" s="15" t="n">
        <f aca="false">IF(H21&lt;=0,0,MAX(0,MIN(3,ROUND(2*LOG(H21,2),0))))</f>
        <v>-0</v>
      </c>
      <c r="J21" s="13" t="n">
        <f aca="false">IF(C21=0,0,E21/C21)</f>
        <v>0.841988536697094</v>
      </c>
      <c r="K21" s="15" t="n">
        <f aca="false">IF(J21&lt;=0,0,MAX(0,MIN(3,ROUND(2*LOG(J21,2),0))))</f>
        <v>-0</v>
      </c>
      <c r="L21" s="13" t="n">
        <f aca="false">IF(C21=0,0,F21/C21)</f>
        <v>0.230310715841927</v>
      </c>
      <c r="M21" s="15" t="n">
        <f aca="false">IF(L21&lt;=0,0,MAX(0,MIN(3,ROUND(2*LOG(L21,2),0))))</f>
        <v>0</v>
      </c>
      <c r="N21" s="13" t="n">
        <f aca="false">IF(C21=0,0,G21/C21)</f>
        <v>2.1101862507402</v>
      </c>
      <c r="O21" s="15" t="n">
        <f aca="false">IF(N21&lt;=0,0,MAX(0,MIN(3,ROUND(2*LOG(N21,2),0))))</f>
        <v>2</v>
      </c>
    </row>
    <row r="22" customFormat="false" ht="15" hidden="false" customHeight="false" outlineLevel="0" collapsed="false">
      <c r="A22" s="20" t="s">
        <v>127</v>
      </c>
      <c r="B22" s="20" t="s">
        <v>133</v>
      </c>
      <c r="C22" s="19" t="n">
        <v>0.234963</v>
      </c>
      <c r="D22" s="19" t="n">
        <v>0.175102</v>
      </c>
      <c r="E22" s="19" t="n">
        <v>0.162018</v>
      </c>
      <c r="F22" s="19" t="n">
        <v>0.012775</v>
      </c>
      <c r="G22" s="19" t="n">
        <v>0.530376</v>
      </c>
      <c r="H22" s="13" t="n">
        <f aca="false">IF(C22=0,0,D22/C22)</f>
        <v>0.745232228052928</v>
      </c>
      <c r="I22" s="15" t="n">
        <f aca="false">IF(H22&lt;=0,0,MAX(0,MIN(3,ROUND(2*LOG(H22,2),0))))</f>
        <v>0</v>
      </c>
      <c r="J22" s="13" t="n">
        <f aca="false">IF(C22=0,0,E22/C22)</f>
        <v>0.689546864825526</v>
      </c>
      <c r="K22" s="15" t="n">
        <f aca="false">IF(J22&lt;=0,0,MAX(0,MIN(3,ROUND(2*LOG(J22,2),0))))</f>
        <v>0</v>
      </c>
      <c r="L22" s="13" t="n">
        <f aca="false">IF(C22=0,0,F22/C22)</f>
        <v>0.0543702625519763</v>
      </c>
      <c r="M22" s="15" t="n">
        <f aca="false">IF(L22&lt;=0,0,MAX(0,MIN(3,ROUND(2*LOG(L22,2),0))))</f>
        <v>0</v>
      </c>
      <c r="N22" s="13" t="n">
        <f aca="false">IF(C22=0,0,G22/C22)</f>
        <v>2.25727454960994</v>
      </c>
      <c r="O22" s="15" t="n">
        <f aca="false">IF(N22&lt;=0,0,MAX(0,MIN(3,ROUND(2*LOG(N22,2),0))))</f>
        <v>2</v>
      </c>
    </row>
    <row r="23" customFormat="false" ht="15" hidden="false" customHeight="false" outlineLevel="0" collapsed="false">
      <c r="A23" s="20" t="s">
        <v>127</v>
      </c>
      <c r="B23" s="18" t="s">
        <v>134</v>
      </c>
      <c r="C23" s="19" t="n">
        <v>0.173134</v>
      </c>
      <c r="D23" s="19" t="n">
        <v>1</v>
      </c>
      <c r="E23" s="19" t="n">
        <v>0.134151</v>
      </c>
      <c r="F23" s="19" t="n">
        <v>0.02163</v>
      </c>
      <c r="G23" s="19" t="n">
        <v>0.099699</v>
      </c>
      <c r="H23" s="13" t="n">
        <f aca="false">IF(C23=0,0,D23/C23)</f>
        <v>5.77587302320746</v>
      </c>
      <c r="I23" s="15" t="n">
        <f aca="false">IF(H23&lt;=0,0,MAX(0,MIN(3,ROUND(2*LOG(H23,2),0))))</f>
        <v>3</v>
      </c>
      <c r="J23" s="13" t="n">
        <f aca="false">IF(C23=0,0,E23/C23)</f>
        <v>0.774839141936304</v>
      </c>
      <c r="K23" s="15" t="n">
        <f aca="false">IF(J23&lt;=0,0,MAX(0,MIN(3,ROUND(2*LOG(J23,2),0))))</f>
        <v>0</v>
      </c>
      <c r="L23" s="13" t="n">
        <f aca="false">IF(C23=0,0,F23/C23)</f>
        <v>0.124932133491977</v>
      </c>
      <c r="M23" s="15" t="n">
        <f aca="false">IF(L23&lt;=0,0,MAX(0,MIN(3,ROUND(2*LOG(L23,2),0))))</f>
        <v>0</v>
      </c>
      <c r="N23" s="13" t="n">
        <f aca="false">IF(C23=0,0,G23/C23)</f>
        <v>0.57584876454076</v>
      </c>
      <c r="O23" s="15" t="n">
        <f aca="false">IF(N23&lt;=0,0,MAX(0,MIN(3,ROUND(2*LOG(N23,2),0))))</f>
        <v>0</v>
      </c>
    </row>
    <row r="24" customFormat="false" ht="15" hidden="false" customHeight="false" outlineLevel="0" collapsed="false">
      <c r="A24" s="20" t="s">
        <v>127</v>
      </c>
      <c r="B24" s="20" t="s">
        <v>135</v>
      </c>
      <c r="C24" s="19" t="n">
        <v>0.049811</v>
      </c>
      <c r="D24" s="19" t="n">
        <v>0.141683</v>
      </c>
      <c r="E24" s="19" t="n">
        <v>0.049201</v>
      </c>
      <c r="F24" s="19" t="n">
        <v>0.009831</v>
      </c>
      <c r="G24" s="19" t="n">
        <v>0.048338</v>
      </c>
      <c r="H24" s="13" t="n">
        <f aca="false">IF(C24=0,0,D24/C24)</f>
        <v>2.84441187689466</v>
      </c>
      <c r="I24" s="15" t="n">
        <f aca="false">IF(H24&lt;=0,0,MAX(0,MIN(3,ROUND(2*LOG(H24,2),0))))</f>
        <v>3</v>
      </c>
      <c r="J24" s="13" t="n">
        <f aca="false">IF(C24=0,0,E24/C24)</f>
        <v>0.987753709020096</v>
      </c>
      <c r="K24" s="15" t="n">
        <f aca="false">IF(J24&lt;=0,0,MAX(0,MIN(3,ROUND(2*LOG(J24,2),0))))</f>
        <v>-0</v>
      </c>
      <c r="L24" s="13" t="n">
        <f aca="false">IF(C24=0,0,F24/C24)</f>
        <v>0.197366043644978</v>
      </c>
      <c r="M24" s="15" t="n">
        <f aca="false">IF(L24&lt;=0,0,MAX(0,MIN(3,ROUND(2*LOG(L24,2),0))))</f>
        <v>0</v>
      </c>
      <c r="N24" s="13" t="n">
        <f aca="false">IF(C24=0,0,G24/C24)</f>
        <v>0.97042821866656</v>
      </c>
      <c r="O24" s="15" t="n">
        <f aca="false">IF(N24&lt;=0,0,MAX(0,MIN(3,ROUND(2*LOG(N24,2),0))))</f>
        <v>-0</v>
      </c>
    </row>
    <row r="25" customFormat="false" ht="15" hidden="false" customHeight="false" outlineLevel="0" collapsed="false">
      <c r="A25" s="20" t="s">
        <v>127</v>
      </c>
      <c r="B25" s="20" t="s">
        <v>136</v>
      </c>
      <c r="C25" s="19" t="n">
        <v>0.037965</v>
      </c>
      <c r="D25" s="19" t="n">
        <v>0.042121</v>
      </c>
      <c r="E25" s="19" t="n">
        <v>0.036175</v>
      </c>
      <c r="F25" s="19" t="n">
        <v>0.012469</v>
      </c>
      <c r="G25" s="19" t="n">
        <v>0.07464</v>
      </c>
      <c r="H25" s="13" t="n">
        <f aca="false">IF(C25=0,0,D25/C25)</f>
        <v>1.10946924799157</v>
      </c>
      <c r="I25" s="15" t="n">
        <f aca="false">IF(H25&lt;=0,0,MAX(0,MIN(3,ROUND(2*LOG(H25,2),0))))</f>
        <v>0</v>
      </c>
      <c r="J25" s="13" t="n">
        <f aca="false">IF(C25=0,0,E25/C25)</f>
        <v>0.95285131041749</v>
      </c>
      <c r="K25" s="15" t="n">
        <f aca="false">IF(J25&lt;=0,0,MAX(0,MIN(3,ROUND(2*LOG(J25,2),0))))</f>
        <v>-0</v>
      </c>
      <c r="L25" s="13" t="n">
        <f aca="false">IF(C25=0,0,F25/C25)</f>
        <v>0.32843408402476</v>
      </c>
      <c r="M25" s="15" t="n">
        <f aca="false">IF(L25&lt;=0,0,MAX(0,MIN(3,ROUND(2*LOG(L25,2),0))))</f>
        <v>0</v>
      </c>
      <c r="N25" s="13" t="n">
        <f aca="false">IF(C25=0,0,G25/C25)</f>
        <v>1.96602133544054</v>
      </c>
      <c r="O25" s="15" t="n">
        <f aca="false">IF(N25&lt;=0,0,MAX(0,MIN(3,ROUND(2*LOG(N25,2),0))))</f>
        <v>2</v>
      </c>
    </row>
    <row r="26" customFormat="false" ht="15" hidden="false" customHeight="false" outlineLevel="0" collapsed="false">
      <c r="A26" s="20" t="s">
        <v>127</v>
      </c>
      <c r="B26" s="20" t="s">
        <v>137</v>
      </c>
      <c r="C26" s="19" t="n">
        <v>0.144441</v>
      </c>
      <c r="D26" s="19" t="n">
        <v>0.109116</v>
      </c>
      <c r="E26" s="19" t="n">
        <v>0.725836</v>
      </c>
      <c r="F26" s="19" t="n">
        <v>0.118916</v>
      </c>
      <c r="G26" s="19" t="n">
        <v>0.118824</v>
      </c>
      <c r="H26" s="13" t="n">
        <f aca="false">IF(C26=0,0,D26/C26)</f>
        <v>0.755436475792884</v>
      </c>
      <c r="I26" s="15" t="n">
        <f aca="false">IF(H26&lt;=0,0,MAX(0,MIN(3,ROUND(2*LOG(H26,2),0))))</f>
        <v>0</v>
      </c>
      <c r="J26" s="13" t="n">
        <f aca="false">IF(C26=0,0,E26/C26)</f>
        <v>5.02513829175927</v>
      </c>
      <c r="K26" s="15" t="n">
        <f aca="false">IF(J26&lt;=0,0,MAX(0,MIN(3,ROUND(2*LOG(J26,2),0))))</f>
        <v>3</v>
      </c>
      <c r="L26" s="13" t="n">
        <f aca="false">IF(C26=0,0,F26/C26)</f>
        <v>0.823284247547442</v>
      </c>
      <c r="M26" s="15" t="n">
        <f aca="false">IF(L26&lt;=0,0,MAX(0,MIN(3,ROUND(2*LOG(L26,2),0))))</f>
        <v>0</v>
      </c>
      <c r="N26" s="13" t="n">
        <f aca="false">IF(C26=0,0,G26/C26)</f>
        <v>0.822647309281991</v>
      </c>
      <c r="O26" s="15" t="n">
        <f aca="false">IF(N26&lt;=0,0,MAX(0,MIN(3,ROUND(2*LOG(N26,2),0))))</f>
        <v>0</v>
      </c>
    </row>
    <row r="27" customFormat="false" ht="15" hidden="false" customHeight="false" outlineLevel="0" collapsed="false">
      <c r="A27" s="20" t="s">
        <v>127</v>
      </c>
      <c r="B27" s="20" t="s">
        <v>138</v>
      </c>
      <c r="C27" s="19" t="n">
        <v>0.073386</v>
      </c>
      <c r="D27" s="19" t="n">
        <v>0.059026</v>
      </c>
      <c r="E27" s="19" t="n">
        <v>0.368776</v>
      </c>
      <c r="F27" s="19" t="n">
        <v>0.045447</v>
      </c>
      <c r="G27" s="19" t="n">
        <v>0.027437</v>
      </c>
      <c r="H27" s="13" t="n">
        <f aca="false">IF(C27=0,0,D27/C27)</f>
        <v>0.804322350312049</v>
      </c>
      <c r="I27" s="15" t="n">
        <f aca="false">IF(H27&lt;=0,0,MAX(0,MIN(3,ROUND(2*LOG(H27,2),0))))</f>
        <v>0</v>
      </c>
      <c r="J27" s="13" t="n">
        <f aca="false">IF(C27=0,0,E27/C27)</f>
        <v>5.02515466165209</v>
      </c>
      <c r="K27" s="15" t="n">
        <f aca="false">IF(J27&lt;=0,0,MAX(0,MIN(3,ROUND(2*LOG(J27,2),0))))</f>
        <v>3</v>
      </c>
      <c r="L27" s="13" t="n">
        <f aca="false">IF(C27=0,0,F27/C27)</f>
        <v>0.619287057476903</v>
      </c>
      <c r="M27" s="15" t="n">
        <f aca="false">IF(L27&lt;=0,0,MAX(0,MIN(3,ROUND(2*LOG(L27,2),0))))</f>
        <v>0</v>
      </c>
      <c r="N27" s="13" t="n">
        <f aca="false">IF(C27=0,0,G27/C27)</f>
        <v>0.373872400730385</v>
      </c>
      <c r="O27" s="15" t="n">
        <f aca="false">IF(N27&lt;=0,0,MAX(0,MIN(3,ROUND(2*LOG(N27,2),0))))</f>
        <v>0</v>
      </c>
    </row>
    <row r="28" customFormat="false" ht="15" hidden="false" customHeight="false" outlineLevel="0" collapsed="false">
      <c r="A28" s="20" t="s">
        <v>127</v>
      </c>
      <c r="B28" s="20" t="s">
        <v>139</v>
      </c>
      <c r="C28" s="19" t="n">
        <v>0.017136</v>
      </c>
      <c r="D28" s="19" t="n">
        <v>0.013564</v>
      </c>
      <c r="E28" s="19" t="n">
        <v>0.013382</v>
      </c>
      <c r="F28" s="19" t="n">
        <v>0.014363</v>
      </c>
      <c r="G28" s="19" t="n">
        <v>0.02217</v>
      </c>
      <c r="H28" s="13" t="n">
        <f aca="false">IF(C28=0,0,D28/C28)</f>
        <v>0.791549953314659</v>
      </c>
      <c r="I28" s="15" t="n">
        <f aca="false">IF(H28&lt;=0,0,MAX(0,MIN(3,ROUND(2*LOG(H28,2),0))))</f>
        <v>0</v>
      </c>
      <c r="J28" s="13" t="n">
        <f aca="false">IF(C28=0,0,E28/C28)</f>
        <v>0.78092903828198</v>
      </c>
      <c r="K28" s="15" t="n">
        <f aca="false">IF(J28&lt;=0,0,MAX(0,MIN(3,ROUND(2*LOG(J28,2),0))))</f>
        <v>0</v>
      </c>
      <c r="L28" s="13" t="n">
        <f aca="false">IF(C28=0,0,F28/C28)</f>
        <v>0.838176937441644</v>
      </c>
      <c r="M28" s="15" t="n">
        <f aca="false">IF(L28&lt;=0,0,MAX(0,MIN(3,ROUND(2*LOG(L28,2),0))))</f>
        <v>0</v>
      </c>
      <c r="N28" s="13" t="n">
        <f aca="false">IF(C28=0,0,G28/C28)</f>
        <v>1.2937675070028</v>
      </c>
      <c r="O28" s="15" t="n">
        <f aca="false">IF(N28&lt;=0,0,MAX(0,MIN(3,ROUND(2*LOG(N28,2),0))))</f>
        <v>1</v>
      </c>
    </row>
    <row r="29" customFormat="false" ht="15" hidden="false" customHeight="false" outlineLevel="0" collapsed="false">
      <c r="A29" s="18" t="s">
        <v>140</v>
      </c>
      <c r="B29" s="18" t="s">
        <v>141</v>
      </c>
      <c r="C29" s="19" t="n">
        <v>0.003888</v>
      </c>
      <c r="D29" s="19" t="n">
        <v>0.00685</v>
      </c>
      <c r="E29" s="19" t="n">
        <v>0.004224</v>
      </c>
      <c r="F29" s="19" t="n">
        <v>0.00463</v>
      </c>
      <c r="G29" s="19" t="n">
        <v>0.00381</v>
      </c>
      <c r="H29" s="13" t="n">
        <f aca="false">IF(C29=0,0,D29/C29)</f>
        <v>1.76183127572016</v>
      </c>
      <c r="I29" s="15" t="n">
        <f aca="false">IF(H29&lt;=0,0,MAX(0,MIN(3,ROUND(2*LOG(H29,2),0))))</f>
        <v>2</v>
      </c>
      <c r="J29" s="13" t="n">
        <f aca="false">IF(C29=0,0,E29/C29)</f>
        <v>1.08641975308642</v>
      </c>
      <c r="K29" s="15" t="n">
        <f aca="false">IF(J29&lt;=0,0,MAX(0,MIN(3,ROUND(2*LOG(J29,2),0))))</f>
        <v>0</v>
      </c>
      <c r="L29" s="13" t="n">
        <f aca="false">IF(C29=0,0,F29/C29)</f>
        <v>1.19084362139918</v>
      </c>
      <c r="M29" s="15" t="n">
        <f aca="false">IF(L29&lt;=0,0,MAX(0,MIN(3,ROUND(2*LOG(L29,2),0))))</f>
        <v>1</v>
      </c>
      <c r="N29" s="13" t="n">
        <f aca="false">IF(C29=0,0,G29/C29)</f>
        <v>0.979938271604938</v>
      </c>
      <c r="O29" s="15" t="n">
        <f aca="false">IF(N29&lt;=0,0,MAX(0,MIN(3,ROUND(2*LOG(N29,2),0))))</f>
        <v>-0</v>
      </c>
    </row>
    <row r="30" customFormat="false" ht="15" hidden="false" customHeight="false" outlineLevel="0" collapsed="false">
      <c r="A30" s="18" t="s">
        <v>140</v>
      </c>
      <c r="B30" s="18" t="s">
        <v>142</v>
      </c>
      <c r="C30" s="19" t="n">
        <v>0.018752</v>
      </c>
      <c r="D30" s="19" t="n">
        <v>0.015467</v>
      </c>
      <c r="E30" s="19" t="n">
        <v>0.01315</v>
      </c>
      <c r="F30" s="19" t="n">
        <v>0.016363</v>
      </c>
      <c r="G30" s="19" t="n">
        <v>0.023622</v>
      </c>
      <c r="H30" s="13" t="n">
        <f aca="false">IF(C30=0,0,D30/C30)</f>
        <v>0.824818686006826</v>
      </c>
      <c r="I30" s="15" t="n">
        <f aca="false">IF(H30&lt;=0,0,MAX(0,MIN(3,ROUND(2*LOG(H30,2),0))))</f>
        <v>0</v>
      </c>
      <c r="J30" s="13" t="n">
        <f aca="false">IF(C30=0,0,E30/C30)</f>
        <v>0.701258532423208</v>
      </c>
      <c r="K30" s="15" t="n">
        <f aca="false">IF(J30&lt;=0,0,MAX(0,MIN(3,ROUND(2*LOG(J30,2),0))))</f>
        <v>0</v>
      </c>
      <c r="L30" s="13" t="n">
        <f aca="false">IF(C30=0,0,F30/C30)</f>
        <v>0.872600255972696</v>
      </c>
      <c r="M30" s="15" t="n">
        <f aca="false">IF(L30&lt;=0,0,MAX(0,MIN(3,ROUND(2*LOG(L30,2),0))))</f>
        <v>-0</v>
      </c>
      <c r="N30" s="13" t="n">
        <f aca="false">IF(C30=0,0,G30/C30)</f>
        <v>1.25970563139932</v>
      </c>
      <c r="O30" s="15" t="n">
        <f aca="false">IF(N30&lt;=0,0,MAX(0,MIN(3,ROUND(2*LOG(N30,2),0))))</f>
        <v>1</v>
      </c>
    </row>
    <row r="31" customFormat="false" ht="15" hidden="false" customHeight="false" outlineLevel="0" collapsed="false">
      <c r="A31" s="18" t="s">
        <v>140</v>
      </c>
      <c r="B31" s="18" t="s">
        <v>143</v>
      </c>
      <c r="C31" s="19" t="n">
        <v>0.604811</v>
      </c>
      <c r="D31" s="19" t="n">
        <v>0.659466</v>
      </c>
      <c r="E31" s="19" t="n">
        <v>0.445787</v>
      </c>
      <c r="F31" s="19" t="n">
        <v>0.635976</v>
      </c>
      <c r="G31" s="19" t="n">
        <v>0.633733</v>
      </c>
      <c r="H31" s="13" t="n">
        <f aca="false">IF(C31=0,0,D31/C31)</f>
        <v>1.09036707335019</v>
      </c>
      <c r="I31" s="15" t="n">
        <f aca="false">IF(H31&lt;=0,0,MAX(0,MIN(3,ROUND(2*LOG(H31,2),0))))</f>
        <v>0</v>
      </c>
      <c r="J31" s="13" t="n">
        <f aca="false">IF(C31=0,0,E31/C31)</f>
        <v>0.737068274221203</v>
      </c>
      <c r="K31" s="15" t="n">
        <f aca="false">IF(J31&lt;=0,0,MAX(0,MIN(3,ROUND(2*LOG(J31,2),0))))</f>
        <v>0</v>
      </c>
      <c r="L31" s="13" t="n">
        <f aca="false">IF(C31=0,0,F31/C31)</f>
        <v>1.05152849402541</v>
      </c>
      <c r="M31" s="15" t="n">
        <f aca="false">IF(L31&lt;=0,0,MAX(0,MIN(3,ROUND(2*LOG(L31,2),0))))</f>
        <v>0</v>
      </c>
      <c r="N31" s="13" t="n">
        <f aca="false">IF(C31=0,0,G31/C31)</f>
        <v>1.04781989745557</v>
      </c>
      <c r="O31" s="15" t="n">
        <f aca="false">IF(N31&lt;=0,0,MAX(0,MIN(3,ROUND(2*LOG(N31,2),0))))</f>
        <v>0</v>
      </c>
    </row>
    <row r="32" customFormat="false" ht="15" hidden="false" customHeight="false" outlineLevel="0" collapsed="false">
      <c r="A32" s="18" t="s">
        <v>140</v>
      </c>
      <c r="B32" s="18" t="s">
        <v>144</v>
      </c>
      <c r="C32" s="19" t="n">
        <v>0.247849</v>
      </c>
      <c r="D32" s="19" t="n">
        <v>0.22672</v>
      </c>
      <c r="E32" s="19" t="n">
        <v>0.293287</v>
      </c>
      <c r="F32" s="19" t="n">
        <v>0.248129</v>
      </c>
      <c r="G32" s="19" t="n">
        <v>0.248556</v>
      </c>
      <c r="H32" s="13" t="n">
        <f aca="false">IF(C32=0,0,D32/C32)</f>
        <v>0.914750513417444</v>
      </c>
      <c r="I32" s="15" t="n">
        <f aca="false">IF(H32&lt;=0,0,MAX(0,MIN(3,ROUND(2*LOG(H32,2),0))))</f>
        <v>-0</v>
      </c>
      <c r="J32" s="13" t="n">
        <f aca="false">IF(C32=0,0,E32/C32)</f>
        <v>1.18332936586389</v>
      </c>
      <c r="K32" s="15" t="n">
        <f aca="false">IF(J32&lt;=0,0,MAX(0,MIN(3,ROUND(2*LOG(J32,2),0))))</f>
        <v>0</v>
      </c>
      <c r="L32" s="13" t="n">
        <f aca="false">IF(C32=0,0,F32/C32)</f>
        <v>1.00112972011184</v>
      </c>
      <c r="M32" s="15" t="n">
        <f aca="false">IF(L32&lt;=0,0,MAX(0,MIN(3,ROUND(2*LOG(L32,2),0))))</f>
        <v>0</v>
      </c>
      <c r="N32" s="13" t="n">
        <f aca="false">IF(C32=0,0,G32/C32)</f>
        <v>1.0028525432824</v>
      </c>
      <c r="O32" s="15" t="n">
        <f aca="false">IF(N32&lt;=0,0,MAX(0,MIN(3,ROUND(2*LOG(N32,2),0))))</f>
        <v>0</v>
      </c>
    </row>
    <row r="33" customFormat="false" ht="15" hidden="false" customHeight="false" outlineLevel="0" collapsed="false">
      <c r="A33" s="18" t="s">
        <v>140</v>
      </c>
      <c r="B33" s="18" t="s">
        <v>145</v>
      </c>
      <c r="C33" s="19" t="n">
        <v>0.123384</v>
      </c>
      <c r="D33" s="19" t="n">
        <v>0.089316</v>
      </c>
      <c r="E33" s="19" t="n">
        <v>0.241971</v>
      </c>
      <c r="F33" s="19" t="n">
        <v>0.094903</v>
      </c>
      <c r="G33" s="19" t="n">
        <v>0.088656</v>
      </c>
      <c r="H33" s="13" t="n">
        <f aca="false">IF(C33=0,0,D33/C33)</f>
        <v>0.723886403423459</v>
      </c>
      <c r="I33" s="15" t="n">
        <f aca="false">IF(H33&lt;=0,0,MAX(0,MIN(3,ROUND(2*LOG(H33,2),0))))</f>
        <v>0</v>
      </c>
      <c r="J33" s="13" t="n">
        <f aca="false">IF(C33=0,0,E33/C33)</f>
        <v>1.96112137716398</v>
      </c>
      <c r="K33" s="15" t="n">
        <f aca="false">IF(J33&lt;=0,0,MAX(0,MIN(3,ROUND(2*LOG(J33,2),0))))</f>
        <v>2</v>
      </c>
      <c r="L33" s="13" t="n">
        <f aca="false">IF(C33=0,0,F33/C33)</f>
        <v>0.769167801335668</v>
      </c>
      <c r="M33" s="15" t="n">
        <f aca="false">IF(L33&lt;=0,0,MAX(0,MIN(3,ROUND(2*LOG(L33,2),0))))</f>
        <v>0</v>
      </c>
      <c r="N33" s="13" t="n">
        <f aca="false">IF(C33=0,0,G33/C33)</f>
        <v>0.718537249562342</v>
      </c>
      <c r="O33" s="15" t="n">
        <f aca="false">IF(N33&lt;=0,0,MAX(0,MIN(3,ROUND(2*LOG(N33,2),0))))</f>
        <v>0</v>
      </c>
    </row>
    <row r="34" customFormat="false" ht="15" hidden="false" customHeight="false" outlineLevel="0" collapsed="false">
      <c r="A34" s="18" t="s">
        <v>146</v>
      </c>
      <c r="B34" s="20" t="s">
        <v>147</v>
      </c>
      <c r="C34" s="19" t="n">
        <v>0.507935</v>
      </c>
      <c r="D34" s="19" t="n">
        <v>0.596649</v>
      </c>
      <c r="E34" s="19" t="n">
        <v>0.62048</v>
      </c>
      <c r="F34" s="19" t="n">
        <v>0.512747</v>
      </c>
      <c r="G34" s="19" t="n">
        <v>0.337832</v>
      </c>
      <c r="H34" s="13" t="n">
        <f aca="false">IF(C34=0,0,D34/C34)</f>
        <v>1.17465620601061</v>
      </c>
      <c r="I34" s="15" t="n">
        <f aca="false">IF(H34&lt;=0,0,MAX(0,MIN(3,ROUND(2*LOG(H34,2),0))))</f>
        <v>0</v>
      </c>
      <c r="J34" s="13" t="n">
        <f aca="false">IF(C34=0,0,E34/C34)</f>
        <v>1.2215736265467</v>
      </c>
      <c r="K34" s="15" t="n">
        <f aca="false">IF(J34&lt;=0,0,MAX(0,MIN(3,ROUND(2*LOG(J34,2),0))))</f>
        <v>1</v>
      </c>
      <c r="L34" s="13" t="n">
        <f aca="false">IF(C34=0,0,F34/C34)</f>
        <v>1.00947365312491</v>
      </c>
      <c r="M34" s="15" t="n">
        <f aca="false">IF(L34&lt;=0,0,MAX(0,MIN(3,ROUND(2*LOG(L34,2),0))))</f>
        <v>0</v>
      </c>
      <c r="N34" s="13" t="n">
        <f aca="false">IF(C34=0,0,G34/C34)</f>
        <v>0.665108724541526</v>
      </c>
      <c r="O34" s="15" t="n">
        <f aca="false">IF(N34&lt;=0,0,MAX(0,MIN(3,ROUND(2*LOG(N34,2),0))))</f>
        <v>0</v>
      </c>
    </row>
    <row r="35" customFormat="false" ht="15" hidden="false" customHeight="false" outlineLevel="0" collapsed="false">
      <c r="A35" s="18" t="s">
        <v>146</v>
      </c>
      <c r="B35" s="20" t="s">
        <v>148</v>
      </c>
      <c r="C35" s="19" t="n">
        <v>0.180181</v>
      </c>
      <c r="D35" s="19" t="n">
        <v>0.128433</v>
      </c>
      <c r="E35" s="19" t="n">
        <v>0.176185</v>
      </c>
      <c r="F35" s="19" t="n">
        <v>0.16901</v>
      </c>
      <c r="G35" s="19" t="n">
        <v>0.202229</v>
      </c>
      <c r="H35" s="13" t="n">
        <f aca="false">IF(C35=0,0,D35/C35)</f>
        <v>0.712799906760424</v>
      </c>
      <c r="I35" s="15" t="n">
        <f aca="false">IF(H35&lt;=0,0,MAX(0,MIN(3,ROUND(2*LOG(H35,2),0))))</f>
        <v>0</v>
      </c>
      <c r="J35" s="13" t="n">
        <f aca="false">IF(C35=0,0,E35/C35)</f>
        <v>0.977822300908531</v>
      </c>
      <c r="K35" s="15" t="n">
        <f aca="false">IF(J35&lt;=0,0,MAX(0,MIN(3,ROUND(2*LOG(J35,2),0))))</f>
        <v>-0</v>
      </c>
      <c r="L35" s="13" t="n">
        <f aca="false">IF(C35=0,0,F35/C35)</f>
        <v>0.938001232094394</v>
      </c>
      <c r="M35" s="15" t="n">
        <f aca="false">IF(L35&lt;=0,0,MAX(0,MIN(3,ROUND(2*LOG(L35,2),0))))</f>
        <v>-0</v>
      </c>
      <c r="N35" s="13" t="n">
        <f aca="false">IF(C35=0,0,G35/C35)</f>
        <v>1.12236584323541</v>
      </c>
      <c r="O35" s="15" t="n">
        <f aca="false">IF(N35&lt;=0,0,MAX(0,MIN(3,ROUND(2*LOG(N35,2),0))))</f>
        <v>0</v>
      </c>
    </row>
    <row r="36" customFormat="false" ht="15" hidden="false" customHeight="false" outlineLevel="0" collapsed="false">
      <c r="A36" s="18" t="s">
        <v>146</v>
      </c>
      <c r="B36" s="20" t="s">
        <v>149</v>
      </c>
      <c r="C36" s="19" t="n">
        <v>0.263287</v>
      </c>
      <c r="D36" s="19" t="n">
        <v>0.255229</v>
      </c>
      <c r="E36" s="19" t="n">
        <v>0.258017</v>
      </c>
      <c r="F36" s="19" t="n">
        <v>0.278035</v>
      </c>
      <c r="G36" s="19" t="n">
        <v>0.265599</v>
      </c>
      <c r="H36" s="13" t="n">
        <f aca="false">IF(C36=0,0,D36/C36)</f>
        <v>0.96939461500188</v>
      </c>
      <c r="I36" s="15" t="n">
        <f aca="false">IF(H36&lt;=0,0,MAX(0,MIN(3,ROUND(2*LOG(H36,2),0))))</f>
        <v>-0</v>
      </c>
      <c r="J36" s="13" t="n">
        <f aca="false">IF(C36=0,0,E36/C36)</f>
        <v>0.979983819937939</v>
      </c>
      <c r="K36" s="15" t="n">
        <f aca="false">IF(J36&lt;=0,0,MAX(0,MIN(3,ROUND(2*LOG(J36,2),0))))</f>
        <v>-0</v>
      </c>
      <c r="L36" s="13" t="n">
        <f aca="false">IF(C36=0,0,F36/C36)</f>
        <v>1.0560149190807</v>
      </c>
      <c r="M36" s="15" t="n">
        <f aca="false">IF(L36&lt;=0,0,MAX(0,MIN(3,ROUND(2*LOG(L36,2),0))))</f>
        <v>0</v>
      </c>
      <c r="N36" s="13" t="n">
        <f aca="false">IF(C36=0,0,G36/C36)</f>
        <v>1.00878129189819</v>
      </c>
      <c r="O36" s="15" t="n">
        <f aca="false">IF(N36&lt;=0,0,MAX(0,MIN(3,ROUND(2*LOG(N36,2),0))))</f>
        <v>0</v>
      </c>
    </row>
    <row r="37" customFormat="false" ht="15" hidden="false" customHeight="false" outlineLevel="0" collapsed="false">
      <c r="A37" s="18" t="s">
        <v>146</v>
      </c>
      <c r="B37" s="18" t="s">
        <v>150</v>
      </c>
      <c r="C37" s="19" t="n">
        <v>0.292871</v>
      </c>
      <c r="D37" s="19" t="n">
        <v>0.370637</v>
      </c>
      <c r="E37" s="19" t="n">
        <v>0.327336</v>
      </c>
      <c r="F37" s="19" t="n">
        <v>0.364974</v>
      </c>
      <c r="G37" s="19" t="n">
        <v>0.207003</v>
      </c>
      <c r="H37" s="13" t="n">
        <f aca="false">IF(C37=0,0,D37/C37)</f>
        <v>1.26552987492787</v>
      </c>
      <c r="I37" s="15" t="n">
        <f aca="false">IF(H37&lt;=0,0,MAX(0,MIN(3,ROUND(2*LOG(H37,2),0))))</f>
        <v>1</v>
      </c>
      <c r="J37" s="13" t="n">
        <f aca="false">IF(C37=0,0,E37/C37)</f>
        <v>1.11767979759007</v>
      </c>
      <c r="K37" s="15" t="n">
        <f aca="false">IF(J37&lt;=0,0,MAX(0,MIN(3,ROUND(2*LOG(J37,2),0))))</f>
        <v>0</v>
      </c>
      <c r="L37" s="13" t="n">
        <f aca="false">IF(C37=0,0,F37/C37)</f>
        <v>1.24619371668755</v>
      </c>
      <c r="M37" s="15" t="n">
        <f aca="false">IF(L37&lt;=0,0,MAX(0,MIN(3,ROUND(2*LOG(L37,2),0))))</f>
        <v>1</v>
      </c>
      <c r="N37" s="13" t="n">
        <f aca="false">IF(C37=0,0,G37/C37)</f>
        <v>0.706806068200675</v>
      </c>
      <c r="O37" s="15" t="n">
        <f aca="false">IF(N37&lt;=0,0,MAX(0,MIN(3,ROUND(2*LOG(N37,2),0))))</f>
        <v>0</v>
      </c>
    </row>
    <row r="38" customFormat="false" ht="15" hidden="false" customHeight="false" outlineLevel="0" collapsed="false">
      <c r="A38" s="20" t="s">
        <v>151</v>
      </c>
      <c r="B38" s="20" t="s">
        <v>152</v>
      </c>
      <c r="C38" s="19" t="n">
        <v>0.743653</v>
      </c>
      <c r="D38" s="19" t="n">
        <v>0.867114</v>
      </c>
      <c r="E38" s="19" t="n">
        <v>0.764968</v>
      </c>
      <c r="F38" s="19" t="n">
        <v>0.796196</v>
      </c>
      <c r="G38" s="19" t="n">
        <v>0.658394</v>
      </c>
      <c r="H38" s="13" t="n">
        <f aca="false">IF(C38=0,0,D38/C38)</f>
        <v>1.16601963550204</v>
      </c>
      <c r="I38" s="15" t="n">
        <f aca="false">IF(H38&lt;=0,0,MAX(0,MIN(3,ROUND(2*LOG(H38,2),0))))</f>
        <v>0</v>
      </c>
      <c r="J38" s="13" t="n">
        <f aca="false">IF(C38=0,0,E38/C38)</f>
        <v>1.02866256170553</v>
      </c>
      <c r="K38" s="15" t="n">
        <f aca="false">IF(J38&lt;=0,0,MAX(0,MIN(3,ROUND(2*LOG(J38,2),0))))</f>
        <v>0</v>
      </c>
      <c r="L38" s="13" t="n">
        <f aca="false">IF(C38=0,0,F38/C38)</f>
        <v>1.07065526529174</v>
      </c>
      <c r="M38" s="15" t="n">
        <f aca="false">IF(L38&lt;=0,0,MAX(0,MIN(3,ROUND(2*LOG(L38,2),0))))</f>
        <v>0</v>
      </c>
      <c r="N38" s="13" t="n">
        <f aca="false">IF(C38=0,0,G38/C38)</f>
        <v>0.885351097891086</v>
      </c>
      <c r="O38" s="15" t="n">
        <f aca="false">IF(N38&lt;=0,0,MAX(0,MIN(3,ROUND(2*LOG(N38,2),0))))</f>
        <v>-0</v>
      </c>
    </row>
    <row r="39" customFormat="false" ht="15" hidden="false" customHeight="false" outlineLevel="0" collapsed="false">
      <c r="A39" s="20" t="s">
        <v>151</v>
      </c>
      <c r="B39" s="20" t="s">
        <v>153</v>
      </c>
      <c r="C39" s="19" t="n">
        <v>0.148388</v>
      </c>
      <c r="D39" s="19" t="n">
        <v>0.046085</v>
      </c>
      <c r="E39" s="19" t="n">
        <v>0.065517</v>
      </c>
      <c r="F39" s="19" t="n">
        <v>0.091285</v>
      </c>
      <c r="G39" s="19" t="n">
        <v>0.28422</v>
      </c>
      <c r="H39" s="13" t="n">
        <f aca="false">IF(C39=0,0,D39/C39)</f>
        <v>0.310570935655174</v>
      </c>
      <c r="I39" s="15" t="n">
        <f aca="false">IF(H39&lt;=0,0,MAX(0,MIN(3,ROUND(2*LOG(H39,2),0))))</f>
        <v>0</v>
      </c>
      <c r="J39" s="13" t="n">
        <f aca="false">IF(C39=0,0,E39/C39)</f>
        <v>0.441524921152654</v>
      </c>
      <c r="K39" s="15" t="n">
        <f aca="false">IF(J39&lt;=0,0,MAX(0,MIN(3,ROUND(2*LOG(J39,2),0))))</f>
        <v>0</v>
      </c>
      <c r="L39" s="13" t="n">
        <f aca="false">IF(C39=0,0,F39/C39)</f>
        <v>0.615177777178748</v>
      </c>
      <c r="M39" s="15" t="n">
        <f aca="false">IF(L39&lt;=0,0,MAX(0,MIN(3,ROUND(2*LOG(L39,2),0))))</f>
        <v>0</v>
      </c>
      <c r="N39" s="13" t="n">
        <f aca="false">IF(C39=0,0,G39/C39)</f>
        <v>1.91538399331482</v>
      </c>
      <c r="O39" s="15" t="n">
        <f aca="false">IF(N39&lt;=0,0,MAX(0,MIN(3,ROUND(2*LOG(N39,2),0))))</f>
        <v>2</v>
      </c>
    </row>
    <row r="40" customFormat="false" ht="15" hidden="false" customHeight="false" outlineLevel="0" collapsed="false">
      <c r="A40" s="20" t="s">
        <v>154</v>
      </c>
      <c r="B40" s="20" t="s">
        <v>155</v>
      </c>
      <c r="C40" s="19" t="n">
        <v>0.698945</v>
      </c>
      <c r="D40" s="19" t="n">
        <v>0.81905</v>
      </c>
      <c r="E40" s="19" t="n">
        <v>0.838726</v>
      </c>
      <c r="F40" s="19" t="n">
        <v>0.723109</v>
      </c>
      <c r="G40" s="19" t="n">
        <v>0.61732</v>
      </c>
      <c r="H40" s="13" t="n">
        <f aca="false">IF(C40=0,0,D40/C40)</f>
        <v>1.17183755517244</v>
      </c>
      <c r="I40" s="15" t="n">
        <f aca="false">IF(H40&lt;=0,0,MAX(0,MIN(3,ROUND(2*LOG(H40,2),0))))</f>
        <v>0</v>
      </c>
      <c r="J40" s="13" t="n">
        <f aca="false">IF(C40=0,0,E40/C40)</f>
        <v>1.19998855417808</v>
      </c>
      <c r="K40" s="15" t="n">
        <f aca="false">IF(J40&lt;=0,0,MAX(0,MIN(3,ROUND(2*LOG(J40,2),0))))</f>
        <v>1</v>
      </c>
      <c r="L40" s="13" t="n">
        <f aca="false">IF(C40=0,0,F40/C40)</f>
        <v>1.03457210510126</v>
      </c>
      <c r="M40" s="15" t="n">
        <f aca="false">IF(L40&lt;=0,0,MAX(0,MIN(3,ROUND(2*LOG(L40,2),0))))</f>
        <v>0</v>
      </c>
      <c r="N40" s="13" t="n">
        <f aca="false">IF(C40=0,0,G40/C40)</f>
        <v>0.883216848249862</v>
      </c>
      <c r="O40" s="15" t="n">
        <f aca="false">IF(N40&lt;=0,0,MAX(0,MIN(3,ROUND(2*LOG(N40,2),0))))</f>
        <v>-0</v>
      </c>
    </row>
    <row r="42" customFormat="false" ht="15" hidden="false" customHeight="false" outlineLevel="0" collapsed="false">
      <c r="A42" s="14" t="s">
        <v>156</v>
      </c>
    </row>
    <row r="43" customFormat="false" ht="15" hidden="false" customHeight="false" outlineLevel="0" collapsed="false">
      <c r="A43" s="7" t="s">
        <v>157</v>
      </c>
      <c r="B43" s="7"/>
      <c r="C43" s="7" t="s">
        <v>16</v>
      </c>
      <c r="D43" s="8" t="s">
        <v>102</v>
      </c>
      <c r="E43" s="8" t="s">
        <v>103</v>
      </c>
      <c r="F43" s="8" t="s">
        <v>104</v>
      </c>
      <c r="G43" s="8" t="s">
        <v>105</v>
      </c>
      <c r="H43" s="8" t="s">
        <v>106</v>
      </c>
      <c r="I43" s="7"/>
      <c r="J43" s="8" t="s">
        <v>108</v>
      </c>
      <c r="K43" s="7"/>
      <c r="L43" s="8" t="s">
        <v>110</v>
      </c>
      <c r="M43" s="7"/>
      <c r="N43" s="8" t="s">
        <v>112</v>
      </c>
      <c r="O43" s="7"/>
    </row>
    <row r="44" customFormat="false" ht="15" hidden="false" customHeight="false" outlineLevel="0" collapsed="false">
      <c r="A44" s="4" t="s">
        <v>41</v>
      </c>
      <c r="C44" s="19" t="n">
        <v>0.805</v>
      </c>
      <c r="D44" s="19" t="n">
        <v>0.9349</v>
      </c>
      <c r="E44" s="19" t="n">
        <v>0.9243</v>
      </c>
      <c r="F44" s="19" t="n">
        <v>0.5443</v>
      </c>
      <c r="G44" s="19" t="n">
        <v>0.8306</v>
      </c>
      <c r="H44" s="13" t="n">
        <f aca="false">IF(C44=0,0,D44/C44)</f>
        <v>1.16136645962733</v>
      </c>
      <c r="J44" s="13" t="n">
        <f aca="false">IF(C44=0,0,E44/C44)</f>
        <v>1.14819875776398</v>
      </c>
      <c r="L44" s="13" t="n">
        <f aca="false">IF(C44=0,0,F44/C44)</f>
        <v>0.676149068322981</v>
      </c>
      <c r="N44" s="13" t="n">
        <f aca="false">IF(C44=0,0,G44/C44)</f>
        <v>1.03180124223602</v>
      </c>
    </row>
    <row r="45" customFormat="false" ht="15" hidden="false" customHeight="false" outlineLevel="0" collapsed="false">
      <c r="A45" s="4" t="s">
        <v>49</v>
      </c>
      <c r="C45" s="19" t="n">
        <v>0.0785</v>
      </c>
      <c r="D45" s="19" t="n">
        <v>0.0601</v>
      </c>
      <c r="E45" s="19" t="n">
        <v>0.0683</v>
      </c>
      <c r="F45" s="19" t="n">
        <v>0.033</v>
      </c>
      <c r="G45" s="19" t="n">
        <v>0.1486</v>
      </c>
      <c r="H45" s="13" t="n">
        <f aca="false">IF(C45=0,0,D45/C45)</f>
        <v>0.765605095541401</v>
      </c>
      <c r="J45" s="13" t="n">
        <f aca="false">IF(C45=0,0,E45/C45)</f>
        <v>0.870063694267516</v>
      </c>
      <c r="L45" s="13" t="n">
        <f aca="false">IF(C45=0,0,F45/C45)</f>
        <v>0.420382165605096</v>
      </c>
      <c r="N45" s="13" t="n">
        <f aca="false">IF(C45=0,0,G45/C45)</f>
        <v>1.89299363057325</v>
      </c>
    </row>
    <row r="46" customFormat="false" ht="15" hidden="false" customHeight="false" outlineLevel="0" collapsed="false">
      <c r="A46" s="4" t="s">
        <v>44</v>
      </c>
      <c r="C46" s="19" t="n">
        <v>0.0576</v>
      </c>
      <c r="D46" s="19" t="n">
        <v>0.0686</v>
      </c>
      <c r="E46" s="19" t="n">
        <v>0.0336</v>
      </c>
      <c r="F46" s="19" t="n">
        <v>0.0229</v>
      </c>
      <c r="G46" s="19" t="n">
        <v>0.0777</v>
      </c>
      <c r="H46" s="13" t="n">
        <f aca="false">IF(C46=0,0,D46/C46)</f>
        <v>1.19097222222222</v>
      </c>
      <c r="J46" s="13" t="n">
        <f aca="false">IF(C46=0,0,E46/C46)</f>
        <v>0.583333333333333</v>
      </c>
      <c r="L46" s="13" t="n">
        <f aca="false">IF(C46=0,0,F46/C46)</f>
        <v>0.397569444444445</v>
      </c>
      <c r="N46" s="13" t="n">
        <f aca="false">IF(C46=0,0,G46/C46)</f>
        <v>1.34895833333333</v>
      </c>
    </row>
    <row r="47" customFormat="false" ht="15" hidden="false" customHeight="false" outlineLevel="0" collapsed="false">
      <c r="A47" s="4" t="s">
        <v>50</v>
      </c>
      <c r="C47" s="19" t="n">
        <v>0.0423</v>
      </c>
      <c r="D47" s="19" t="n">
        <v>0.026</v>
      </c>
      <c r="E47" s="19" t="n">
        <v>0.043</v>
      </c>
      <c r="F47" s="19" t="n">
        <v>0.0211</v>
      </c>
      <c r="G47" s="19" t="n">
        <v>0.084</v>
      </c>
      <c r="H47" s="13" t="n">
        <f aca="false">IF(C47=0,0,D47/C47)</f>
        <v>0.614657210401891</v>
      </c>
      <c r="J47" s="13" t="n">
        <f aca="false">IF(C47=0,0,E47/C47)</f>
        <v>1.01654846335697</v>
      </c>
      <c r="L47" s="13" t="n">
        <f aca="false">IF(C47=0,0,F47/C47)</f>
        <v>0.498817966903073</v>
      </c>
      <c r="N47" s="13" t="n">
        <f aca="false">IF(C47=0,0,G47/C47)</f>
        <v>1.98581560283688</v>
      </c>
    </row>
    <row r="48" customFormat="false" ht="15" hidden="false" customHeight="false" outlineLevel="0" collapsed="false">
      <c r="A48" s="4" t="s">
        <v>55</v>
      </c>
      <c r="C48" s="19" t="n">
        <v>0.0262</v>
      </c>
      <c r="D48" s="19" t="n">
        <v>0.0106</v>
      </c>
      <c r="E48" s="19" t="n">
        <v>0.0062</v>
      </c>
      <c r="F48" s="19" t="n">
        <v>0.0026</v>
      </c>
      <c r="G48" s="19" t="n">
        <v>0.0618</v>
      </c>
      <c r="H48" s="13" t="n">
        <f aca="false">IF(C48=0,0,D48/C48)</f>
        <v>0.404580152671756</v>
      </c>
      <c r="J48" s="13" t="n">
        <f aca="false">IF(C48=0,0,E48/C48)</f>
        <v>0.236641221374046</v>
      </c>
      <c r="L48" s="13" t="n">
        <f aca="false">IF(C48=0,0,F48/C48)</f>
        <v>0.099236641221374</v>
      </c>
      <c r="N48" s="13" t="n">
        <f aca="false">IF(C48=0,0,G48/C48)</f>
        <v>2.3587786259542</v>
      </c>
    </row>
    <row r="49" customFormat="false" ht="15" hidden="false" customHeight="false" outlineLevel="0" collapsed="false">
      <c r="A49" s="4" t="s">
        <v>56</v>
      </c>
      <c r="C49" s="19" t="n">
        <v>0.0138</v>
      </c>
      <c r="D49" s="19" t="n">
        <v>0.0069</v>
      </c>
      <c r="E49" s="19" t="n">
        <v>0.0085</v>
      </c>
      <c r="F49" s="19" t="n">
        <v>0.0068</v>
      </c>
      <c r="G49" s="19" t="n">
        <v>0.0291</v>
      </c>
      <c r="H49" s="13" t="n">
        <f aca="false">IF(C49=0,0,D49/C49)</f>
        <v>0.5</v>
      </c>
      <c r="J49" s="13" t="n">
        <f aca="false">IF(C49=0,0,E49/C49)</f>
        <v>0.615942028985507</v>
      </c>
      <c r="L49" s="13" t="n">
        <f aca="false">IF(C49=0,0,F49/C49)</f>
        <v>0.492753623188406</v>
      </c>
      <c r="N49" s="13" t="n">
        <f aca="false">IF(C49=0,0,G49/C49)</f>
        <v>2.10869565217391</v>
      </c>
    </row>
    <row r="50" customFormat="false" ht="15" hidden="false" customHeight="false" outlineLevel="0" collapsed="false">
      <c r="A50" s="4" t="s">
        <v>43</v>
      </c>
      <c r="C50" s="19" t="n">
        <v>0.0076</v>
      </c>
      <c r="D50" s="19" t="n">
        <v>0.0065</v>
      </c>
      <c r="E50" s="19" t="n">
        <v>0.0052</v>
      </c>
      <c r="F50" s="19" t="n">
        <v>0.0041</v>
      </c>
      <c r="G50" s="19" t="n">
        <v>0.0138</v>
      </c>
      <c r="H50" s="13" t="n">
        <f aca="false">IF(C50=0,0,D50/C50)</f>
        <v>0.855263157894737</v>
      </c>
      <c r="J50" s="13" t="n">
        <f aca="false">IF(C50=0,0,E50/C50)</f>
        <v>0.68421052631579</v>
      </c>
      <c r="L50" s="13" t="n">
        <f aca="false">IF(C50=0,0,F50/C50)</f>
        <v>0.539473684210526</v>
      </c>
      <c r="N50" s="13" t="n">
        <f aca="false">IF(C50=0,0,G50/C50)</f>
        <v>1.81578947368421</v>
      </c>
    </row>
    <row r="51" customFormat="false" ht="15" hidden="false" customHeight="false" outlineLevel="0" collapsed="false">
      <c r="A51" s="4" t="s">
        <v>42</v>
      </c>
      <c r="C51" s="19" t="n">
        <v>0.1699</v>
      </c>
      <c r="D51" s="19" t="n">
        <v>0.1306</v>
      </c>
      <c r="E51" s="19" t="n">
        <v>0.1208</v>
      </c>
      <c r="F51" s="19" t="n">
        <v>0.1195</v>
      </c>
      <c r="G51" s="19" t="n">
        <v>0.3182</v>
      </c>
      <c r="H51" s="13" t="n">
        <f aca="false">IF(C51=0,0,D51/C51)</f>
        <v>0.768687463213655</v>
      </c>
      <c r="J51" s="13" t="n">
        <f aca="false">IF(C51=0,0,E51/C51)</f>
        <v>0.711006474396704</v>
      </c>
      <c r="L51" s="13" t="n">
        <f aca="false">IF(C51=0,0,F51/C51)</f>
        <v>0.70335491465568</v>
      </c>
      <c r="N51" s="13" t="n">
        <f aca="false">IF(C51=0,0,G51/C51)</f>
        <v>1.87286639199529</v>
      </c>
    </row>
    <row r="52" customFormat="false" ht="15" hidden="false" customHeight="false" outlineLevel="0" collapsed="false">
      <c r="A52" s="4" t="s">
        <v>53</v>
      </c>
      <c r="C52" s="19" t="n">
        <v>0.0091</v>
      </c>
      <c r="D52" s="19" t="n">
        <v>0.0045</v>
      </c>
      <c r="E52" s="19" t="n">
        <v>0.0056</v>
      </c>
      <c r="F52" s="19" t="n">
        <v>0.0033</v>
      </c>
      <c r="G52" s="19" t="n">
        <v>0.0187</v>
      </c>
      <c r="H52" s="13" t="n">
        <f aca="false">IF(C52=0,0,D52/C52)</f>
        <v>0.494505494505494</v>
      </c>
      <c r="J52" s="13" t="n">
        <f aca="false">IF(C52=0,0,E52/C52)</f>
        <v>0.615384615384615</v>
      </c>
      <c r="L52" s="13" t="n">
        <f aca="false">IF(C52=0,0,F52/C52)</f>
        <v>0.362637362637363</v>
      </c>
      <c r="N52" s="13" t="n">
        <f aca="false">IF(C52=0,0,G52/C52)</f>
        <v>2.05494505494506</v>
      </c>
    </row>
    <row r="53" customFormat="false" ht="15" hidden="false" customHeight="false" outlineLevel="0" collapsed="false">
      <c r="A53" s="4" t="s">
        <v>54</v>
      </c>
      <c r="C53" s="19" t="n">
        <v>0.004</v>
      </c>
      <c r="D53" s="19" t="n">
        <v>0.0004</v>
      </c>
      <c r="E53" s="19" t="n">
        <v>0.0017</v>
      </c>
      <c r="F53" s="19" t="n">
        <v>0.0019</v>
      </c>
      <c r="G53" s="19" t="n">
        <v>0.0082</v>
      </c>
      <c r="H53" s="13" t="n">
        <f aca="false">IF(C53=0,0,D53/C53)</f>
        <v>0.1</v>
      </c>
      <c r="J53" s="13" t="n">
        <f aca="false">IF(C53=0,0,E53/C53)</f>
        <v>0.425</v>
      </c>
      <c r="L53" s="13" t="n">
        <f aca="false">IF(C53=0,0,F53/C53)</f>
        <v>0.475</v>
      </c>
      <c r="N53" s="13" t="n">
        <f aca="false">IF(C53=0,0,G53/C53)</f>
        <v>2.05</v>
      </c>
    </row>
    <row r="54" customFormat="false" ht="15" hidden="false" customHeight="false" outlineLevel="0" collapsed="false">
      <c r="A54" s="4" t="s">
        <v>57</v>
      </c>
      <c r="C54" s="19" t="n">
        <v>0.1208</v>
      </c>
      <c r="D54" s="19" t="n">
        <v>0.0305</v>
      </c>
      <c r="E54" s="19" t="n">
        <v>0.0484</v>
      </c>
      <c r="F54" s="19" t="n">
        <v>0.3802</v>
      </c>
      <c r="G54" s="19" t="n">
        <v>0.0628</v>
      </c>
      <c r="H54" s="13" t="n">
        <f aca="false">IF(C54=0,0,D54/C54)</f>
        <v>0.252483443708609</v>
      </c>
      <c r="J54" s="13" t="n">
        <f aca="false">IF(C54=0,0,E54/C54)</f>
        <v>0.400662251655629</v>
      </c>
      <c r="L54" s="13" t="n">
        <f aca="false">IF(C54=0,0,F54/C54)</f>
        <v>3.14735099337748</v>
      </c>
      <c r="N54" s="13" t="n">
        <f aca="false">IF(C54=0,0,G54/C54)</f>
        <v>0.519867549668874</v>
      </c>
    </row>
    <row r="56" customFormat="false" ht="15" hidden="false" customHeight="false" outlineLevel="0" collapsed="false">
      <c r="A56" s="14" t="s">
        <v>158</v>
      </c>
    </row>
    <row r="57" customFormat="false" ht="15" hidden="false" customHeight="false" outlineLevel="0" collapsed="false">
      <c r="A57" s="7" t="s">
        <v>159</v>
      </c>
      <c r="B57" s="7" t="s">
        <v>160</v>
      </c>
      <c r="C57" s="8" t="s">
        <v>161</v>
      </c>
      <c r="D57" s="8" t="s">
        <v>162</v>
      </c>
      <c r="E57" s="8" t="s">
        <v>163</v>
      </c>
      <c r="F57" s="8" t="s">
        <v>164</v>
      </c>
    </row>
    <row r="58" customFormat="false" ht="15" hidden="false" customHeight="false" outlineLevel="0" collapsed="false">
      <c r="A58" s="20" t="s">
        <v>165</v>
      </c>
      <c r="B58" s="20" t="n">
        <v>1657</v>
      </c>
      <c r="C58" s="21" t="n">
        <v>0.2263</v>
      </c>
      <c r="D58" s="21" t="n">
        <v>0.1859</v>
      </c>
      <c r="E58" s="21" t="n">
        <v>0.3697</v>
      </c>
      <c r="F58" s="21" t="n">
        <v>0.197</v>
      </c>
    </row>
    <row r="59" customFormat="false" ht="15" hidden="false" customHeight="false" outlineLevel="0" collapsed="false">
      <c r="A59" s="20" t="s">
        <v>166</v>
      </c>
      <c r="B59" s="20" t="n">
        <v>1515</v>
      </c>
      <c r="C59" s="21" t="n">
        <v>0.1499</v>
      </c>
      <c r="D59" s="21" t="n">
        <v>0.2781</v>
      </c>
      <c r="E59" s="21" t="n">
        <v>0.224</v>
      </c>
      <c r="F59" s="21" t="n">
        <v>0.2221</v>
      </c>
    </row>
    <row r="60" customFormat="false" ht="15" hidden="false" customHeight="false" outlineLevel="0" collapsed="false">
      <c r="A60" s="20" t="s">
        <v>167</v>
      </c>
      <c r="B60" s="20" t="n">
        <v>1204</v>
      </c>
      <c r="C60" s="21" t="n">
        <v>0.1509</v>
      </c>
      <c r="D60" s="21" t="n">
        <v>0.1089</v>
      </c>
      <c r="E60" s="21" t="n">
        <v>0.2137</v>
      </c>
      <c r="F60" s="21" t="n">
        <v>0.5039</v>
      </c>
    </row>
    <row r="61" customFormat="false" ht="15" hidden="false" customHeight="false" outlineLevel="0" collapsed="false">
      <c r="A61" s="20" t="s">
        <v>168</v>
      </c>
      <c r="B61" s="20" t="n">
        <v>684</v>
      </c>
      <c r="C61" s="21" t="n">
        <v>0.1992</v>
      </c>
      <c r="D61" s="21" t="n">
        <v>0.1646</v>
      </c>
      <c r="E61" s="21" t="n">
        <v>0.2433</v>
      </c>
      <c r="F61" s="21" t="n">
        <v>0.2675</v>
      </c>
    </row>
    <row r="62" customFormat="false" ht="15" hidden="false" customHeight="false" outlineLevel="0" collapsed="false">
      <c r="A62" s="20" t="s">
        <v>169</v>
      </c>
      <c r="B62" s="20" t="n">
        <v>557</v>
      </c>
      <c r="C62" s="21" t="n">
        <v>0.1595</v>
      </c>
      <c r="D62" s="21" t="n">
        <v>0.187</v>
      </c>
      <c r="E62" s="21" t="n">
        <v>0.0444</v>
      </c>
      <c r="F62" s="21" t="n">
        <v>0.7963</v>
      </c>
    </row>
    <row r="63" customFormat="false" ht="15" hidden="false" customHeight="false" outlineLevel="0" collapsed="false">
      <c r="A63" s="20" t="s">
        <v>170</v>
      </c>
      <c r="B63" s="20" t="n">
        <v>555</v>
      </c>
      <c r="C63" s="21" t="n">
        <v>0.1654</v>
      </c>
      <c r="D63" s="21" t="n">
        <v>0.134</v>
      </c>
      <c r="E63" s="21" t="n">
        <v>0.0344</v>
      </c>
      <c r="F63" s="21" t="n">
        <v>0.8699</v>
      </c>
    </row>
    <row r="64" customFormat="false" ht="15" hidden="false" customHeight="false" outlineLevel="0" collapsed="false">
      <c r="A64" s="20" t="s">
        <v>171</v>
      </c>
      <c r="B64" s="20" t="n">
        <v>502</v>
      </c>
      <c r="C64" s="21" t="n">
        <v>0.1385</v>
      </c>
      <c r="D64" s="21" t="n">
        <v>0.2098</v>
      </c>
      <c r="E64" s="21" t="n">
        <v>0.2351</v>
      </c>
      <c r="F64" s="21" t="n">
        <v>0.4789</v>
      </c>
    </row>
    <row r="65" customFormat="false" ht="15" hidden="false" customHeight="false" outlineLevel="0" collapsed="false">
      <c r="A65" s="20" t="s">
        <v>172</v>
      </c>
      <c r="B65" s="20" t="n">
        <v>423</v>
      </c>
      <c r="C65" s="21" t="n">
        <v>0.0972</v>
      </c>
      <c r="D65" s="21" t="n">
        <v>0.1302</v>
      </c>
      <c r="E65" s="21" t="n">
        <v>0.1073</v>
      </c>
      <c r="F65" s="21" t="n">
        <v>0.8053</v>
      </c>
    </row>
    <row r="66" customFormat="false" ht="15" hidden="false" customHeight="false" outlineLevel="0" collapsed="false">
      <c r="A66" s="20" t="s">
        <v>173</v>
      </c>
      <c r="B66" s="20" t="n">
        <v>418</v>
      </c>
      <c r="C66" s="21" t="n">
        <v>0.1919</v>
      </c>
      <c r="D66" s="21" t="n">
        <v>0.2404</v>
      </c>
      <c r="E66" s="21" t="n">
        <v>0.0549</v>
      </c>
      <c r="F66" s="21" t="n">
        <v>0.7858</v>
      </c>
    </row>
    <row r="67" customFormat="false" ht="15" hidden="false" customHeight="false" outlineLevel="0" collapsed="false">
      <c r="A67" s="20" t="s">
        <v>174</v>
      </c>
      <c r="B67" s="20" t="n">
        <v>382</v>
      </c>
      <c r="C67" s="21" t="n">
        <v>0.1404</v>
      </c>
      <c r="D67" s="21" t="n">
        <v>0.2258</v>
      </c>
      <c r="E67" s="21" t="n">
        <v>0.1003</v>
      </c>
      <c r="F67" s="21" t="n">
        <v>0.6713</v>
      </c>
    </row>
    <row r="68" customFormat="false" ht="15" hidden="false" customHeight="false" outlineLevel="0" collapsed="false">
      <c r="A68" s="20" t="s">
        <v>175</v>
      </c>
      <c r="B68" s="20" t="n">
        <v>345</v>
      </c>
      <c r="C68" s="21" t="n">
        <v>0.1649</v>
      </c>
      <c r="D68" s="21" t="n">
        <v>0.2329</v>
      </c>
      <c r="E68" s="21" t="n">
        <v>0.1068</v>
      </c>
      <c r="F68" s="21" t="n">
        <v>0.747</v>
      </c>
    </row>
    <row r="69" customFormat="false" ht="15" hidden="false" customHeight="false" outlineLevel="0" collapsed="false">
      <c r="A69" s="20" t="s">
        <v>176</v>
      </c>
      <c r="B69" s="20" t="n">
        <v>343</v>
      </c>
      <c r="C69" s="21" t="n">
        <v>0.165</v>
      </c>
      <c r="D69" s="21" t="n">
        <v>0.1668</v>
      </c>
      <c r="E69" s="21" t="n">
        <v>0.0783</v>
      </c>
      <c r="F69" s="21" t="n">
        <v>0.7706</v>
      </c>
    </row>
    <row r="70" customFormat="false" ht="15" hidden="false" customHeight="false" outlineLevel="0" collapsed="false">
      <c r="A70" s="20" t="s">
        <v>177</v>
      </c>
      <c r="B70" s="20" t="n">
        <v>341</v>
      </c>
      <c r="C70" s="21" t="n">
        <v>0.1049</v>
      </c>
      <c r="D70" s="21" t="n">
        <v>0.1967</v>
      </c>
      <c r="E70" s="21" t="n">
        <v>0.2506</v>
      </c>
      <c r="F70" s="21" t="n">
        <v>0.5661</v>
      </c>
    </row>
    <row r="71" customFormat="false" ht="15" hidden="false" customHeight="false" outlineLevel="0" collapsed="false">
      <c r="A71" s="20" t="s">
        <v>178</v>
      </c>
      <c r="B71" s="20" t="n">
        <v>270</v>
      </c>
      <c r="C71" s="21" t="n">
        <v>0.1528</v>
      </c>
      <c r="D71" s="21" t="n">
        <v>0.1679</v>
      </c>
      <c r="E71" s="21" t="n">
        <v>0.0319</v>
      </c>
      <c r="F71" s="21" t="n">
        <v>0.879</v>
      </c>
    </row>
    <row r="72" customFormat="false" ht="15" hidden="false" customHeight="false" outlineLevel="0" collapsed="false">
      <c r="A72" s="20" t="s">
        <v>179</v>
      </c>
      <c r="B72" s="20" t="n">
        <v>265</v>
      </c>
      <c r="C72" s="21" t="n">
        <v>0.0935</v>
      </c>
      <c r="D72" s="21" t="n">
        <v>0.2325</v>
      </c>
      <c r="E72" s="21" t="n">
        <v>0.0684</v>
      </c>
      <c r="F72" s="21" t="n">
        <v>0.7823</v>
      </c>
    </row>
    <row r="73" customFormat="false" ht="15" hidden="false" customHeight="false" outlineLevel="0" collapsed="false">
      <c r="A73" s="20" t="s">
        <v>180</v>
      </c>
      <c r="B73" s="20" t="n">
        <v>218</v>
      </c>
      <c r="C73" s="21" t="n">
        <v>0.1205</v>
      </c>
      <c r="D73" s="21" t="n">
        <v>0.4106</v>
      </c>
      <c r="E73" s="21" t="n">
        <v>0.0744</v>
      </c>
      <c r="F73" s="21" t="n">
        <v>0.719</v>
      </c>
    </row>
    <row r="74" customFormat="false" ht="15" hidden="false" customHeight="false" outlineLevel="0" collapsed="false">
      <c r="A74" s="20" t="s">
        <v>181</v>
      </c>
      <c r="B74" s="20" t="n">
        <v>211</v>
      </c>
      <c r="C74" s="21" t="n">
        <v>0.1276</v>
      </c>
      <c r="D74" s="21" t="n">
        <v>0.2585</v>
      </c>
      <c r="E74" s="21" t="n">
        <v>0.0561</v>
      </c>
      <c r="F74" s="21" t="n">
        <v>0.7813</v>
      </c>
    </row>
    <row r="75" customFormat="false" ht="15" hidden="false" customHeight="false" outlineLevel="0" collapsed="false">
      <c r="A75" s="20" t="s">
        <v>182</v>
      </c>
      <c r="B75" s="20" t="n">
        <v>211</v>
      </c>
      <c r="C75" s="21" t="n">
        <v>0.1046</v>
      </c>
      <c r="D75" s="21" t="n">
        <v>0.1143</v>
      </c>
      <c r="E75" s="21" t="n">
        <v>0.0156</v>
      </c>
      <c r="F75" s="21" t="n">
        <v>0.8235</v>
      </c>
    </row>
    <row r="76" customFormat="false" ht="15" hidden="false" customHeight="false" outlineLevel="0" collapsed="false">
      <c r="A76" s="20" t="s">
        <v>183</v>
      </c>
      <c r="B76" s="20" t="n">
        <v>182</v>
      </c>
      <c r="C76" s="21" t="n">
        <v>0.0917</v>
      </c>
      <c r="D76" s="21" t="n">
        <v>0.0853</v>
      </c>
      <c r="E76" s="21" t="n">
        <v>0.0464</v>
      </c>
      <c r="F76" s="21" t="n">
        <v>0.8621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8" min="2" style="0" width="16"/>
  </cols>
  <sheetData>
    <row r="1" customFormat="false" ht="19.4" hidden="false" customHeight="false" outlineLevel="0" collapsed="false">
      <c r="A1" s="5" t="s">
        <v>184</v>
      </c>
    </row>
    <row r="2" customFormat="false" ht="15" hidden="false" customHeight="false" outlineLevel="0" collapsed="false">
      <c r="A2" s="16" t="s">
        <v>185</v>
      </c>
    </row>
    <row r="4" customFormat="false" ht="29.85" hidden="false" customHeight="false" outlineLevel="0" collapsed="false">
      <c r="A4" s="7" t="s">
        <v>186</v>
      </c>
      <c r="B4" s="7" t="s">
        <v>16</v>
      </c>
      <c r="C4" s="7" t="s">
        <v>187</v>
      </c>
      <c r="D4" s="7" t="s">
        <v>188</v>
      </c>
      <c r="E4" s="7" t="s">
        <v>189</v>
      </c>
      <c r="F4" s="7" t="s">
        <v>190</v>
      </c>
      <c r="G4" s="8" t="s">
        <v>191</v>
      </c>
      <c r="H4" s="7" t="s">
        <v>192</v>
      </c>
    </row>
    <row r="5" customFormat="false" ht="15" hidden="false" customHeight="false" outlineLevel="0" collapsed="false">
      <c r="A5" s="9" t="s">
        <v>193</v>
      </c>
      <c r="C5" s="22" t="n">
        <v>0.2365</v>
      </c>
      <c r="D5" s="22" t="n">
        <v>0.1155</v>
      </c>
      <c r="E5" s="22" t="n">
        <v>0.2283</v>
      </c>
      <c r="F5" s="22" t="n">
        <v>0.1381</v>
      </c>
      <c r="G5" s="22" t="n">
        <v>0.1276</v>
      </c>
      <c r="H5" s="22" t="n">
        <v>0.154</v>
      </c>
    </row>
    <row r="6" customFormat="false" ht="15" hidden="false" customHeight="false" outlineLevel="0" collapsed="false">
      <c r="A6" s="11" t="s">
        <v>194</v>
      </c>
      <c r="C6" s="4" t="n">
        <v>401</v>
      </c>
      <c r="D6" s="4" t="n">
        <v>290</v>
      </c>
      <c r="E6" s="4" t="n">
        <v>301</v>
      </c>
      <c r="F6" s="4" t="n">
        <v>309</v>
      </c>
      <c r="G6" s="4" t="n">
        <v>298</v>
      </c>
      <c r="H6" s="4" t="n">
        <v>289</v>
      </c>
    </row>
    <row r="7" customFormat="false" ht="15" hidden="false" customHeight="false" outlineLevel="0" collapsed="false">
      <c r="A7" s="4" t="s">
        <v>128</v>
      </c>
      <c r="B7" s="23" t="n">
        <v>0.8636</v>
      </c>
      <c r="C7" s="21" t="n">
        <v>0.8895</v>
      </c>
      <c r="D7" s="21" t="n">
        <v>0.7859</v>
      </c>
      <c r="E7" s="21" t="n">
        <v>0.9084</v>
      </c>
      <c r="F7" s="21" t="n">
        <v>0.8156</v>
      </c>
      <c r="G7" s="21" t="n">
        <v>0.8292</v>
      </c>
      <c r="H7" s="21" t="n">
        <v>0.8872</v>
      </c>
    </row>
    <row r="8" customFormat="false" ht="15" hidden="false" customHeight="false" outlineLevel="0" collapsed="false">
      <c r="A8" s="4" t="s">
        <v>34</v>
      </c>
      <c r="B8" s="23" t="n">
        <v>0.8711</v>
      </c>
      <c r="C8" s="21" t="n">
        <v>0.914</v>
      </c>
      <c r="D8" s="21" t="n">
        <v>0.7864</v>
      </c>
      <c r="E8" s="21" t="n">
        <v>0.844</v>
      </c>
      <c r="F8" s="21" t="n">
        <v>0.8425</v>
      </c>
      <c r="G8" s="21" t="n">
        <v>0.9028</v>
      </c>
      <c r="H8" s="21" t="n">
        <v>0.9085</v>
      </c>
    </row>
    <row r="9" customFormat="false" ht="15" hidden="false" customHeight="false" outlineLevel="0" collapsed="false">
      <c r="A9" s="4" t="s">
        <v>129</v>
      </c>
      <c r="B9" s="23" t="n">
        <v>0.5692</v>
      </c>
      <c r="C9" s="21" t="n">
        <v>0</v>
      </c>
      <c r="D9" s="21" t="n">
        <v>0.8314</v>
      </c>
      <c r="E9" s="21" t="n">
        <v>1</v>
      </c>
      <c r="F9" s="21" t="n">
        <v>0.7221</v>
      </c>
      <c r="G9" s="21" t="n">
        <v>0.1522</v>
      </c>
      <c r="H9" s="21" t="n">
        <v>0.8166</v>
      </c>
    </row>
    <row r="10" customFormat="false" ht="15" hidden="false" customHeight="false" outlineLevel="0" collapsed="false">
      <c r="A10" s="4" t="s">
        <v>130</v>
      </c>
      <c r="B10" s="23" t="n">
        <v>0.1805</v>
      </c>
      <c r="C10" s="21" t="n">
        <v>0.1396</v>
      </c>
      <c r="D10" s="21" t="n">
        <v>0.2157</v>
      </c>
      <c r="E10" s="21" t="n">
        <v>0.1557</v>
      </c>
      <c r="F10" s="21" t="n">
        <v>0.245</v>
      </c>
      <c r="G10" s="21" t="n">
        <v>0.0575</v>
      </c>
      <c r="H10" s="21" t="n">
        <v>0.2978</v>
      </c>
    </row>
    <row r="11" customFormat="false" ht="15" hidden="false" customHeight="false" outlineLevel="0" collapsed="false">
      <c r="A11" s="4" t="s">
        <v>131</v>
      </c>
      <c r="B11" s="23" t="n">
        <v>0.3913</v>
      </c>
      <c r="C11" s="21" t="n">
        <v>0.0029</v>
      </c>
      <c r="D11" s="21" t="n">
        <v>0.8284</v>
      </c>
      <c r="E11" s="21" t="n">
        <v>0</v>
      </c>
      <c r="F11" s="21" t="n">
        <v>1</v>
      </c>
      <c r="G11" s="21" t="n">
        <v>0.0755</v>
      </c>
      <c r="H11" s="21" t="n">
        <v>0.9555</v>
      </c>
    </row>
    <row r="12" customFormat="false" ht="15" hidden="false" customHeight="false" outlineLevel="0" collapsed="false">
      <c r="A12" s="4" t="s">
        <v>132</v>
      </c>
      <c r="B12" s="23" t="n">
        <v>0.179</v>
      </c>
      <c r="C12" s="21" t="n">
        <v>0.0415</v>
      </c>
      <c r="D12" s="21" t="n">
        <v>0</v>
      </c>
      <c r="E12" s="21" t="n">
        <v>0.0412</v>
      </c>
      <c r="F12" s="21" t="n">
        <v>0</v>
      </c>
      <c r="G12" s="21" t="n">
        <v>0.0455</v>
      </c>
      <c r="H12" s="21" t="n">
        <v>1</v>
      </c>
    </row>
    <row r="13" customFormat="false" ht="15" hidden="false" customHeight="false" outlineLevel="0" collapsed="false">
      <c r="A13" s="4" t="s">
        <v>133</v>
      </c>
      <c r="B13" s="23" t="n">
        <v>0.235</v>
      </c>
      <c r="C13" s="21" t="n">
        <v>0.0461</v>
      </c>
      <c r="D13" s="21" t="n">
        <v>1</v>
      </c>
      <c r="E13" s="21" t="n">
        <v>0.0128</v>
      </c>
      <c r="F13" s="21" t="n">
        <v>0</v>
      </c>
      <c r="G13" s="21" t="n">
        <v>0.0387</v>
      </c>
      <c r="H13" s="21" t="n">
        <v>0.6539</v>
      </c>
    </row>
    <row r="14" customFormat="false" ht="15" hidden="false" customHeight="false" outlineLevel="0" collapsed="false">
      <c r="A14" s="24" t="s">
        <v>134</v>
      </c>
      <c r="B14" s="23" t="n">
        <v>0.1731</v>
      </c>
      <c r="C14" s="21" t="n">
        <v>0</v>
      </c>
      <c r="D14" s="21" t="n">
        <v>0.086</v>
      </c>
      <c r="E14" s="21" t="n">
        <v>0.0216</v>
      </c>
      <c r="F14" s="21" t="n">
        <v>0.0633</v>
      </c>
      <c r="G14" s="21" t="n">
        <v>1</v>
      </c>
      <c r="H14" s="21" t="n">
        <v>0.1426</v>
      </c>
    </row>
    <row r="15" customFormat="false" ht="15" hidden="false" customHeight="false" outlineLevel="0" collapsed="false">
      <c r="A15" s="4" t="s">
        <v>135</v>
      </c>
      <c r="B15" s="23" t="n">
        <v>0.0498</v>
      </c>
      <c r="C15" s="21" t="n">
        <v>0.0328</v>
      </c>
      <c r="D15" s="21" t="n">
        <v>0.0426</v>
      </c>
      <c r="E15" s="21" t="n">
        <v>0.0098</v>
      </c>
      <c r="F15" s="21" t="n">
        <v>0.0462</v>
      </c>
      <c r="G15" s="21" t="n">
        <v>0.1577</v>
      </c>
      <c r="H15" s="21" t="n">
        <v>0.0546</v>
      </c>
    </row>
    <row r="16" customFormat="false" ht="15" hidden="false" customHeight="false" outlineLevel="0" collapsed="false">
      <c r="A16" s="4" t="s">
        <v>136</v>
      </c>
      <c r="B16" s="23" t="n">
        <v>0.038</v>
      </c>
      <c r="C16" s="21" t="n">
        <v>0.0125</v>
      </c>
      <c r="D16" s="21" t="n">
        <v>0.0752</v>
      </c>
      <c r="E16" s="21" t="n">
        <v>0.0125</v>
      </c>
      <c r="F16" s="21" t="n">
        <v>0.0326</v>
      </c>
      <c r="G16" s="21" t="n">
        <v>0.0136</v>
      </c>
      <c r="H16" s="21" t="n">
        <v>0.1119</v>
      </c>
    </row>
    <row r="17" customFormat="false" ht="15" hidden="false" customHeight="false" outlineLevel="0" collapsed="false">
      <c r="A17" s="4" t="s">
        <v>137</v>
      </c>
      <c r="B17" s="23" t="n">
        <v>0.1444</v>
      </c>
      <c r="C17" s="21" t="n">
        <v>0.2332</v>
      </c>
      <c r="D17" s="21" t="n">
        <v>0.0875</v>
      </c>
      <c r="E17" s="21" t="n">
        <v>0.1189</v>
      </c>
      <c r="F17" s="21" t="n">
        <v>0.1064</v>
      </c>
      <c r="G17" s="21" t="n">
        <v>0.1074</v>
      </c>
      <c r="H17" s="21" t="n">
        <v>0.1535</v>
      </c>
    </row>
    <row r="18" customFormat="false" ht="15" hidden="false" customHeight="false" outlineLevel="0" collapsed="false">
      <c r="A18" s="4" t="s">
        <v>138</v>
      </c>
      <c r="B18" s="23" t="n">
        <v>0.0734</v>
      </c>
      <c r="C18" s="21" t="n">
        <v>0.1823</v>
      </c>
      <c r="D18" s="21" t="n">
        <v>0.029</v>
      </c>
      <c r="E18" s="21" t="n">
        <v>0.0454</v>
      </c>
      <c r="F18" s="21" t="n">
        <v>0.0357</v>
      </c>
      <c r="G18" s="21" t="n">
        <v>0.0683</v>
      </c>
      <c r="H18" s="21" t="n">
        <v>0.0189</v>
      </c>
    </row>
    <row r="19" customFormat="false" ht="15" hidden="false" customHeight="false" outlineLevel="0" collapsed="false">
      <c r="A19" s="4" t="s">
        <v>195</v>
      </c>
      <c r="B19" s="23" t="n">
        <v>0.1774</v>
      </c>
      <c r="C19" s="21" t="n">
        <v>0.2359</v>
      </c>
      <c r="D19" s="21" t="n">
        <v>0.1445</v>
      </c>
      <c r="E19" s="21" t="n">
        <v>0.0985</v>
      </c>
      <c r="F19" s="21" t="n">
        <v>0.1511</v>
      </c>
      <c r="G19" s="21" t="n">
        <v>0.3643</v>
      </c>
      <c r="H19" s="21" t="n">
        <v>0.0978</v>
      </c>
    </row>
    <row r="20" customFormat="false" ht="15" hidden="false" customHeight="false" outlineLevel="0" collapsed="false">
      <c r="A20" s="4" t="s">
        <v>196</v>
      </c>
      <c r="B20" s="23" t="n">
        <v>0.2267</v>
      </c>
      <c r="C20" s="21" t="n">
        <v>0.1332</v>
      </c>
      <c r="D20" s="21" t="n">
        <v>0.324</v>
      </c>
      <c r="E20" s="21" t="n">
        <v>0.2352</v>
      </c>
      <c r="F20" s="21" t="n">
        <v>0.2918</v>
      </c>
      <c r="G20" s="21" t="n">
        <v>0.0484</v>
      </c>
      <c r="H20" s="21" t="n">
        <v>0.3739</v>
      </c>
    </row>
    <row r="21" customFormat="false" ht="15" hidden="false" customHeight="false" outlineLevel="0" collapsed="false">
      <c r="A21" s="4" t="s">
        <v>197</v>
      </c>
      <c r="B21" s="23" t="n">
        <v>0.1312</v>
      </c>
      <c r="C21" s="21" t="n">
        <v>0.0896</v>
      </c>
      <c r="D21" s="21" t="n">
        <v>0.1139</v>
      </c>
      <c r="E21" s="21" t="n">
        <v>0.1813</v>
      </c>
      <c r="F21" s="21" t="n">
        <v>0.1504</v>
      </c>
      <c r="G21" s="21" t="n">
        <v>0.052</v>
      </c>
      <c r="H21" s="21" t="n">
        <v>0.1819</v>
      </c>
    </row>
    <row r="22" customFormat="false" ht="15" hidden="false" customHeight="false" outlineLevel="0" collapsed="false">
      <c r="A22" s="4" t="s">
        <v>198</v>
      </c>
      <c r="B22" s="23" t="n">
        <v>0.4084</v>
      </c>
      <c r="C22" s="21" t="n">
        <v>0.4437</v>
      </c>
      <c r="D22" s="21" t="n">
        <v>0.35</v>
      </c>
      <c r="E22" s="21" t="n">
        <v>0.461</v>
      </c>
      <c r="F22" s="21" t="n">
        <v>0.3239</v>
      </c>
      <c r="G22" s="21" t="n">
        <v>0.4505</v>
      </c>
      <c r="H22" s="21" t="n">
        <v>0.361</v>
      </c>
    </row>
    <row r="23" customFormat="false" ht="15" hidden="false" customHeight="false" outlineLevel="0" collapsed="false">
      <c r="A23" s="4" t="s">
        <v>199</v>
      </c>
      <c r="B23" s="23" t="n">
        <v>0.0257</v>
      </c>
      <c r="C23" s="21" t="n">
        <v>0.0257</v>
      </c>
      <c r="D23" s="21" t="n">
        <v>0.0159</v>
      </c>
      <c r="E23" s="21" t="n">
        <v>0.0125</v>
      </c>
      <c r="F23" s="21" t="n">
        <v>0.021</v>
      </c>
      <c r="G23" s="21" t="n">
        <v>0.0609</v>
      </c>
      <c r="H23" s="21" t="n">
        <v>0.0278</v>
      </c>
    </row>
    <row r="24" customFormat="false" ht="15" hidden="false" customHeight="false" outlineLevel="0" collapsed="false">
      <c r="A24" s="4" t="s">
        <v>200</v>
      </c>
      <c r="B24" s="23" t="n">
        <v>0.3462</v>
      </c>
      <c r="C24" s="21" t="n">
        <v>0.3439</v>
      </c>
      <c r="D24" s="21" t="n">
        <v>0.267</v>
      </c>
      <c r="E24" s="21" t="n">
        <v>0.3664</v>
      </c>
      <c r="F24" s="21" t="n">
        <v>0.2605</v>
      </c>
      <c r="G24" s="21" t="n">
        <v>0.5584</v>
      </c>
      <c r="H24" s="21" t="n">
        <v>0.2805</v>
      </c>
    </row>
    <row r="25" customFormat="false" ht="15" hidden="false" customHeight="false" outlineLevel="0" collapsed="false">
      <c r="A25" s="4" t="s">
        <v>201</v>
      </c>
      <c r="B25" s="23" t="n">
        <v>0.2451</v>
      </c>
      <c r="C25" s="21" t="n">
        <v>0.2698</v>
      </c>
      <c r="D25" s="21" t="n">
        <v>0.2609</v>
      </c>
      <c r="E25" s="21" t="n">
        <v>0.2534</v>
      </c>
      <c r="F25" s="21" t="n">
        <v>0.2199</v>
      </c>
      <c r="G25" s="21" t="n">
        <v>0.1925</v>
      </c>
      <c r="H25" s="21" t="n">
        <v>0.249</v>
      </c>
    </row>
    <row r="26" customFormat="false" ht="15" hidden="false" customHeight="false" outlineLevel="0" collapsed="false">
      <c r="A26" s="4" t="s">
        <v>202</v>
      </c>
      <c r="B26" s="23" t="n">
        <v>0.1518</v>
      </c>
      <c r="C26" s="21" t="n">
        <v>0.1658</v>
      </c>
      <c r="D26" s="21" t="n">
        <v>0.1687</v>
      </c>
      <c r="E26" s="21" t="n">
        <v>0.1368</v>
      </c>
      <c r="F26" s="21" t="n">
        <v>0.1788</v>
      </c>
      <c r="G26" s="21" t="n">
        <v>0.096</v>
      </c>
      <c r="H26" s="21" t="n">
        <v>0.1619</v>
      </c>
    </row>
    <row r="27" customFormat="false" ht="15" hidden="false" customHeight="false" outlineLevel="0" collapsed="false">
      <c r="A27" s="4" t="s">
        <v>203</v>
      </c>
      <c r="B27" s="23" t="n">
        <v>0.1619</v>
      </c>
      <c r="C27" s="21" t="n">
        <v>0.1337</v>
      </c>
      <c r="D27" s="21" t="n">
        <v>0.1875</v>
      </c>
      <c r="E27" s="21" t="n">
        <v>0.1736</v>
      </c>
      <c r="F27" s="21" t="n">
        <v>0.2077</v>
      </c>
      <c r="G27" s="21" t="n">
        <v>0.0824</v>
      </c>
      <c r="H27" s="21" t="n">
        <v>0.1935</v>
      </c>
    </row>
    <row r="28" customFormat="false" ht="15" hidden="false" customHeight="false" outlineLevel="0" collapsed="false">
      <c r="A28" s="4" t="s">
        <v>204</v>
      </c>
      <c r="B28" s="23" t="n">
        <v>0.0693</v>
      </c>
      <c r="C28" s="21" t="n">
        <v>0.0611</v>
      </c>
      <c r="D28" s="21" t="n">
        <v>0.0999</v>
      </c>
      <c r="E28" s="21" t="n">
        <v>0.0573</v>
      </c>
      <c r="F28" s="21" t="n">
        <v>0.1123</v>
      </c>
      <c r="G28" s="21" t="n">
        <v>0.0098</v>
      </c>
      <c r="H28" s="21" t="n">
        <v>0.0874</v>
      </c>
    </row>
    <row r="29" customFormat="false" ht="15" hidden="false" customHeight="false" outlineLevel="0" collapsed="false">
      <c r="A29" s="4" t="s">
        <v>153</v>
      </c>
      <c r="B29" s="23" t="n">
        <v>0.1484</v>
      </c>
      <c r="C29" s="21" t="n">
        <v>0.0392</v>
      </c>
      <c r="D29" s="21" t="n">
        <v>0.3585</v>
      </c>
      <c r="E29" s="21" t="n">
        <v>0.0913</v>
      </c>
      <c r="F29" s="21" t="n">
        <v>0.2124</v>
      </c>
      <c r="G29" s="21" t="n">
        <v>0.019</v>
      </c>
      <c r="H29" s="21" t="n">
        <v>0.2929</v>
      </c>
    </row>
    <row r="30" customFormat="false" ht="15" hidden="false" customHeight="false" outlineLevel="0" collapsed="false">
      <c r="A30" s="24" t="s">
        <v>205</v>
      </c>
      <c r="B30" s="23" t="n">
        <v>0.1234</v>
      </c>
      <c r="C30" s="21" t="n">
        <v>0.2184</v>
      </c>
      <c r="D30" s="21" t="n">
        <v>0.0786</v>
      </c>
      <c r="E30" s="21" t="n">
        <v>0.0949</v>
      </c>
      <c r="F30" s="21" t="n">
        <v>0.1056</v>
      </c>
      <c r="G30" s="21" t="n">
        <v>0.1091</v>
      </c>
      <c r="H30" s="21" t="n">
        <v>0.081</v>
      </c>
    </row>
    <row r="31" customFormat="false" ht="15" hidden="false" customHeight="false" outlineLevel="0" collapsed="false">
      <c r="A31" s="4" t="s">
        <v>206</v>
      </c>
      <c r="B31" s="23" t="n">
        <v>0.3241</v>
      </c>
      <c r="C31" s="21" t="n">
        <v>0.0739</v>
      </c>
      <c r="D31" s="21" t="n">
        <v>0.5191</v>
      </c>
      <c r="E31" s="21" t="n">
        <v>0.5233</v>
      </c>
      <c r="F31" s="21" t="n">
        <v>0.3066</v>
      </c>
      <c r="G31" s="21" t="n">
        <v>0.067</v>
      </c>
      <c r="H31" s="21" t="n">
        <v>0.4952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2026-09-24T00:24:44Z</dcterms:created>
  <dc:creator>openpyxl</dc:creator>
  <dc:description/>
  <dc:language>en-US</dc:language>
  <cp:lastModifiedBy/>
  <dcterms:modified xsi:type="dcterms:W3CDTF">2026-09-24T00:24:44Z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