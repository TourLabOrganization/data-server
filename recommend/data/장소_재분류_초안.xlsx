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장소 분류" sheetId="2" state="visible" r:id="rId4"/>
    <sheet name="테마 프로필" sheetId="3" state="visible" r:id="rId5"/>
    <sheet name="군집 적합" sheetId="4" state="visible" r:id="rId6"/>
    <sheet name="가상 새 테마" sheetId="5" state="visible" r:id="rId7"/>
  </sheets>
  <definedNames>
    <definedName function="false" hidden="true" localSheetId="1" name="_xlnm._FilterDatabase" vbProcedure="false">'장소 분류'!$A$1:$V$1270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<sst xmlns="http://schemas.openxmlformats.org/spreadsheetml/2006/main" count="11516" uniqueCount="3894">
  <si>
    <r>
      <rPr>
        <b val="true"/>
        <sz val="14"/>
        <color rgb="FF153B3D"/>
        <rFont val="Arial"/>
        <family val="0"/>
        <charset val="1"/>
      </rPr>
      <t xml:space="preserve">Tour Navigator </t>
    </r>
    <r>
      <rPr>
        <b val="true"/>
        <sz val="14"/>
        <color rgb="FF153B3D"/>
        <rFont val="Noto Sans CJK SC"/>
        <family val="2"/>
      </rPr>
      <t xml:space="preserve">장소 재분류 초안</t>
    </r>
  </si>
  <si>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장소마다 카테고리를 하나만 붙이던 방식을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보조 카테고리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성격 태그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로 바꾼 초안입니다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</si>
  <si>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범위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장소 마스터</t>
    </r>
    <r>
      <rPr>
        <sz val="10"/>
        <rFont val="Arial"/>
        <family val="0"/>
        <charset val="1"/>
      </rPr>
      <t xml:space="preserve">(assets/tour-places.csv) 1,197</t>
    </r>
    <r>
      <rPr>
        <sz val="10"/>
        <rFont val="Noto Sans CJK SC"/>
        <family val="2"/>
      </rPr>
      <t xml:space="preserve">곳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마스터에 없고 테마 화면에만 있는 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곳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 </t>
    </r>
    <r>
      <rPr>
        <sz val="10"/>
        <rFont val="Arial"/>
        <family val="0"/>
        <charset val="1"/>
      </rPr>
      <t xml:space="preserve">1,269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</si>
  <si>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분류 방식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기존 분류를 주 카테고리로 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장소명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설명의 키워드 규칙으로 보조 카테고리와 태그를 제안했습니다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바닷가 장소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해수욕장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포구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주 카테고리를 해양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자연으로 옮겼습니다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</si>
  <si>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계산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보조가 있으면 주 </t>
    </r>
    <r>
      <rPr>
        <sz val="10"/>
        <rFont val="Arial"/>
        <family val="0"/>
        <charset val="1"/>
      </rPr>
      <t xml:space="preserve">0.6 + </t>
    </r>
    <r>
      <rPr>
        <sz val="10"/>
        <rFont val="Noto Sans CJK SC"/>
        <family val="2"/>
      </rPr>
      <t xml:space="preserve">보조 </t>
    </r>
    <r>
      <rPr>
        <sz val="10"/>
        <rFont val="Arial"/>
        <family val="0"/>
        <charset val="1"/>
      </rPr>
      <t xml:space="preserve">0.4, </t>
    </r>
    <r>
      <rPr>
        <sz val="10"/>
        <rFont val="Noto Sans CJK SC"/>
        <family val="2"/>
      </rPr>
      <t xml:space="preserve">없으면 주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으로 셉니다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숙박은 계산에서 뺍니다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</si>
  <si>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수정 방법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「장소 분류」 시트의 노란 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카테고리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보조 카테고리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성격 태그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걷기 난이도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만 고치면 「테마 프로필」「군집 적합」 시트가 자동으로 다시 계산됩니다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</si>
  <si>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검토 우선순위</t>
    </r>
    <r>
      <rPr>
        <sz val="10"/>
        <rFont val="Arial"/>
        <family val="0"/>
        <charset val="1"/>
      </rPr>
      <t xml:space="preserve">: "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=Y"(</t>
    </r>
    <r>
      <rPr>
        <sz val="10"/>
        <rFont val="Noto Sans CJK SC"/>
        <family val="2"/>
      </rPr>
      <t xml:space="preserve">주 카테고리가 바뀐 곳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검토 필요</t>
    </r>
    <r>
      <rPr>
        <sz val="10"/>
        <rFont val="Arial"/>
        <family val="0"/>
        <charset val="1"/>
      </rPr>
      <t xml:space="preserve">=Y"(</t>
    </r>
    <r>
      <rPr>
        <sz val="10"/>
        <rFont val="Noto Sans CJK SC"/>
        <family val="2"/>
      </rPr>
      <t xml:space="preserve">분류가 비어 있었거나 설명에서만 바다가 나온 곳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부터 확인해 주세요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</si>
  <si>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성격 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바다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야경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실내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촬영명소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걷기 난이도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둘레길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마을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</si>
  <si>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규칙 기반 자동 분류라 오분류가 있을 수 있습니다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태종대온천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삼익비치타운 벚꽃길은 판단이 필요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</si>
  <si>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color rgb="FFB8431C"/>
        <rFont val="Noto Sans CJK SC"/>
        <family val="2"/>
      </rPr>
      <t xml:space="preserve">요약 </t>
    </r>
    <r>
      <rPr>
        <b val="true"/>
        <sz val="10"/>
        <color rgb="FFB8431C"/>
        <rFont val="Arial"/>
        <family val="0"/>
        <charset val="1"/>
      </rPr>
      <t xml:space="preserve">(</t>
    </r>
    <r>
      <rPr>
        <b val="true"/>
        <sz val="10"/>
        <color rgb="FFB8431C"/>
        <rFont val="Noto Sans CJK SC"/>
        <family val="2"/>
      </rPr>
      <t xml:space="preserve">자동 계산</t>
    </r>
    <r>
      <rPr>
        <b val="true"/>
        <sz val="10"/>
        <color rgb="FFB8431C"/>
        <rFont val="Arial"/>
        <family val="0"/>
        <charset val="1"/>
      </rPr>
      <t xml:space="preserve">)</t>
    </r>
  </si>
  <si>
    <t xml:space="preserve">전체 장소 수</t>
  </si>
  <si>
    <r>
      <rPr>
        <sz val="10"/>
        <rFont val="Noto Sans CJK SC"/>
        <family val="2"/>
      </rPr>
      <t xml:space="preserve">주 카테고리 변경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변경</t>
    </r>
    <r>
      <rPr>
        <sz val="10"/>
        <rFont val="Arial"/>
        <family val="0"/>
        <charset val="1"/>
      </rPr>
      <t xml:space="preserve">=Y)</t>
    </r>
  </si>
  <si>
    <r>
      <rPr>
        <sz val="10"/>
        <rFont val="Noto Sans CJK SC"/>
        <family val="2"/>
      </rPr>
      <t xml:space="preserve">검토 필요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검토</t>
    </r>
    <r>
      <rPr>
        <sz val="10"/>
        <rFont val="Arial"/>
        <family val="0"/>
        <charset val="1"/>
      </rPr>
      <t xml:space="preserve">=Y)</t>
    </r>
  </si>
  <si>
    <t xml:space="preserve">보조 카테고리 있음</t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</si>
  <si>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</t>
    </r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</si>
  <si>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힐링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생태</t>
    </r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</si>
  <si>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테마파크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액티비티</t>
    </r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</si>
  <si>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로컬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먹거리</t>
    </r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</si>
  <si>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해양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</si>
  <si>
    <r>
      <rPr>
        <sz val="10"/>
        <rFont val="Noto Sans CJK SC"/>
        <family val="2"/>
      </rPr>
      <t xml:space="preserve">주 카테고리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숙박</t>
    </r>
  </si>
  <si>
    <r>
      <rPr>
        <sz val="10"/>
        <rFont val="Noto Sans CJK SC"/>
        <family val="2"/>
      </rPr>
      <t xml:space="preserve">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야경</t>
    </r>
  </si>
  <si>
    <r>
      <rPr>
        <sz val="10"/>
        <rFont val="Noto Sans CJK SC"/>
        <family val="2"/>
      </rPr>
      <t xml:space="preserve">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바다</t>
    </r>
  </si>
  <si>
    <r>
      <rPr>
        <sz val="10"/>
        <rFont val="Noto Sans CJK SC"/>
        <family val="2"/>
      </rPr>
      <t xml:space="preserve">태그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실내</t>
    </r>
  </si>
  <si>
    <t xml:space="preserve">No</t>
  </si>
  <si>
    <t xml:space="preserve">출처</t>
  </si>
  <si>
    <t xml:space="preserve">도시</t>
  </si>
  <si>
    <t xml:space="preserve">장소명</t>
  </si>
  <si>
    <t xml:space="preserve">영문</t>
  </si>
  <si>
    <t xml:space="preserve">포함 테마</t>
  </si>
  <si>
    <r>
      <rPr>
        <b val="true"/>
        <sz val="10"/>
        <color rgb="FFFFFFFF"/>
        <rFont val="Noto Sans CJK SC"/>
        <family val="2"/>
      </rPr>
      <t xml:space="preserve">현재 분류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</si>
  <si>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주 카테고리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제안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</si>
  <si>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보조 카테고리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제안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</si>
  <si>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성격 태그</t>
  </si>
  <si>
    <t xml:space="preserve">걷기 난이도</t>
  </si>
  <si>
    <t xml:space="preserve">변경</t>
  </si>
  <si>
    <t xml:space="preserve">검토 필요</t>
  </si>
  <si>
    <t xml:space="preserve">판단 근거</t>
  </si>
  <si>
    <t xml:space="preserve">설명</t>
  </si>
  <si>
    <r>
      <rPr>
        <b val="true"/>
        <sz val="10"/>
        <color rgb="FFFFFFFF"/>
        <rFont val="Arial"/>
        <family val="0"/>
        <charset val="1"/>
      </rPr>
      <t xml:space="preserve">w:</t>
    </r>
    <r>
      <rPr>
        <b val="true"/>
        <sz val="10"/>
        <color rgb="FFFFFFFF"/>
        <rFont val="Noto Sans CJK SC"/>
        <family val="2"/>
      </rPr>
      <t xml:space="preserve">역사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문화</t>
    </r>
  </si>
  <si>
    <r>
      <rPr>
        <b val="true"/>
        <sz val="10"/>
        <color rgb="FFFFFFFF"/>
        <rFont val="Arial"/>
        <family val="0"/>
        <charset val="1"/>
      </rPr>
      <t xml:space="preserve">w:</t>
    </r>
    <r>
      <rPr>
        <b val="true"/>
        <sz val="10"/>
        <color rgb="FFFFFFFF"/>
        <rFont val="Noto Sans CJK SC"/>
        <family val="2"/>
      </rPr>
      <t xml:space="preserve">힐링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생태</t>
    </r>
  </si>
  <si>
    <r>
      <rPr>
        <b val="true"/>
        <sz val="10"/>
        <color rgb="FFFFFFFF"/>
        <rFont val="Arial"/>
        <family val="0"/>
        <charset val="1"/>
      </rPr>
      <t xml:space="preserve">w:</t>
    </r>
    <r>
      <rPr>
        <b val="true"/>
        <sz val="10"/>
        <color rgb="FFFFFFFF"/>
        <rFont val="Noto Sans CJK SC"/>
        <family val="2"/>
      </rPr>
      <t xml:space="preserve">테마파크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액티비티</t>
    </r>
  </si>
  <si>
    <r>
      <rPr>
        <b val="true"/>
        <sz val="10"/>
        <color rgb="FFFFFFFF"/>
        <rFont val="Arial"/>
        <family val="0"/>
        <charset val="1"/>
      </rPr>
      <t xml:space="preserve">w:</t>
    </r>
    <r>
      <rPr>
        <b val="true"/>
        <sz val="10"/>
        <color rgb="FFFFFFFF"/>
        <rFont val="Noto Sans CJK SC"/>
        <family val="2"/>
      </rPr>
      <t xml:space="preserve">로컬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먹거리</t>
    </r>
  </si>
  <si>
    <r>
      <rPr>
        <b val="true"/>
        <sz val="10"/>
        <color rgb="FFFFFFFF"/>
        <rFont val="Arial"/>
        <family val="0"/>
        <charset val="1"/>
      </rPr>
      <t xml:space="preserve">w:</t>
    </r>
    <r>
      <rPr>
        <b val="true"/>
        <sz val="10"/>
        <color rgb="FFFFFFFF"/>
        <rFont val="Noto Sans CJK SC"/>
        <family val="2"/>
      </rPr>
      <t xml:space="preserve">해양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자연</t>
    </r>
  </si>
  <si>
    <t xml:space="preserve">야경</t>
  </si>
  <si>
    <t xml:space="preserve">계산 대상</t>
  </si>
  <si>
    <t xml:space="preserve">장소 마스터</t>
  </si>
  <si>
    <t xml:space="preserve">곽지과물해변</t>
  </si>
  <si>
    <t xml:space="preserve">Gwakji Beach</t>
  </si>
  <si>
    <r>
      <rPr>
        <sz val="10"/>
        <rFont val="Noto Sans CJK SC"/>
        <family val="2"/>
      </rPr>
      <t xml:space="preserve">제주 </t>
    </r>
    <r>
      <rPr>
        <sz val="10"/>
        <rFont val="Arial"/>
        <family val="0"/>
        <charset val="1"/>
      </rPr>
      <t xml:space="preserve">K-Drama</t>
    </r>
  </si>
  <si>
    <r>
      <rPr>
        <sz val="10"/>
        <rFont val="Noto Sans CJK SC"/>
        <family val="2"/>
      </rPr>
      <t xml:space="preserve">힐링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생태</t>
    </r>
  </si>
  <si>
    <r>
      <rPr>
        <sz val="10"/>
        <rFont val="Noto Sans CJK SC"/>
        <family val="2"/>
      </rPr>
      <t xml:space="preserve">해양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자연</t>
    </r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</si>
  <si>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</si>
  <si>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t xml:space="preserve">중</t>
  </si>
  <si>
    <t xml:space="preserve">Y</t>
  </si>
  <si>
    <t xml:space="preserve">바닷가 장소 → 주 카테고리 해양으로 변경</t>
  </si>
  <si>
    <r>
      <rPr>
        <sz val="10"/>
        <rFont val="Noto Sans CJK SC"/>
        <family val="2"/>
      </rPr>
      <t xml:space="preserve">모래밭에 용천수가 솟는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애월 산책로와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</si>
  <si>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파일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부산 영화 기행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</si>
  <si>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광안리해변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광안대교</t>
    </r>
  </si>
  <si>
    <t xml:space="preserve">Gwangalli Beach &amp; Diamond Bridge</t>
  </si>
  <si>
    <t xml:space="preserve">부산 영화 기행</t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</si>
  <si>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</si>
  <si>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r>
      <rPr>
        <sz val="10"/>
        <rFont val="Arial"/>
        <family val="0"/>
        <charset val="1"/>
      </rPr>
      <t xml:space="preserve">7.4km </t>
    </r>
    <r>
      <rPr>
        <sz val="10"/>
        <rFont val="Noto Sans CJK SC"/>
        <family val="2"/>
      </rPr>
      <t xml:space="preserve">현수교와 이를 정면으로 마주 보는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조명과 드론쇼가 열리며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액션물의 클라이맥스 배경으로 반복해서 등장한다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</si>
  <si>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파일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제주 </t>
    </r>
    <r>
      <rPr>
        <sz val="10"/>
        <rFont val="Arial"/>
        <family val="0"/>
        <charset val="1"/>
      </rPr>
      <t xml:space="preserve">K-Drama)</t>
    </r>
  </si>
  <si>
    <t xml:space="preserve">광치기해변</t>
  </si>
  <si>
    <t xml:space="preserve">Gwangchigi Beach</t>
  </si>
  <si>
    <r>
      <rPr>
        <sz val="10"/>
        <rFont val="Noto Sans CJK SC"/>
        <family val="2"/>
      </rPr>
      <t xml:space="preserve">썰물에 이끼 낀 암반이 초록으로 드러나는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성산일출봉을 정면으로 마주 본다</t>
    </r>
    <r>
      <rPr>
        <sz val="10"/>
        <rFont val="Arial"/>
        <family val="0"/>
        <charset val="1"/>
      </rPr>
      <t xml:space="preserve">.</t>
    </r>
  </si>
  <si>
    <t xml:space="preserve">금능포구 돌담길</t>
  </si>
  <si>
    <t xml:space="preserve">Geumneung Harbour Stone Walls</t>
  </si>
  <si>
    <r>
      <rPr>
        <sz val="10"/>
        <rFont val="Noto Sans CJK SC"/>
        <family val="2"/>
      </rPr>
      <t xml:space="preserve">검은 현무암 돌담이 바다까지 이어지는 포구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옴니버스 인물들이 오가던 마을 길의 배경으로 소개된 구간이다</t>
    </r>
    <r>
      <rPr>
        <sz val="10"/>
        <rFont val="Arial"/>
        <family val="0"/>
        <charset val="1"/>
      </rPr>
      <t xml:space="preserve">.</t>
    </r>
  </si>
  <si>
    <t xml:space="preserve">기장 죽성 해안</t>
  </si>
  <si>
    <t xml:space="preserve">Jukseong Coast</t>
  </si>
  <si>
    <r>
      <rPr>
        <sz val="10"/>
        <rFont val="Noto Sans CJK SC"/>
        <family val="2"/>
      </rPr>
      <t xml:space="preserve">갯바위와 방파제가 이어지는 조용한 해안</t>
    </r>
    <r>
      <rPr>
        <sz val="10"/>
        <rFont val="Arial"/>
        <family val="0"/>
        <charset val="1"/>
      </rPr>
      <t xml:space="preserve">.</t>
    </r>
  </si>
  <si>
    <t xml:space="preserve">김녕성세기해변</t>
  </si>
  <si>
    <t xml:space="preserve">Gimnyeong Seongsegi Beach</t>
  </si>
  <si>
    <r>
      <rPr>
        <sz val="10"/>
        <rFont val="Noto Sans CJK SC"/>
        <family val="2"/>
      </rPr>
      <t xml:space="preserve">김녕 본 해변 옆의 작은 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물빛이 더 짙다</t>
    </r>
    <r>
      <rPr>
        <sz val="10"/>
        <rFont val="Arial"/>
        <family val="0"/>
        <charset val="1"/>
      </rPr>
      <t xml:space="preserve">.</t>
    </r>
  </si>
  <si>
    <t xml:space="preserve">김녕해수욕장</t>
  </si>
  <si>
    <t xml:space="preserve">Gimnyeong Beach</t>
  </si>
  <si>
    <r>
      <rPr>
        <sz val="10"/>
        <rFont val="Noto Sans CJK SC"/>
        <family val="2"/>
      </rPr>
      <t xml:space="preserve">어린 애순이가 엄마를 기다리며 뛰어놀던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물빛이 옅은 청록으로 얕게 깔리고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뒤로 풍력발전기가 줄지어 선다</t>
    </r>
    <r>
      <rPr>
        <sz val="10"/>
        <rFont val="Arial"/>
        <family val="0"/>
        <charset val="1"/>
      </rPr>
      <t xml:space="preserve">.</t>
    </r>
  </si>
  <si>
    <t xml:space="preserve">남원 큰엉해안경승지</t>
  </si>
  <si>
    <t xml:space="preserve">Keunnyeong Coastal Walk</t>
  </si>
  <si>
    <r>
      <rPr>
        <sz val="10"/>
        <rFont val="Noto Sans CJK SC"/>
        <family val="2"/>
      </rPr>
      <t xml:space="preserve">절벽 위로 난 산책로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한반도 모양으로 뚫린 나뭇잎 구간이 알려져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</si>
  <si>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동백섬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누리마루</t>
    </r>
  </si>
  <si>
    <t xml:space="preserve">Dongbaekseom &amp; Nurimaru</t>
  </si>
  <si>
    <r>
      <rPr>
        <sz val="10"/>
        <rFont val="Noto Sans CJK SC"/>
        <family val="2"/>
      </rPr>
      <t xml:space="preserve">해운대 서쪽 끝 육계도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해안 산책로가 누리마루 </t>
    </r>
    <r>
      <rPr>
        <sz val="10"/>
        <rFont val="Arial"/>
        <family val="0"/>
        <charset val="1"/>
      </rPr>
      <t xml:space="preserve">APEC</t>
    </r>
    <r>
      <rPr>
        <sz val="10"/>
        <rFont val="Noto Sans CJK SC"/>
        <family val="2"/>
      </rPr>
      <t xml:space="preserve">하우스로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</si>
  <si>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부네치아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장림포구</t>
    </r>
    <r>
      <rPr>
        <sz val="10"/>
        <rFont val="Arial"/>
        <family val="0"/>
        <charset val="1"/>
      </rPr>
      <t xml:space="preserve">)</t>
    </r>
  </si>
  <si>
    <t xml:space="preserve">Bunezia (Jangnim Port)</t>
  </si>
  <si>
    <r>
      <rPr>
        <sz val="10"/>
        <rFont val="Noto Sans CJK SC"/>
        <family val="2"/>
      </rPr>
      <t xml:space="preserve">색색의 창고가 물가에 늘어선 포구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베네치아를 빗대 부네치아로 불린다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</si>
  <si>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 아난티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힐튼 해안</t>
    </r>
  </si>
  <si>
    <t xml:space="preserve">Ananti Coast</t>
  </si>
  <si>
    <r>
      <rPr>
        <sz val="10"/>
        <rFont val="Noto Sans CJK SC"/>
        <family val="2"/>
      </rPr>
      <t xml:space="preserve">절벽 위 리조트 단지의 공개 산책로와 서점</t>
    </r>
    <r>
      <rPr>
        <sz val="10"/>
        <rFont val="Arial"/>
        <family val="0"/>
        <charset val="1"/>
      </rPr>
      <t xml:space="preserve">.</t>
    </r>
  </si>
  <si>
    <t xml:space="preserve">부산항 북항 친수공원</t>
  </si>
  <si>
    <t xml:space="preserve">North Port Waterfront Park</t>
  </si>
  <si>
    <r>
      <rPr>
        <sz val="10"/>
        <rFont val="Noto Sans CJK SC"/>
        <family val="2"/>
      </rPr>
      <t xml:space="preserve">재개발한 항만 부지의 수변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크루즈 부두가 보인다</t>
    </r>
    <r>
      <rPr>
        <sz val="10"/>
        <rFont val="Arial"/>
        <family val="0"/>
        <charset val="1"/>
      </rPr>
      <t xml:space="preserve">.</t>
    </r>
  </si>
  <si>
    <t xml:space="preserve">삼익비치타운 벚꽃길</t>
  </si>
  <si>
    <t xml:space="preserve">Samik Beach Town Cherry Road</t>
  </si>
  <si>
    <r>
      <rPr>
        <sz val="10"/>
        <rFont val="Noto Sans CJK SC"/>
        <family val="2"/>
      </rPr>
      <t xml:space="preserve">광안리 남쪽 아파트 단지를 감싼 벚꽃길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월 초에 절정이다</t>
    </r>
    <r>
      <rPr>
        <sz val="10"/>
        <rFont val="Arial"/>
        <family val="0"/>
        <charset val="1"/>
      </rPr>
      <t xml:space="preserve">.</t>
    </r>
  </si>
  <si>
    <t xml:space="preserve">세화해변</t>
  </si>
  <si>
    <t xml:space="preserve">Sehwa Beach</t>
  </si>
  <si>
    <r>
      <rPr>
        <sz val="10"/>
        <rFont val="Noto Sans CJK SC"/>
        <family val="2"/>
      </rPr>
      <t xml:space="preserve">오일장이 서는 마을 앞 해변</t>
    </r>
    <r>
      <rPr>
        <sz val="10"/>
        <rFont val="Arial"/>
        <family val="0"/>
        <charset val="1"/>
      </rPr>
      <t xml:space="preserve">.</t>
    </r>
  </si>
  <si>
    <t xml:space="preserve">송도용궁구름다리</t>
  </si>
  <si>
    <t xml:space="preserve">Songdo Yonggung Suspension Bridge</t>
  </si>
  <si>
    <r>
      <rPr>
        <sz val="10"/>
        <rFont val="Noto Sans CJK SC"/>
        <family val="2"/>
      </rPr>
      <t xml:space="preserve">암남공원과 동섬을 잇는 해상 현수교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발밑으로 파도가 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</si>
  <si>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송도해수욕장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케이블카</t>
    </r>
  </si>
  <si>
    <t xml:space="preserve">Songdo Beach &amp; Cable Car</t>
  </si>
  <si>
    <r>
      <rPr>
        <sz val="10"/>
        <rFont val="Noto Sans CJK SC"/>
        <family val="2"/>
      </rPr>
      <t xml:space="preserve">국내 첫 공설 해수욕장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바다 위를 건너는 케이블카와 구름산책로가 붙어 있다</t>
    </r>
    <r>
      <rPr>
        <sz val="10"/>
        <rFont val="Arial"/>
        <family val="0"/>
        <charset val="1"/>
      </rPr>
      <t xml:space="preserve">.</t>
    </r>
  </si>
  <si>
    <t xml:space="preserve">송정해수욕장</t>
  </si>
  <si>
    <t xml:space="preserve">Songjeong Beach</t>
  </si>
  <si>
    <r>
      <rPr>
        <sz val="10"/>
        <rFont val="Noto Sans CJK SC"/>
        <family val="2"/>
      </rPr>
      <t xml:space="preserve">서핑 보드가 늘 떠 있는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해운대에서 한 정거장이다</t>
    </r>
    <r>
      <rPr>
        <sz val="10"/>
        <rFont val="Arial"/>
        <family val="0"/>
        <charset val="1"/>
      </rPr>
      <t xml:space="preserve">.</t>
    </r>
  </si>
  <si>
    <t xml:space="preserve">신양섭지해수욕장</t>
  </si>
  <si>
    <t xml:space="preserve">Sinyang Seopji Beach</t>
  </si>
  <si>
    <r>
      <rPr>
        <sz val="10"/>
        <rFont val="Noto Sans CJK SC"/>
        <family val="2"/>
      </rPr>
      <t xml:space="preserve">섭지코지 안쪽의 잔잔한 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윈드서핑을 많이 한다</t>
    </r>
    <r>
      <rPr>
        <sz val="10"/>
        <rFont val="Arial"/>
        <family val="0"/>
        <charset val="1"/>
      </rPr>
      <t xml:space="preserve">.</t>
    </r>
  </si>
  <si>
    <t xml:space="preserve">신창풍차해안도로</t>
  </si>
  <si>
    <t xml:space="preserve">Sinchang Windmill Coast</t>
  </si>
  <si>
    <r>
      <rPr>
        <sz val="10"/>
        <rFont val="Noto Sans CJK SC"/>
        <family val="2"/>
      </rPr>
      <t xml:space="preserve">바다 위에 풍력발전기가 선 해안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노을 시간이 좋다</t>
    </r>
    <r>
      <rPr>
        <sz val="10"/>
        <rFont val="Arial"/>
        <family val="0"/>
        <charset val="1"/>
      </rPr>
      <t xml:space="preserve">.</t>
    </r>
  </si>
  <si>
    <t xml:space="preserve">애월 한담해안산책로</t>
  </si>
  <si>
    <t xml:space="preserve">Aewol Handam Coastal Path</t>
  </si>
  <si>
    <r>
      <rPr>
        <sz val="10"/>
        <rFont val="Noto Sans CJK SC"/>
        <family val="2"/>
      </rPr>
      <t xml:space="preserve">현무암 해안을 따라 </t>
    </r>
    <r>
      <rPr>
        <sz val="10"/>
        <rFont val="Arial"/>
        <family val="0"/>
        <charset val="1"/>
      </rPr>
      <t xml:space="preserve">1.2km </t>
    </r>
    <r>
      <rPr>
        <sz val="10"/>
        <rFont val="Noto Sans CJK SC"/>
        <family val="2"/>
      </rPr>
      <t xml:space="preserve">이어지는 산책로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카페가 줄지어 있다</t>
    </r>
    <r>
      <rPr>
        <sz val="10"/>
        <rFont val="Arial"/>
        <family val="0"/>
        <charset val="1"/>
      </rPr>
      <t xml:space="preserve">.</t>
    </r>
  </si>
  <si>
    <t xml:space="preserve">오륙도 스카이워크</t>
  </si>
  <si>
    <t xml:space="preserve">Oryukdo Skywalk</t>
  </si>
  <si>
    <r>
      <rPr>
        <sz val="10"/>
        <rFont val="Noto Sans CJK SC"/>
        <family val="2"/>
      </rPr>
      <t xml:space="preserve">유리 바닥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동해와 남해가 갈리는 지점에 서 있다</t>
    </r>
    <r>
      <rPr>
        <sz val="10"/>
        <rFont val="Arial"/>
        <family val="0"/>
        <charset val="1"/>
      </rPr>
      <t xml:space="preserve">.</t>
    </r>
  </si>
  <si>
    <t xml:space="preserve">용두암</t>
  </si>
  <si>
    <t xml:space="preserve">Yongduam Rock</t>
  </si>
  <si>
    <r>
      <rPr>
        <sz val="10"/>
        <rFont val="Noto Sans CJK SC"/>
        <family val="2"/>
      </rPr>
      <t xml:space="preserve">제주공항에서 가장 가까운 해안 명소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도착 첫날이나 마지막 날에 넣기 좋다</t>
    </r>
    <r>
      <rPr>
        <sz val="10"/>
        <rFont val="Arial"/>
        <family val="0"/>
        <charset val="1"/>
      </rPr>
      <t xml:space="preserve">.</t>
    </r>
  </si>
  <si>
    <t xml:space="preserve">용머리해안</t>
  </si>
  <si>
    <t xml:space="preserve">Yongmeori Coast</t>
  </si>
  <si>
    <r>
      <rPr>
        <sz val="10"/>
        <rFont val="Noto Sans CJK SC"/>
        <family val="2"/>
      </rPr>
      <t xml:space="preserve">수천만 년 퇴적층이 드러난 해안 절벽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만조에는 출입이 막힌다</t>
    </r>
    <r>
      <rPr>
        <sz val="10"/>
        <rFont val="Arial"/>
        <family val="0"/>
        <charset val="1"/>
      </rPr>
      <t xml:space="preserve">.</t>
    </r>
  </si>
  <si>
    <t xml:space="preserve">이호테우해변</t>
  </si>
  <si>
    <t xml:space="preserve">Iho Tewoo Beach</t>
  </si>
  <si>
    <r>
      <rPr>
        <sz val="10"/>
        <rFont val="Noto Sans CJK SC"/>
        <family val="2"/>
      </rPr>
      <t xml:space="preserve">붉고 흰 말 등대가 선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공항에서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분이라 노을만 보러 들르기도 한다</t>
    </r>
    <r>
      <rPr>
        <sz val="10"/>
        <rFont val="Arial"/>
        <family val="0"/>
        <charset val="1"/>
      </rPr>
      <t xml:space="preserve">.</t>
    </r>
  </si>
  <si>
    <t xml:space="preserve">일광해수욕장</t>
  </si>
  <si>
    <t xml:space="preserve">Ilgwang Beach</t>
  </si>
  <si>
    <r>
      <rPr>
        <sz val="10"/>
        <rFont val="Noto Sans CJK SC"/>
        <family val="2"/>
      </rPr>
      <t xml:space="preserve">기장 북쪽의 완만한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동해선 일광역에서 걸어 닿는다</t>
    </r>
    <r>
      <rPr>
        <sz val="10"/>
        <rFont val="Arial"/>
        <family val="0"/>
        <charset val="1"/>
      </rPr>
      <t xml:space="preserve">.</t>
    </r>
  </si>
  <si>
    <t xml:space="preserve">종달리 해안도로</t>
  </si>
  <si>
    <t xml:space="preserve">Jongdal-ri Coastal Road</t>
  </si>
  <si>
    <r>
      <rPr>
        <sz val="10"/>
        <rFont val="Noto Sans CJK SC"/>
        <family val="2"/>
      </rPr>
      <t xml:space="preserve">우도와 성산을 옆에 두고 달리는 해안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갈대밭과 염전 터가 번갈아 나온다</t>
    </r>
    <r>
      <rPr>
        <sz val="10"/>
        <rFont val="Arial"/>
        <family val="0"/>
        <charset val="1"/>
      </rPr>
      <t xml:space="preserve">.</t>
    </r>
  </si>
  <si>
    <t xml:space="preserve">중문색달해변</t>
  </si>
  <si>
    <t xml:space="preserve">Jungmun Saekdal Beach</t>
  </si>
  <si>
    <r>
      <rPr>
        <sz val="10"/>
        <rFont val="Noto Sans CJK SC"/>
        <family val="2"/>
      </rPr>
      <t xml:space="preserve">검은 모래가 섞인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파도가 높아 서핑 강습이 열린다</t>
    </r>
    <r>
      <rPr>
        <sz val="10"/>
        <rFont val="Arial"/>
        <family val="0"/>
        <charset val="1"/>
      </rPr>
      <t xml:space="preserve">.</t>
    </r>
  </si>
  <si>
    <t xml:space="preserve">태종대</t>
  </si>
  <si>
    <t xml:space="preserve">Taejongdae</t>
  </si>
  <si>
    <r>
      <rPr>
        <sz val="10"/>
        <rFont val="Noto Sans CJK SC"/>
        <family val="2"/>
      </rPr>
      <t xml:space="preserve">영도 남단의 해식 절벽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등대와 전망대가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파도가 바위를 때리는 장면이 자주 쓰인다</t>
    </r>
    <r>
      <rPr>
        <sz val="10"/>
        <rFont val="Arial"/>
        <family val="0"/>
        <charset val="1"/>
      </rPr>
      <t xml:space="preserve">.</t>
    </r>
  </si>
  <si>
    <t xml:space="preserve">태종대온천</t>
  </si>
  <si>
    <t xml:space="preserve">Taejongdae Hot Spring</t>
  </si>
  <si>
    <r>
      <rPr>
        <sz val="10"/>
        <rFont val="Noto Sans CJK SC"/>
        <family val="2"/>
      </rPr>
      <t xml:space="preserve">태종대 초입의 해수 온천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태종대 산책과 묶기 좋다</t>
    </r>
    <r>
      <rPr>
        <sz val="10"/>
        <rFont val="Arial"/>
        <family val="0"/>
        <charset val="1"/>
      </rPr>
      <t xml:space="preserve">.</t>
    </r>
  </si>
  <si>
    <t xml:space="preserve">평대해변</t>
  </si>
  <si>
    <t xml:space="preserve">Pyeongdae Beach</t>
  </si>
  <si>
    <r>
      <rPr>
        <sz val="10"/>
        <rFont val="Noto Sans CJK SC"/>
        <family val="2"/>
      </rPr>
      <t xml:space="preserve">비자림 가는 길에 들르는 작은 해변</t>
    </r>
    <r>
      <rPr>
        <sz val="10"/>
        <rFont val="Arial"/>
        <family val="0"/>
        <charset val="1"/>
      </rPr>
      <t xml:space="preserve">.</t>
    </r>
  </si>
  <si>
    <t xml:space="preserve">표선해수욕장</t>
  </si>
  <si>
    <t xml:space="preserve">Pyoseon Beach</t>
  </si>
  <si>
    <r>
      <rPr>
        <sz val="10"/>
        <rFont val="Noto Sans CJK SC"/>
        <family val="2"/>
      </rPr>
      <t xml:space="preserve">썰물에 백사장이 운동장처럼 넓게 드러나는 해변</t>
    </r>
    <r>
      <rPr>
        <sz val="10"/>
        <rFont val="Arial"/>
        <family val="0"/>
        <charset val="1"/>
      </rPr>
      <t xml:space="preserve">.</t>
    </r>
  </si>
  <si>
    <t xml:space="preserve">하도해변</t>
  </si>
  <si>
    <t xml:space="preserve">Hado Beach</t>
  </si>
  <si>
    <r>
      <rPr>
        <sz val="10"/>
        <rFont val="Noto Sans CJK SC"/>
        <family val="2"/>
      </rPr>
      <t xml:space="preserve">철새도래지를 옆에 둔 조용한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사람이 적다</t>
    </r>
    <r>
      <rPr>
        <sz val="10"/>
        <rFont val="Arial"/>
        <family val="0"/>
        <charset val="1"/>
      </rPr>
      <t xml:space="preserve">.</t>
    </r>
  </si>
  <si>
    <t xml:space="preserve">함덕해수욕장</t>
  </si>
  <si>
    <t xml:space="preserve">Hamdeok Beach</t>
  </si>
  <si>
    <r>
      <rPr>
        <sz val="10"/>
        <rFont val="Noto Sans CJK SC"/>
        <family val="2"/>
      </rPr>
      <t xml:space="preserve">서우봉을 옆에 끼고 물빛이 급격히 밝아지는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산책로가 봉우리 위로 이어진다</t>
    </r>
    <r>
      <rPr>
        <sz val="10"/>
        <rFont val="Arial"/>
        <family val="0"/>
        <charset val="1"/>
      </rPr>
      <t xml:space="preserve">.</t>
    </r>
  </si>
  <si>
    <t xml:space="preserve">해운대해수욕장</t>
  </si>
  <si>
    <t xml:space="preserve">Haeundae Beach</t>
  </si>
  <si>
    <r>
      <rPr>
        <sz val="10"/>
        <rFont val="Arial"/>
        <family val="0"/>
        <charset val="1"/>
      </rPr>
      <t xml:space="preserve">1.5km </t>
    </r>
    <r>
      <rPr>
        <sz val="10"/>
        <rFont val="Noto Sans CJK SC"/>
        <family val="2"/>
      </rPr>
      <t xml:space="preserve">백사장 전체가 재난 장면의 무대가 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뒤로 늘어선 고층 건물과 백사장의 대비가 그대로 화면이 된다</t>
    </r>
    <r>
      <rPr>
        <sz val="10"/>
        <rFont val="Arial"/>
        <family val="0"/>
        <charset val="1"/>
      </rPr>
      <t xml:space="preserve">.</t>
    </r>
  </si>
  <si>
    <t xml:space="preserve">협재해수욕장</t>
  </si>
  <si>
    <t xml:space="preserve">Hyeopjae Beach</t>
  </si>
  <si>
    <r>
      <rPr>
        <sz val="10"/>
        <rFont val="Noto Sans CJK SC"/>
        <family val="2"/>
      </rPr>
      <t xml:space="preserve">비양도를 정면에 두고 흰 모래가 길게 이어지는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물이 얕아 멀리까지 걸어 들어갈 수 있다</t>
    </r>
    <r>
      <rPr>
        <sz val="10"/>
        <rFont val="Arial"/>
        <family val="0"/>
        <charset val="1"/>
      </rPr>
      <t xml:space="preserve">.</t>
    </r>
  </si>
  <si>
    <t xml:space="preserve">흰여울 절영해안산책로</t>
  </si>
  <si>
    <t xml:space="preserve">Jeollyeong Coastal Walk</t>
  </si>
  <si>
    <r>
      <rPr>
        <sz val="10"/>
        <rFont val="Noto Sans CJK SC"/>
        <family val="2"/>
      </rPr>
      <t xml:space="preserve">흰여울마을 아래 해안으로 내려가는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파도 소리가 가깝다</t>
    </r>
    <r>
      <rPr>
        <sz val="10"/>
        <rFont val="Arial"/>
        <family val="0"/>
        <charset val="1"/>
      </rPr>
      <t xml:space="preserve">.</t>
    </r>
  </si>
  <si>
    <t xml:space="preserve">거제</t>
  </si>
  <si>
    <t xml:space="preserve">공곶이</t>
  </si>
  <si>
    <t xml:space="preserve">Gonggoji</t>
  </si>
  <si>
    <t xml:space="preserve">바다</t>
  </si>
  <si>
    <r>
      <rPr>
        <sz val="10"/>
        <rFont val="Noto Sans CJK SC"/>
        <family val="2"/>
      </rPr>
      <t xml:space="preserve">수선화가 덮는 바닷가 계단 농원</t>
    </r>
    <r>
      <rPr>
        <sz val="10"/>
        <rFont val="Arial"/>
        <family val="0"/>
        <charset val="1"/>
      </rPr>
      <t xml:space="preserve">.</t>
    </r>
  </si>
  <si>
    <t xml:space="preserve">영덕</t>
  </si>
  <si>
    <t xml:space="preserve">삼사해상공원</t>
  </si>
  <si>
    <t xml:space="preserve">Samsa Maritime Park</t>
  </si>
  <si>
    <r>
      <rPr>
        <sz val="10"/>
        <rFont val="Noto Sans CJK SC"/>
        <family val="2"/>
      </rPr>
      <t xml:space="preserve">동해를 내려다보는 언덕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대종이 있다</t>
    </r>
    <r>
      <rPr>
        <sz val="10"/>
        <rFont val="Arial"/>
        <family val="0"/>
        <charset val="1"/>
      </rPr>
      <t xml:space="preserve">.</t>
    </r>
  </si>
  <si>
    <t xml:space="preserve">태안</t>
  </si>
  <si>
    <t xml:space="preserve">신두리 해안사구</t>
  </si>
  <si>
    <t xml:space="preserve">Sinduri Coastal Dunes</t>
  </si>
  <si>
    <r>
      <rPr>
        <sz val="10"/>
        <rFont val="Noto Sans CJK SC"/>
        <family val="2"/>
      </rPr>
      <t xml:space="preserve">한국 최대의 해안 사구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천연기념물이다</t>
    </r>
    <r>
      <rPr>
        <sz val="10"/>
        <rFont val="Arial"/>
        <family val="0"/>
        <charset val="1"/>
      </rPr>
      <t xml:space="preserve">.</t>
    </r>
  </si>
  <si>
    <t xml:space="preserve">통영</t>
  </si>
  <si>
    <t xml:space="preserve">장사도 해상공원</t>
  </si>
  <si>
    <t xml:space="preserve">Jangsado Sea Park</t>
  </si>
  <si>
    <r>
      <rPr>
        <sz val="10"/>
        <rFont val="Noto Sans CJK SC"/>
        <family val="2"/>
      </rPr>
      <t xml:space="preserve">동백과 야생화가 덮인 정원 섬</t>
    </r>
    <r>
      <rPr>
        <sz val="10"/>
        <rFont val="Arial"/>
        <family val="0"/>
        <charset val="1"/>
      </rPr>
      <t xml:space="preserve">.</t>
    </r>
  </si>
  <si>
    <t xml:space="preserve">가파도</t>
  </si>
  <si>
    <t xml:space="preserve">Gapado Island</t>
  </si>
  <si>
    <r>
      <rPr>
        <sz val="10"/>
        <rFont val="Noto Sans CJK SC"/>
        <family val="2"/>
      </rPr>
      <t xml:space="preserve">테마파크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액티비티</t>
    </r>
  </si>
  <si>
    <t xml:space="preserve">바다 관련 → 보조 해양</t>
  </si>
  <si>
    <r>
      <rPr>
        <sz val="10"/>
        <rFont val="Noto Sans CJK SC"/>
        <family val="2"/>
      </rPr>
      <t xml:space="preserve"> 청보리밭이 섬 전체를 덮는 봄이 절정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바퀴 두 시간이면 돈다</t>
    </r>
    <r>
      <rPr>
        <sz val="10"/>
        <rFont val="Arial"/>
        <family val="0"/>
        <charset val="1"/>
      </rPr>
      <t xml:space="preserve">.</t>
    </r>
  </si>
  <si>
    <t xml:space="preserve">구조라성</t>
  </si>
  <si>
    <t xml:space="preserve">Gujora Fortress</t>
  </si>
  <si>
    <t xml:space="preserve">RESCENE Route</t>
  </si>
  <si>
    <r>
      <rPr>
        <sz val="10"/>
        <rFont val="Noto Sans CJK SC"/>
        <family val="2"/>
      </rPr>
      <t xml:space="preserve">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문화</t>
    </r>
  </si>
  <si>
    <t xml:space="preserve">하</t>
  </si>
  <si>
    <r>
      <rPr>
        <sz val="10"/>
        <rFont val="Noto Sans CJK SC"/>
        <family val="2"/>
      </rPr>
      <t xml:space="preserve">조선 수군이 쌓은 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해변 뒤 능선을 따라 성벽이 남아 구조라항과 외도 방향 바다가 한눈에 든다</t>
    </r>
    <r>
      <rPr>
        <sz val="10"/>
        <rFont val="Arial"/>
        <family val="0"/>
        <charset val="1"/>
      </rPr>
      <t xml:space="preserve">.</t>
    </r>
  </si>
  <si>
    <t xml:space="preserve">국립제주박물관</t>
  </si>
  <si>
    <t xml:space="preserve">Jeju National Museum</t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</si>
  <si>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</si>
  <si>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r>
      <rPr>
        <sz val="10"/>
        <rFont val="Noto Sans CJK SC"/>
        <family val="2"/>
      </rPr>
      <t xml:space="preserve">탐라부터 조선까지 섬의 유물을 모았다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공항에서 가까워 첫날에 넣기 좋다</t>
    </r>
    <r>
      <rPr>
        <sz val="10"/>
        <rFont val="Arial"/>
        <family val="0"/>
        <charset val="1"/>
      </rPr>
      <t xml:space="preserve">.</t>
    </r>
  </si>
  <si>
    <t xml:space="preserve">노들섬</t>
  </si>
  <si>
    <t xml:space="preserve">Nodeul Island</t>
  </si>
  <si>
    <t xml:space="preserve">케이팝 데몬 헌터스</t>
  </si>
  <si>
    <r>
      <rPr>
        <sz val="10"/>
        <rFont val="Noto Sans CJK SC"/>
        <family val="2"/>
      </rPr>
      <t xml:space="preserve">한강 한가운데의 공연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전시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보행로로 걸어 들어간다</t>
    </r>
    <r>
      <rPr>
        <sz val="10"/>
        <rFont val="Arial"/>
        <family val="0"/>
        <charset val="1"/>
      </rPr>
      <t xml:space="preserve">.</t>
    </r>
  </si>
  <si>
    <t xml:space="preserve">다대포 꿈의낙조분수</t>
  </si>
  <si>
    <t xml:space="preserve">Dadaepo Sunset Fountain</t>
  </si>
  <si>
    <r>
      <rPr>
        <sz val="10"/>
        <rFont val="Noto Sans CJK SC"/>
        <family val="2"/>
      </rPr>
      <t xml:space="preserve">해 지는 시간에 맞춰 물을 뿜는 대형 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다대포 해변과 붙어 있다</t>
    </r>
    <r>
      <rPr>
        <sz val="10"/>
        <rFont val="Arial"/>
        <family val="0"/>
        <charset val="1"/>
      </rPr>
      <t xml:space="preserve">.</t>
    </r>
  </si>
  <si>
    <t xml:space="preserve">대포주상절리대</t>
  </si>
  <si>
    <t xml:space="preserve">Daepo Columnar Joints</t>
  </si>
  <si>
    <r>
      <rPr>
        <sz val="10"/>
        <rFont val="Noto Sans CJK SC"/>
        <family val="2"/>
      </rPr>
      <t xml:space="preserve">육각 기둥이 바다로 늘어선 절벽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중문 권역에 있다</t>
    </r>
    <r>
      <rPr>
        <sz val="10"/>
        <rFont val="Arial"/>
        <family val="0"/>
        <charset val="1"/>
      </rPr>
      <t xml:space="preserve">.</t>
    </r>
  </si>
  <si>
    <t xml:space="preserve">도두봉</t>
  </si>
  <si>
    <t xml:space="preserve">Dodubong</t>
  </si>
  <si>
    <t xml:space="preserve">상</t>
  </si>
  <si>
    <r>
      <rPr>
        <sz val="10"/>
        <rFont val="Noto Sans CJK SC"/>
        <family val="2"/>
      </rPr>
      <t xml:space="preserve">공항 활주로와 바다가 같이 보이는 낮은 언덕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비행기 사진 자리로 알려져 있다</t>
    </r>
    <r>
      <rPr>
        <sz val="10"/>
        <rFont val="Arial"/>
        <family val="0"/>
        <charset val="1"/>
      </rPr>
      <t xml:space="preserve">.</t>
    </r>
  </si>
  <si>
    <t xml:space="preserve">마라도</t>
  </si>
  <si>
    <t xml:space="preserve">Marado Island</t>
  </si>
  <si>
    <r>
      <rPr>
        <sz val="10"/>
        <rFont val="Noto Sans CJK SC"/>
        <family val="2"/>
      </rPr>
      <t xml:space="preserve">국토 최남단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 시간이 정해져 있어 체류 시간이 짧다</t>
    </r>
    <r>
      <rPr>
        <sz val="10"/>
        <rFont val="Arial"/>
        <family val="0"/>
        <charset val="1"/>
      </rPr>
      <t xml:space="preserve">.</t>
    </r>
  </si>
  <si>
    <t xml:space="preserve">마린시티</t>
  </si>
  <si>
    <t xml:space="preserve">Marine City</t>
  </si>
  <si>
    <r>
      <rPr>
        <sz val="10"/>
        <rFont val="Noto Sans CJK SC"/>
        <family val="2"/>
      </rPr>
      <t xml:space="preserve">로컬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먹거리</t>
    </r>
  </si>
  <si>
    <r>
      <rPr>
        <sz val="10"/>
        <rFont val="Noto Sans CJK SC"/>
        <family val="2"/>
      </rPr>
      <t xml:space="preserve">초고층 주거단지 앞 해안 산책로와 식당가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광안대교 야경이 정면이다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</si>
  <si>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 용두산공원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부산타워</t>
    </r>
  </si>
  <si>
    <t xml:space="preserve">Yongdusan Park &amp; Busan Tower</t>
  </si>
  <si>
    <r>
      <rPr>
        <sz val="10"/>
        <rFont val="Noto Sans CJK SC"/>
        <family val="2"/>
      </rPr>
      <t xml:space="preserve">남포동 위 언덕의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타워에서 항구와 영도가 함께 보인다</t>
    </r>
    <r>
      <rPr>
        <sz val="10"/>
        <rFont val="Arial"/>
        <family val="0"/>
        <charset val="1"/>
      </rPr>
      <t xml:space="preserve">.</t>
    </r>
  </si>
  <si>
    <t xml:space="preserve">블루라인파크 미포정거장</t>
  </si>
  <si>
    <t xml:space="preserve">Blueline Park Mipo Station</t>
  </si>
  <si>
    <r>
      <rPr>
        <sz val="10"/>
        <rFont val="Noto Sans CJK SC"/>
        <family val="2"/>
      </rPr>
      <t xml:space="preserve">해변열차와 스카이캡슐이 출발하는 정거장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청사포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송정으로 이어진다</t>
    </r>
    <r>
      <rPr>
        <sz val="10"/>
        <rFont val="Arial"/>
        <family val="0"/>
        <charset val="1"/>
      </rPr>
      <t xml:space="preserve">.</t>
    </r>
  </si>
  <si>
    <t xml:space="preserve">산방산</t>
  </si>
  <si>
    <t xml:space="preserve">Sanbangsan</t>
  </si>
  <si>
    <r>
      <rPr>
        <sz val="10"/>
        <rFont val="Noto Sans CJK SC"/>
        <family val="2"/>
      </rPr>
      <t xml:space="preserve">바다 옆에 솟은 종상화산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중턱의 산방굴사까지 계단이 놓여 있다</t>
    </r>
    <r>
      <rPr>
        <sz val="10"/>
        <rFont val="Arial"/>
        <family val="0"/>
        <charset val="1"/>
      </rPr>
      <t xml:space="preserve">.</t>
    </r>
  </si>
  <si>
    <t xml:space="preserve">새연교</t>
  </si>
  <si>
    <t xml:space="preserve">Saeyeongyo Bridge</t>
  </si>
  <si>
    <r>
      <rPr>
        <sz val="10"/>
        <rFont val="Noto Sans CJK SC"/>
        <family val="2"/>
      </rPr>
      <t xml:space="preserve">서귀포항과 새섬을 잇는 보행교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조명이 들어온다</t>
    </r>
    <r>
      <rPr>
        <sz val="10"/>
        <rFont val="Arial"/>
        <family val="0"/>
        <charset val="1"/>
      </rPr>
      <t xml:space="preserve">.</t>
    </r>
  </si>
  <si>
    <t xml:space="preserve">선유도공원</t>
  </si>
  <si>
    <t xml:space="preserve">Seonyudo Park</t>
  </si>
  <si>
    <r>
      <rPr>
        <sz val="10"/>
        <rFont val="Noto Sans CJK SC"/>
        <family val="2"/>
      </rPr>
      <t xml:space="preserve">정수장을 그대로 두고 만든 한강 섬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양화대교에서 걸어 들어간다</t>
    </r>
    <r>
      <rPr>
        <sz val="10"/>
        <rFont val="Arial"/>
        <family val="0"/>
        <charset val="1"/>
      </rPr>
      <t xml:space="preserve">.</t>
    </r>
  </si>
  <si>
    <t xml:space="preserve">섭지코지</t>
  </si>
  <si>
    <t xml:space="preserve">Seopjikoji</t>
  </si>
  <si>
    <r>
      <rPr>
        <sz val="10"/>
        <rFont val="Noto Sans CJK SC"/>
        <family val="2"/>
      </rPr>
      <t xml:space="preserve">성산 남쪽으로 뻗은 곶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등대까지 걷는 길에 유채와 바다가 번갈아 나온다</t>
    </r>
    <r>
      <rPr>
        <sz val="10"/>
        <rFont val="Arial"/>
        <family val="0"/>
        <charset val="1"/>
      </rPr>
      <t xml:space="preserve">.</t>
    </r>
  </si>
  <si>
    <t xml:space="preserve">세화민속오일장</t>
  </si>
  <si>
    <t xml:space="preserve">Sehwa Five-day Market</t>
  </si>
  <si>
    <r>
      <rPr>
        <sz val="10"/>
        <rFont val="Noto Sans CJK SC"/>
        <family val="2"/>
      </rPr>
      <t xml:space="preserve">바다를 등지고 서는 오일장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해녀가 캔 해산물이 바로 나온다</t>
    </r>
    <r>
      <rPr>
        <sz val="10"/>
        <rFont val="Arial"/>
        <family val="0"/>
        <charset val="1"/>
      </rPr>
      <t xml:space="preserve">.</t>
    </r>
  </si>
  <si>
    <t xml:space="preserve">송악산 둘레길</t>
  </si>
  <si>
    <t xml:space="preserve">Songaksan Trail</t>
  </si>
  <si>
    <r>
      <rPr>
        <sz val="10"/>
        <rFont val="Noto Sans CJK SC"/>
        <family val="2"/>
      </rPr>
      <t xml:space="preserve">분화구와 해안 절벽을 함께 도는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가파도와 마라도가 보인다</t>
    </r>
    <r>
      <rPr>
        <sz val="10"/>
        <rFont val="Arial"/>
        <family val="0"/>
        <charset val="1"/>
      </rPr>
      <t xml:space="preserve">.</t>
    </r>
  </si>
  <si>
    <t xml:space="preserve">쇠소깍</t>
  </si>
  <si>
    <t xml:space="preserve">Soesokkak</t>
  </si>
  <si>
    <r>
      <rPr>
        <sz val="10"/>
        <rFont val="Noto Sans CJK SC"/>
        <family val="2"/>
      </rPr>
      <t xml:space="preserve">민물과 바다가 만나는 검은 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전통 뗏목 테우를 탄다</t>
    </r>
    <r>
      <rPr>
        <sz val="10"/>
        <rFont val="Arial"/>
        <family val="0"/>
        <charset val="1"/>
      </rPr>
      <t xml:space="preserve">.</t>
    </r>
  </si>
  <si>
    <t xml:space="preserve">수월봉</t>
  </si>
  <si>
    <t xml:space="preserve">Suwolbong</t>
  </si>
  <si>
    <r>
      <rPr>
        <sz val="10"/>
        <rFont val="Noto Sans CJK SC"/>
        <family val="2"/>
      </rPr>
      <t xml:space="preserve">화산재층이 켜켜이 드러난 해안 절벽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세계지질공원 대표 지점이다</t>
    </r>
    <r>
      <rPr>
        <sz val="10"/>
        <rFont val="Arial"/>
        <family val="0"/>
        <charset val="1"/>
      </rPr>
      <t xml:space="preserve">.</t>
    </r>
  </si>
  <si>
    <t xml:space="preserve">아미산 전망대</t>
  </si>
  <si>
    <t xml:space="preserve">Amisan Observatory</t>
  </si>
  <si>
    <r>
      <rPr>
        <sz val="10"/>
        <rFont val="Noto Sans CJK SC"/>
        <family val="2"/>
      </rPr>
      <t xml:space="preserve">낙동강 하구의 모래섬이 한눈에 드는 전망대</t>
    </r>
    <r>
      <rPr>
        <sz val="10"/>
        <rFont val="Arial"/>
        <family val="0"/>
        <charset val="1"/>
      </rPr>
      <t xml:space="preserve">.</t>
    </r>
  </si>
  <si>
    <t xml:space="preserve">오시리아 관광단지</t>
  </si>
  <si>
    <t xml:space="preserve">Osiria Tourism Complex</t>
  </si>
  <si>
    <r>
      <rPr>
        <sz val="10"/>
        <rFont val="Noto Sans CJK SC"/>
        <family val="2"/>
      </rPr>
      <t xml:space="preserve">아쿠아리움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테마파크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아울렛이 묶인 해안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용궁사와 붙어 있다</t>
    </r>
    <r>
      <rPr>
        <sz val="10"/>
        <rFont val="Arial"/>
        <family val="0"/>
        <charset val="1"/>
      </rPr>
      <t xml:space="preserve">.</t>
    </r>
  </si>
  <si>
    <t xml:space="preserve">외도 보타니아</t>
  </si>
  <si>
    <t xml:space="preserve">Oedo Botania</t>
  </si>
  <si>
    <r>
      <rPr>
        <sz val="10"/>
        <rFont val="Noto Sans CJK SC"/>
        <family val="2"/>
      </rPr>
      <t xml:space="preserve">섬 전체가 식물원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구조라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장승포 유람선으로만 들어간다</t>
    </r>
    <r>
      <rPr>
        <sz val="10"/>
        <rFont val="Arial"/>
        <family val="0"/>
        <charset val="1"/>
      </rPr>
      <t xml:space="preserve">.</t>
    </r>
  </si>
  <si>
    <t xml:space="preserve">외돌개</t>
  </si>
  <si>
    <t xml:space="preserve">Oedolgae Rock</t>
  </si>
  <si>
    <r>
      <rPr>
        <sz val="10"/>
        <rFont val="Noto Sans CJK SC"/>
        <family val="2"/>
      </rPr>
      <t xml:space="preserve">바다에 홀로 선 </t>
    </r>
    <r>
      <rPr>
        <sz val="10"/>
        <rFont val="Arial"/>
        <family val="0"/>
        <charset val="1"/>
      </rPr>
      <t xml:space="preserve">20m </t>
    </r>
    <r>
      <rPr>
        <sz val="10"/>
        <rFont val="Noto Sans CJK SC"/>
        <family val="2"/>
      </rPr>
      <t xml:space="preserve">바위 기둥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올레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코스가 지난다</t>
    </r>
    <r>
      <rPr>
        <sz val="10"/>
        <rFont val="Arial"/>
        <family val="0"/>
        <charset val="1"/>
      </rPr>
      <t xml:space="preserve">.</t>
    </r>
  </si>
  <si>
    <t xml:space="preserve">우도</t>
  </si>
  <si>
    <t xml:space="preserve">Udo Island</t>
  </si>
  <si>
    <r>
      <rPr>
        <sz val="10"/>
        <rFont val="Noto Sans CJK SC"/>
        <family val="2"/>
      </rPr>
      <t xml:space="preserve">성산항에서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배로 닿는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자전거나 전기차로 한 바퀴 도는 데 두세 시간이 든다</t>
    </r>
    <r>
      <rPr>
        <sz val="10"/>
        <rFont val="Arial"/>
        <family val="0"/>
        <charset val="1"/>
      </rPr>
      <t xml:space="preserve">.</t>
    </r>
  </si>
  <si>
    <t xml:space="preserve">이기대 전망대</t>
  </si>
  <si>
    <t xml:space="preserve">Igidae Lookout</t>
  </si>
  <si>
    <r>
      <rPr>
        <sz val="10"/>
        <rFont val="Noto Sans CJK SC"/>
        <family val="2"/>
      </rPr>
      <t xml:space="preserve">바위 해안을 따라 </t>
    </r>
    <r>
      <rPr>
        <sz val="10"/>
        <rFont val="Arial"/>
        <family val="0"/>
        <charset val="1"/>
      </rPr>
      <t xml:space="preserve">4km </t>
    </r>
    <r>
      <rPr>
        <sz val="10"/>
        <rFont val="Noto Sans CJK SC"/>
        <family val="2"/>
      </rPr>
      <t xml:space="preserve">이어지는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광안대교가 계속 따라온다</t>
    </r>
    <r>
      <rPr>
        <sz val="10"/>
        <rFont val="Arial"/>
        <family val="0"/>
        <charset val="1"/>
      </rPr>
      <t xml:space="preserve">.</t>
    </r>
  </si>
  <si>
    <t xml:space="preserve">정방폭포</t>
  </si>
  <si>
    <t xml:space="preserve">Jeongbang Falls</t>
  </si>
  <si>
    <r>
      <rPr>
        <sz val="10"/>
        <rFont val="Noto Sans CJK SC"/>
        <family val="2"/>
      </rPr>
      <t xml:space="preserve">바다로 곧장 떨어지는 폭포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동양에서 드문 해안 직폭이다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</si>
  <si>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제주 </t>
    </r>
    <r>
      <rPr>
        <sz val="10"/>
        <rFont val="Arial"/>
        <family val="0"/>
        <charset val="1"/>
      </rPr>
      <t xml:space="preserve">4·3 </t>
    </r>
    <r>
      <rPr>
        <sz val="10"/>
        <rFont val="Noto Sans CJK SC"/>
        <family val="2"/>
      </rPr>
      <t xml:space="preserve">평화공원</t>
    </r>
  </si>
  <si>
    <t xml:space="preserve">Jeju 4·3 Peace Park</t>
  </si>
  <si>
    <r>
      <rPr>
        <sz val="10"/>
        <rFont val="Arial"/>
        <family val="0"/>
        <charset val="1"/>
      </rPr>
      <t xml:space="preserve">1948</t>
    </r>
    <r>
      <rPr>
        <sz val="10"/>
        <rFont val="Noto Sans CJK SC"/>
        <family val="2"/>
      </rPr>
      <t xml:space="preserve">년 사건의 희생자를 기리는 기념관과 위령 공간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섬의 근현대사를 이해하는 출발점이다</t>
    </r>
    <r>
      <rPr>
        <sz val="10"/>
        <rFont val="Arial"/>
        <family val="0"/>
        <charset val="1"/>
      </rPr>
      <t xml:space="preserve">.</t>
    </r>
  </si>
  <si>
    <t xml:space="preserve">제주민속자연사박물관</t>
  </si>
  <si>
    <t xml:space="preserve">Jeju Folklore &amp; Natural History Museum</t>
  </si>
  <si>
    <r>
      <rPr>
        <sz val="10"/>
        <rFont val="Noto Sans CJK SC"/>
        <family val="2"/>
      </rPr>
      <t xml:space="preserve">화산섬 지질과 생활 민속을 한 건물에서 본다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삼성혈 바로 옆이다</t>
    </r>
    <r>
      <rPr>
        <sz val="10"/>
        <rFont val="Arial"/>
        <family val="0"/>
        <charset val="1"/>
      </rPr>
      <t xml:space="preserve">.</t>
    </r>
  </si>
  <si>
    <t xml:space="preserve">지심도</t>
  </si>
  <si>
    <t xml:space="preserve">Jisimdo Island</t>
  </si>
  <si>
    <r>
      <rPr>
        <sz val="10"/>
        <rFont val="Noto Sans CJK SC"/>
        <family val="2"/>
      </rPr>
      <t xml:space="preserve">동백나무가 섬 전체를 덮어 겨울에 붉게 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장승포항에서 배로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일제강점기 포진지가 남아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</si>
  <si>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청사포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미포 철길</t>
    </r>
  </si>
  <si>
    <t xml:space="preserve">Cheongsapo &amp; Mipo Rail Path</t>
  </si>
  <si>
    <r>
      <rPr>
        <sz val="10"/>
        <rFont val="Noto Sans CJK SC"/>
        <family val="2"/>
      </rPr>
      <t xml:space="preserve">동해남부선 폐선을 산책로와 해변열차로 바꾼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바다를 끼고 달리는 선로 장면의 배경이다</t>
    </r>
    <r>
      <rPr>
        <sz val="10"/>
        <rFont val="Arial"/>
        <family val="0"/>
        <charset val="1"/>
      </rPr>
      <t xml:space="preserve">.</t>
    </r>
  </si>
  <si>
    <t xml:space="preserve">한림공원</t>
  </si>
  <si>
    <t xml:space="preserve">Hallim Park</t>
  </si>
  <si>
    <r>
      <rPr>
        <sz val="10"/>
        <rFont val="Noto Sans CJK SC"/>
        <family val="2"/>
      </rPr>
      <t xml:space="preserve">협재해변 옆의 대형 수목원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협재굴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쌍용굴이 안에 있다</t>
    </r>
    <r>
      <rPr>
        <sz val="10"/>
        <rFont val="Arial"/>
        <family val="0"/>
        <charset val="1"/>
      </rPr>
      <t xml:space="preserve">.</t>
    </r>
  </si>
  <si>
    <t xml:space="preserve">해운대 전통시장</t>
  </si>
  <si>
    <t xml:space="preserve">Haeundae Traditional Market</t>
  </si>
  <si>
    <r>
      <rPr>
        <sz val="10"/>
        <rFont val="Noto Sans CJK SC"/>
        <family val="2"/>
      </rPr>
      <t xml:space="preserve">해운대역과 해변 사이 골목시장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씨앗호떡과 회센터가 이어진다</t>
    </r>
    <r>
      <rPr>
        <sz val="10"/>
        <rFont val="Arial"/>
        <family val="0"/>
        <charset val="1"/>
      </rPr>
      <t xml:space="preserve">.</t>
    </r>
  </si>
  <si>
    <t xml:space="preserve">흰여울문화마을</t>
  </si>
  <si>
    <t xml:space="preserve">Huinnyeoul Culture Village</t>
  </si>
  <si>
    <r>
      <rPr>
        <sz val="10"/>
        <rFont val="Noto Sans CJK SC"/>
        <family val="2"/>
      </rPr>
      <t xml:space="preserve">영도 절벽 위로 난 좁은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흰 담과 파란 바다가 붙어 있어 여러 작품이 같은 구도를 반복해 썼다</t>
    </r>
    <r>
      <rPr>
        <sz val="10"/>
        <rFont val="Arial"/>
        <family val="0"/>
        <charset val="1"/>
      </rPr>
      <t xml:space="preserve">.</t>
    </r>
  </si>
  <si>
    <t xml:space="preserve">논산</t>
  </si>
  <si>
    <t xml:space="preserve">강경 근대역사거리</t>
  </si>
  <si>
    <t xml:space="preserve">Ganggyeong Historic Street</t>
  </si>
  <si>
    <r>
      <rPr>
        <sz val="10"/>
        <rFont val="Noto Sans CJK SC"/>
        <family val="2"/>
      </rPr>
      <t xml:space="preserve">금강 포구 시절의 창고와 은행 건물이 남은 거리</t>
    </r>
    <r>
      <rPr>
        <sz val="10"/>
        <rFont val="Arial"/>
        <family val="0"/>
        <charset val="1"/>
      </rPr>
      <t xml:space="preserve">.</t>
    </r>
  </si>
  <si>
    <t xml:space="preserve">강구안</t>
  </si>
  <si>
    <t xml:space="preserve">Gangguan</t>
  </si>
  <si>
    <r>
      <rPr>
        <sz val="10"/>
        <rFont val="Noto Sans CJK SC"/>
        <family val="2"/>
      </rPr>
      <t xml:space="preserve">어선이 드나드는 도심 포구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거북선 모형이 떠 있다</t>
    </r>
    <r>
      <rPr>
        <sz val="10"/>
        <rFont val="Arial"/>
        <family val="0"/>
        <charset val="1"/>
      </rPr>
      <t xml:space="preserve">.</t>
    </r>
  </si>
  <si>
    <t xml:space="preserve">인천</t>
  </si>
  <si>
    <t xml:space="preserve">강화 광성보</t>
  </si>
  <si>
    <t xml:space="preserve">Gwangseongbo Fort</t>
  </si>
  <si>
    <r>
      <rPr>
        <sz val="10"/>
        <rFont val="Noto Sans CJK SC"/>
        <family val="2"/>
      </rPr>
      <t xml:space="preserve">신미양요의 격전지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돈대와 성벽이 해안을 따라 남아 있다</t>
    </r>
    <r>
      <rPr>
        <sz val="10"/>
        <rFont val="Arial"/>
        <family val="0"/>
        <charset val="1"/>
      </rPr>
      <t xml:space="preserve">.</t>
    </r>
  </si>
  <si>
    <t xml:space="preserve">강릉</t>
  </si>
  <si>
    <t xml:space="preserve">경포호</t>
  </si>
  <si>
    <t xml:space="preserve">Gyeongpo Lake</t>
  </si>
  <si>
    <r>
      <rPr>
        <sz val="10"/>
        <rFont val="Noto Sans CJK SC"/>
        <family val="2"/>
      </rPr>
      <t xml:space="preserve">해변 뒤 석호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둘레 </t>
    </r>
    <r>
      <rPr>
        <sz val="10"/>
        <rFont val="Arial"/>
        <family val="0"/>
        <charset val="1"/>
      </rPr>
      <t xml:space="preserve">4.3km </t>
    </r>
    <r>
      <rPr>
        <sz val="10"/>
        <rFont val="Noto Sans CJK SC"/>
        <family val="2"/>
      </rPr>
      <t xml:space="preserve">산책로가 돈다</t>
    </r>
    <r>
      <rPr>
        <sz val="10"/>
        <rFont val="Arial"/>
        <family val="0"/>
        <charset val="1"/>
      </rPr>
      <t xml:space="preserve">.</t>
    </r>
  </si>
  <si>
    <t xml:space="preserve">공산성 권역 한옥</t>
  </si>
  <si>
    <t xml:space="preserve">Gongsanseong hanok stays</t>
  </si>
  <si>
    <t xml:space="preserve">원래 분류 없음 → 규칙으로 채움</t>
  </si>
  <si>
    <t xml:space="preserve">광한루 권역 한옥</t>
  </si>
  <si>
    <t xml:space="preserve">Gwanghallu hanok stays</t>
  </si>
  <si>
    <t xml:space="preserve">포항</t>
  </si>
  <si>
    <t xml:space="preserve">구룡포 근대문화역사거리</t>
  </si>
  <si>
    <t xml:space="preserve">Guryongpo Modern History Street</t>
  </si>
  <si>
    <r>
      <rPr>
        <sz val="10"/>
        <rFont val="Noto Sans CJK SC"/>
        <family val="2"/>
      </rPr>
      <t xml:space="preserve">일본식 가옥이 남은 항구 거리</t>
    </r>
    <r>
      <rPr>
        <sz val="10"/>
        <rFont val="Arial"/>
        <family val="0"/>
        <charset val="1"/>
      </rPr>
      <t xml:space="preserve">.</t>
    </r>
  </si>
  <si>
    <t xml:space="preserve">근포동굴</t>
  </si>
  <si>
    <t xml:space="preserve">Geunpo Cave</t>
  </si>
  <si>
    <r>
      <rPr>
        <sz val="10"/>
        <rFont val="Noto Sans CJK SC"/>
        <family val="2"/>
      </rPr>
      <t xml:space="preserve">일제강점기에 판 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바다로 난 프레임이 된다</t>
    </r>
    <r>
      <rPr>
        <sz val="10"/>
        <rFont val="Arial"/>
        <family val="0"/>
        <charset val="1"/>
      </rPr>
      <t xml:space="preserve">.</t>
    </r>
  </si>
  <si>
    <t xml:space="preserve">여수</t>
  </si>
  <si>
    <t xml:space="preserve">금오도 비렁길</t>
  </si>
  <si>
    <t xml:space="preserve">Geumodo Cliff Trail</t>
  </si>
  <si>
    <r>
      <rPr>
        <sz val="10"/>
        <rFont val="Noto Sans CJK SC"/>
        <family val="2"/>
      </rPr>
      <t xml:space="preserve">벼랑을 따라 이어지는 섬 해안길</t>
    </r>
    <r>
      <rPr>
        <sz val="10"/>
        <rFont val="Arial"/>
        <family val="0"/>
        <charset val="1"/>
      </rPr>
      <t xml:space="preserve">.</t>
    </r>
  </si>
  <si>
    <t xml:space="preserve">하동</t>
  </si>
  <si>
    <t xml:space="preserve">금오산 짚와이어</t>
  </si>
  <si>
    <t xml:space="preserve">Geumosan Zip Wire</t>
  </si>
  <si>
    <r>
      <rPr>
        <sz val="10"/>
        <rFont val="Noto Sans CJK SC"/>
        <family val="2"/>
      </rPr>
      <t xml:space="preserve">남해 바다를 보며 내려오는 국내 최장급 짚라인</t>
    </r>
    <r>
      <rPr>
        <sz val="10"/>
        <rFont val="Arial"/>
        <family val="0"/>
        <charset val="1"/>
      </rPr>
      <t xml:space="preserve">.</t>
    </r>
  </si>
  <si>
    <t xml:space="preserve">나리분지 민박</t>
  </si>
  <si>
    <t xml:space="preserve">Nari Basin guesthouses</t>
  </si>
  <si>
    <t xml:space="preserve">춘천</t>
  </si>
  <si>
    <t xml:space="preserve">남이섬</t>
  </si>
  <si>
    <t xml:space="preserve">Nami Island</t>
  </si>
  <si>
    <r>
      <rPr>
        <sz val="10"/>
        <rFont val="Noto Sans CJK SC"/>
        <family val="2"/>
      </rPr>
      <t xml:space="preserve">메타세쿼이아 길로 알려진 강 위의 섬</t>
    </r>
    <r>
      <rPr>
        <sz val="10"/>
        <rFont val="Arial"/>
        <family val="0"/>
        <charset val="1"/>
      </rPr>
      <t xml:space="preserve">.</t>
    </r>
  </si>
  <si>
    <t xml:space="preserve">남해</t>
  </si>
  <si>
    <t xml:space="preserve">남해 독일마을</t>
  </si>
  <si>
    <t xml:space="preserve">Namhae German Village</t>
  </si>
  <si>
    <r>
      <rPr>
        <sz val="10"/>
        <rFont val="Noto Sans CJK SC"/>
        <family val="2"/>
      </rPr>
      <t xml:space="preserve">파독 광부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간호사가 돌아와 이룬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붉은 지붕이 바다를 본다</t>
    </r>
    <r>
      <rPr>
        <sz val="10"/>
        <rFont val="Arial"/>
        <family val="0"/>
        <charset val="1"/>
      </rPr>
      <t xml:space="preserve">.</t>
    </r>
  </si>
  <si>
    <t xml:space="preserve">남해 바래길</t>
  </si>
  <si>
    <t xml:space="preserve">Namhae Barae-gil Trail</t>
  </si>
  <si>
    <r>
      <rPr>
        <sz val="10"/>
        <rFont val="Noto Sans CJK SC"/>
        <family val="2"/>
      </rPr>
      <t xml:space="preserve">갯벌로 나가던 옛 길을 이은 해안 도보길</t>
    </r>
    <r>
      <rPr>
        <sz val="10"/>
        <rFont val="Arial"/>
        <family val="0"/>
        <charset val="1"/>
      </rPr>
      <t xml:space="preserve">.</t>
    </r>
  </si>
  <si>
    <t xml:space="preserve">낭만포차거리</t>
  </si>
  <si>
    <t xml:space="preserve">Nangman Pojang Street</t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</si>
  <si>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야경</t>
    </r>
  </si>
  <si>
    <r>
      <rPr>
        <sz val="10"/>
        <rFont val="Noto Sans CJK SC"/>
        <family val="2"/>
      </rPr>
      <t xml:space="preserve">밤바다를 따라 늘어선 포장마차 거리</t>
    </r>
    <r>
      <rPr>
        <sz val="10"/>
        <rFont val="Arial"/>
        <family val="0"/>
        <charset val="1"/>
      </rPr>
      <t xml:space="preserve">.</t>
    </r>
  </si>
  <si>
    <t xml:space="preserve">창원</t>
  </si>
  <si>
    <t xml:space="preserve">마산어시장</t>
  </si>
  <si>
    <t xml:space="preserve">Masan Fish Market</t>
  </si>
  <si>
    <r>
      <rPr>
        <sz val="10"/>
        <rFont val="Noto Sans CJK SC"/>
        <family val="2"/>
      </rPr>
      <t xml:space="preserve">아귀찜과 활어로 알려진 항구 시장</t>
    </r>
    <r>
      <rPr>
        <sz val="10"/>
        <rFont val="Arial"/>
        <family val="0"/>
        <charset val="1"/>
      </rPr>
      <t xml:space="preserve">.</t>
    </r>
  </si>
  <si>
    <t xml:space="preserve">망상해변 한옥마을</t>
  </si>
  <si>
    <t xml:space="preserve">Mangsang Beach hanok village</t>
  </si>
  <si>
    <r>
      <rPr>
        <sz val="10"/>
        <rFont val="Noto Sans CJK SC"/>
        <family val="2"/>
      </rPr>
      <t xml:space="preserve">원래 분류 없음 → 규칙으로 채움</t>
    </r>
    <r>
      <rPr>
        <sz val="10"/>
        <rFont val="Arial"/>
        <family val="0"/>
        <charset val="1"/>
      </rPr>
      <t xml:space="preserve">; </t>
    </r>
    <r>
      <rPr>
        <sz val="10"/>
        <rFont val="Noto Sans CJK SC"/>
        <family val="2"/>
      </rPr>
      <t xml:space="preserve">키워드로 보조 지정</t>
    </r>
  </si>
  <si>
    <t xml:space="preserve">목포</t>
  </si>
  <si>
    <t xml:space="preserve">목포 항구포차</t>
  </si>
  <si>
    <t xml:space="preserve">Mokpo Harbour Food Carts</t>
  </si>
  <si>
    <r>
      <rPr>
        <sz val="10"/>
        <rFont val="Noto Sans CJK SC"/>
        <family val="2"/>
      </rPr>
      <t xml:space="preserve">항구를 따라 늘어선 밤 포차 거리</t>
    </r>
    <r>
      <rPr>
        <sz val="10"/>
        <rFont val="Arial"/>
        <family val="0"/>
        <charset val="1"/>
      </rPr>
      <t xml:space="preserve">.</t>
    </r>
  </si>
  <si>
    <t xml:space="preserve">물건리 방조어부림</t>
  </si>
  <si>
    <t xml:space="preserve">Mulgeon-ri Windbreak Forest</t>
  </si>
  <si>
    <r>
      <rPr>
        <sz val="10"/>
        <rFont val="Noto Sans CJK SC"/>
        <family val="2"/>
      </rPr>
      <t xml:space="preserve">바닷바람을 막으려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년 전 심은 해안 숲</t>
    </r>
    <r>
      <rPr>
        <sz val="10"/>
        <rFont val="Arial"/>
        <family val="0"/>
        <charset val="1"/>
      </rPr>
      <t xml:space="preserve">.</t>
    </r>
  </si>
  <si>
    <t xml:space="preserve">미륵산 정상 전망대</t>
  </si>
  <si>
    <t xml:space="preserve">Mireuksan Summit Lookout</t>
  </si>
  <si>
    <r>
      <rPr>
        <sz val="10"/>
        <rFont val="Noto Sans CJK SC"/>
        <family val="2"/>
      </rPr>
      <t xml:space="preserve">한려수도의 섬들이 한눈에 들어오는 봉우리</t>
    </r>
    <r>
      <rPr>
        <sz val="10"/>
        <rFont val="Arial"/>
        <family val="0"/>
        <charset val="1"/>
      </rPr>
      <t xml:space="preserve">.</t>
    </r>
  </si>
  <si>
    <t xml:space="preserve">보리암</t>
  </si>
  <si>
    <t xml:space="preserve">Boriam Hermitage</t>
  </si>
  <si>
    <r>
      <rPr>
        <sz val="10"/>
        <rFont val="Noto Sans CJK SC"/>
        <family val="2"/>
      </rPr>
      <t xml:space="preserve">금산 정상 아래 암자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남해 바다가 펼쳐진다</t>
    </r>
    <r>
      <rPr>
        <sz val="10"/>
        <rFont val="Arial"/>
        <family val="0"/>
        <charset val="1"/>
      </rPr>
      <t xml:space="preserve">.</t>
    </r>
  </si>
  <si>
    <t xml:space="preserve">사량도</t>
  </si>
  <si>
    <t xml:space="preserve">Saryangdo</t>
  </si>
  <si>
    <r>
      <rPr>
        <sz val="10"/>
        <rFont val="Noto Sans CJK SC"/>
        <family val="2"/>
      </rPr>
      <t xml:space="preserve">지리산 능선 종주로 알려진 섬</t>
    </r>
    <r>
      <rPr>
        <sz val="10"/>
        <rFont val="Arial"/>
        <family val="0"/>
        <charset val="1"/>
      </rPr>
      <t xml:space="preserve">.</t>
    </r>
  </si>
  <si>
    <t xml:space="preserve">삼학도</t>
  </si>
  <si>
    <t xml:space="preserve">Samhakdo</t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</si>
  <si>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실내</t>
    </r>
  </si>
  <si>
    <r>
      <rPr>
        <sz val="10"/>
        <rFont val="Noto Sans CJK SC"/>
        <family val="2"/>
      </rPr>
      <t xml:space="preserve">김대중노벨평화상기념관이 있는 섬 공원</t>
    </r>
    <r>
      <rPr>
        <sz val="10"/>
        <rFont val="Arial"/>
        <family val="0"/>
        <charset val="1"/>
      </rPr>
      <t xml:space="preserve">.</t>
    </r>
  </si>
  <si>
    <t xml:space="preserve">울산</t>
  </si>
  <si>
    <t xml:space="preserve">서생포왜성</t>
  </si>
  <si>
    <t xml:space="preserve">Seosaengpo Japanese Fortress</t>
  </si>
  <si>
    <r>
      <rPr>
        <sz val="10"/>
        <rFont val="Noto Sans CJK SC"/>
        <family val="2"/>
      </rPr>
      <t xml:space="preserve">임진왜란 때 쌓은 해안 성곽</t>
    </r>
    <r>
      <rPr>
        <sz val="10"/>
        <rFont val="Arial"/>
        <family val="0"/>
        <charset val="1"/>
      </rPr>
      <t xml:space="preserve">.</t>
    </r>
  </si>
  <si>
    <t xml:space="preserve">석모도 미네랄온천</t>
  </si>
  <si>
    <t xml:space="preserve">Seongmodo Mineral Spa</t>
  </si>
  <si>
    <r>
      <rPr>
        <sz val="10"/>
        <rFont val="Noto Sans CJK SC"/>
        <family val="2"/>
      </rPr>
      <t xml:space="preserve">바다를 보며 몸을 담그는 노천 온천</t>
    </r>
    <r>
      <rPr>
        <sz val="10"/>
        <rFont val="Arial"/>
        <family val="0"/>
        <charset val="1"/>
      </rPr>
      <t xml:space="preserve">.</t>
    </r>
  </si>
  <si>
    <t xml:space="preserve">울릉</t>
  </si>
  <si>
    <t xml:space="preserve">성인봉</t>
  </si>
  <si>
    <t xml:space="preserve">Seonginbong Peak</t>
  </si>
  <si>
    <r>
      <rPr>
        <sz val="10"/>
        <rFont val="Noto Sans CJK SC"/>
        <family val="2"/>
      </rPr>
      <t xml:space="preserve">섬 한가운데 솟은 최고봉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원시림을 지나 오른다</t>
    </r>
    <r>
      <rPr>
        <sz val="10"/>
        <rFont val="Arial"/>
        <family val="0"/>
        <charset val="1"/>
      </rPr>
      <t xml:space="preserve">.</t>
    </r>
  </si>
  <si>
    <t xml:space="preserve">서울</t>
  </si>
  <si>
    <t xml:space="preserve">세빛섬</t>
  </si>
  <si>
    <t xml:space="preserve">Some Sevit</t>
  </si>
  <si>
    <r>
      <rPr>
        <sz val="10"/>
        <rFont val="Noto Sans CJK SC"/>
        <family val="2"/>
      </rPr>
      <t xml:space="preserve">반포한강공원의 인공섬 문화시설</t>
    </r>
    <r>
      <rPr>
        <sz val="10"/>
        <rFont val="Arial"/>
        <family val="0"/>
        <charset val="1"/>
      </rPr>
      <t xml:space="preserve">.</t>
    </r>
  </si>
  <si>
    <t xml:space="preserve">세종</t>
  </si>
  <si>
    <t xml:space="preserve">세종호수공원</t>
  </si>
  <si>
    <t xml:space="preserve">Sejong Lake Park</t>
  </si>
  <si>
    <r>
      <rPr>
        <sz val="10"/>
        <rFont val="Noto Sans CJK SC"/>
        <family val="2"/>
      </rPr>
      <t xml:space="preserve">국내 최대 인공호수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수상무대섬이 있다</t>
    </r>
    <r>
      <rPr>
        <sz val="10"/>
        <rFont val="Arial"/>
        <family val="0"/>
        <charset val="1"/>
      </rPr>
      <t xml:space="preserve">.</t>
    </r>
  </si>
  <si>
    <t xml:space="preserve">부산</t>
  </si>
  <si>
    <t xml:space="preserve">아난티 코브</t>
  </si>
  <si>
    <t xml:space="preserve">Ananti Cove</t>
  </si>
  <si>
    <r>
      <rPr>
        <sz val="10"/>
        <rFont val="Noto Sans CJK SC"/>
        <family val="2"/>
      </rPr>
      <t xml:space="preserve">해안 절벽에 선 리조트와 서점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온천</t>
    </r>
    <r>
      <rPr>
        <sz val="10"/>
        <rFont val="Arial"/>
        <family val="0"/>
        <charset val="1"/>
      </rPr>
      <t xml:space="preserve">.</t>
    </r>
  </si>
  <si>
    <t xml:space="preserve">여수해양공원</t>
  </si>
  <si>
    <t xml:space="preserve">Yeosu Maritime Park</t>
  </si>
  <si>
    <r>
      <rPr>
        <sz val="10"/>
        <rFont val="Noto Sans CJK SC"/>
        <family val="2"/>
      </rPr>
      <t xml:space="preserve">항구를 따라 난 해안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밤바다 노래의 무대다</t>
    </r>
    <r>
      <rPr>
        <sz val="10"/>
        <rFont val="Arial"/>
        <family val="0"/>
        <charset val="1"/>
      </rPr>
      <t xml:space="preserve">.</t>
    </r>
  </si>
  <si>
    <t xml:space="preserve">연오랑세오녀 테마공원</t>
  </si>
  <si>
    <t xml:space="preserve">Yeonorang Seonyeo Park</t>
  </si>
  <si>
    <r>
      <rPr>
        <sz val="10"/>
        <rFont val="Noto Sans CJK SC"/>
        <family val="2"/>
      </rPr>
      <t xml:space="preserve">삼국유사 설화를 옮겨 놓은 해안 공원</t>
    </r>
    <r>
      <rPr>
        <sz val="10"/>
        <rFont val="Arial"/>
        <family val="0"/>
        <charset val="1"/>
      </rPr>
      <t xml:space="preserve">.</t>
    </r>
  </si>
  <si>
    <t xml:space="preserve">예술의섬 장도</t>
  </si>
  <si>
    <t xml:space="preserve">Jangdo Art Island</t>
  </si>
  <si>
    <r>
      <rPr>
        <sz val="10"/>
        <rFont val="Noto Sans CJK SC"/>
        <family val="2"/>
      </rPr>
      <t xml:space="preserve">썰물에 길이 열리는 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창작 섬</t>
    </r>
    <r>
      <rPr>
        <sz val="10"/>
        <rFont val="Arial"/>
        <family val="0"/>
        <charset val="1"/>
      </rPr>
      <t xml:space="preserve">.</t>
    </r>
  </si>
  <si>
    <t xml:space="preserve">해남</t>
  </si>
  <si>
    <t xml:space="preserve">우수영관광지</t>
  </si>
  <si>
    <t xml:space="preserve">Uisuyeong Site</t>
  </si>
  <si>
    <r>
      <rPr>
        <sz val="10"/>
        <rFont val="Noto Sans CJK SC"/>
        <family val="2"/>
      </rPr>
      <t xml:space="preserve">명량대첩의 바다를 마주한 유적지</t>
    </r>
    <r>
      <rPr>
        <sz val="10"/>
        <rFont val="Arial"/>
        <family val="0"/>
        <charset val="1"/>
      </rPr>
      <t xml:space="preserve">.</t>
    </r>
  </si>
  <si>
    <t xml:space="preserve">울릉 예림원</t>
  </si>
  <si>
    <t xml:space="preserve">Yerimwon Garden</t>
  </si>
  <si>
    <r>
      <rPr>
        <sz val="10"/>
        <rFont val="Noto Sans CJK SC"/>
        <family val="2"/>
      </rPr>
      <t xml:space="preserve">바다를 내려다보는 수석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야생화 정원</t>
    </r>
    <r>
      <rPr>
        <sz val="10"/>
        <rFont val="Arial"/>
        <family val="0"/>
        <charset val="1"/>
      </rPr>
      <t xml:space="preserve">.</t>
    </r>
  </si>
  <si>
    <t xml:space="preserve">월미도</t>
  </si>
  <si>
    <t xml:space="preserve">Wolmido</t>
  </si>
  <si>
    <r>
      <rPr>
        <sz val="10"/>
        <rFont val="Noto Sans CJK SC"/>
        <family val="2"/>
      </rPr>
      <t xml:space="preserve">문화의거리와 놀이공원이 있는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유람선이 뜬다</t>
    </r>
    <r>
      <rPr>
        <sz val="10"/>
        <rFont val="Arial"/>
        <family val="0"/>
        <charset val="1"/>
      </rPr>
      <t xml:space="preserve">.</t>
    </r>
  </si>
  <si>
    <t xml:space="preserve">밀양</t>
  </si>
  <si>
    <t xml:space="preserve">위양지</t>
  </si>
  <si>
    <t xml:space="preserve">Wiyangji Pond</t>
  </si>
  <si>
    <r>
      <rPr>
        <sz val="10"/>
        <rFont val="Noto Sans CJK SC"/>
        <family val="2"/>
      </rPr>
      <t xml:space="preserve">이팝나무가 피는 연못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완재정이 섬에 있다</t>
    </r>
    <r>
      <rPr>
        <sz val="10"/>
        <rFont val="Arial"/>
        <family val="0"/>
        <charset val="1"/>
      </rPr>
      <t xml:space="preserve">.</t>
    </r>
  </si>
  <si>
    <t xml:space="preserve">이순신공원</t>
  </si>
  <si>
    <t xml:space="preserve">Yi Sun-sin Park</t>
  </si>
  <si>
    <r>
      <rPr>
        <sz val="10"/>
        <rFont val="Noto Sans CJK SC"/>
        <family val="2"/>
      </rPr>
      <t xml:space="preserve">한산대첩 해역을 마주한 해안 공원</t>
    </r>
    <r>
      <rPr>
        <sz val="10"/>
        <rFont val="Arial"/>
        <family val="0"/>
        <charset val="1"/>
      </rPr>
      <t xml:space="preserve">.</t>
    </r>
  </si>
  <si>
    <t xml:space="preserve">이순신광장</t>
  </si>
  <si>
    <t xml:space="preserve">Yi Sun-sin Square</t>
  </si>
  <si>
    <r>
      <rPr>
        <sz val="10"/>
        <rFont val="Noto Sans CJK SC"/>
        <family val="2"/>
      </rPr>
      <t xml:space="preserve">거북선 모형이 선 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밤바다 산책의 시작점이다</t>
    </r>
    <r>
      <rPr>
        <sz val="10"/>
        <rFont val="Arial"/>
        <family val="0"/>
        <charset val="1"/>
      </rPr>
      <t xml:space="preserve">.</t>
    </r>
  </si>
  <si>
    <t xml:space="preserve">가평</t>
  </si>
  <si>
    <t xml:space="preserve">자라섬</t>
  </si>
  <si>
    <t xml:space="preserve">Jaraseom Island</t>
  </si>
  <si>
    <r>
      <rPr>
        <sz val="10"/>
        <rFont val="Noto Sans CJK SC"/>
        <family val="2"/>
      </rPr>
      <t xml:space="preserve">재즈 페스티벌이 열리는 강 위의 섬</t>
    </r>
    <r>
      <rPr>
        <sz val="10"/>
        <rFont val="Arial"/>
        <family val="0"/>
        <charset val="1"/>
      </rPr>
      <t xml:space="preserve">.</t>
    </r>
  </si>
  <si>
    <t xml:space="preserve">자유공원</t>
  </si>
  <si>
    <t xml:space="preserve">Jayu Park</t>
  </si>
  <si>
    <r>
      <rPr>
        <sz val="10"/>
        <rFont val="Arial"/>
        <family val="0"/>
        <charset val="1"/>
      </rPr>
      <t xml:space="preserve">1888</t>
    </r>
    <r>
      <rPr>
        <sz val="10"/>
        <rFont val="Noto Sans CJK SC"/>
        <family val="2"/>
      </rPr>
      <t xml:space="preserve">년에 연 한국 최초의 서구식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항구가 내려다보인다</t>
    </r>
    <r>
      <rPr>
        <sz val="10"/>
        <rFont val="Arial"/>
        <family val="0"/>
        <charset val="1"/>
      </rPr>
      <t xml:space="preserve">.</t>
    </r>
  </si>
  <si>
    <t xml:space="preserve">서천</t>
  </si>
  <si>
    <t xml:space="preserve">장항송림산림욕장</t>
  </si>
  <si>
    <t xml:space="preserve">Janghang Pine Forest</t>
  </si>
  <si>
    <r>
      <rPr>
        <sz val="10"/>
        <rFont val="Noto Sans CJK SC"/>
        <family val="2"/>
      </rPr>
      <t xml:space="preserve">바다를 낀 솔숲과 스카이워크</t>
    </r>
    <r>
      <rPr>
        <sz val="10"/>
        <rFont val="Arial"/>
        <family val="0"/>
        <charset val="1"/>
      </rPr>
      <t xml:space="preserve">.</t>
    </r>
  </si>
  <si>
    <t xml:space="preserve">저도 콰이강의다리</t>
  </si>
  <si>
    <t xml:space="preserve">Jeodo Skywalk Bridge</t>
  </si>
  <si>
    <r>
      <rPr>
        <sz val="10"/>
        <rFont val="Noto Sans CJK SC"/>
        <family val="2"/>
      </rPr>
      <t xml:space="preserve">바다를 건너는 유리 바닥 보행교</t>
    </r>
    <r>
      <rPr>
        <sz val="10"/>
        <rFont val="Arial"/>
        <family val="0"/>
        <charset val="1"/>
      </rPr>
      <t xml:space="preserve">.</t>
    </r>
  </si>
  <si>
    <t xml:space="preserve">죽도시장</t>
  </si>
  <si>
    <t xml:space="preserve">Jukdo Market</t>
  </si>
  <si>
    <r>
      <rPr>
        <sz val="10"/>
        <rFont val="Noto Sans CJK SC"/>
        <family val="2"/>
      </rPr>
      <t xml:space="preserve">동해안 최대 어시장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과메기와 물회가 난다</t>
    </r>
    <r>
      <rPr>
        <sz val="10"/>
        <rFont val="Arial"/>
        <family val="0"/>
        <charset val="1"/>
      </rPr>
      <t xml:space="preserve">.</t>
    </r>
  </si>
  <si>
    <t xml:space="preserve">군산</t>
  </si>
  <si>
    <t xml:space="preserve">진포해양테마공원</t>
  </si>
  <si>
    <t xml:space="preserve">Jinpo Maritime Park</t>
  </si>
  <si>
    <r>
      <rPr>
        <sz val="10"/>
        <rFont val="Noto Sans CJK SC"/>
        <family val="2"/>
      </rPr>
      <t xml:space="preserve">실물 군용 장비를 전시한 항구 공원</t>
    </r>
    <r>
      <rPr>
        <sz val="10"/>
        <rFont val="Arial"/>
        <family val="0"/>
        <charset val="1"/>
      </rPr>
      <t xml:space="preserve">.</t>
    </r>
  </si>
  <si>
    <t xml:space="preserve">태하 향목관광모노레일</t>
  </si>
  <si>
    <t xml:space="preserve">Taeha Monorail</t>
  </si>
  <si>
    <r>
      <rPr>
        <sz val="10"/>
        <rFont val="Noto Sans CJK SC"/>
        <family val="2"/>
      </rPr>
      <t xml:space="preserve">태하 등대와 절벽 전망대로 오르는 모노레일</t>
    </r>
    <r>
      <rPr>
        <sz val="10"/>
        <rFont val="Arial"/>
        <family val="0"/>
        <charset val="1"/>
      </rPr>
      <t xml:space="preserve">.</t>
    </r>
  </si>
  <si>
    <t xml:space="preserve">통영 수산과학관</t>
  </si>
  <si>
    <t xml:space="preserve">Tongyeong Marine Science Museum</t>
  </si>
  <si>
    <r>
      <rPr>
        <sz val="10"/>
        <rFont val="Noto Sans CJK SC"/>
        <family val="2"/>
      </rPr>
      <t xml:space="preserve">달아공원 옆 바다 생태 전시관</t>
    </r>
    <r>
      <rPr>
        <sz val="10"/>
        <rFont val="Arial"/>
        <family val="0"/>
        <charset val="1"/>
      </rPr>
      <t xml:space="preserve">.</t>
    </r>
  </si>
  <si>
    <t xml:space="preserve">통영국제음악당</t>
  </si>
  <si>
    <t xml:space="preserve">Tongyeong Concert Hall</t>
  </si>
  <si>
    <r>
      <rPr>
        <sz val="10"/>
        <rFont val="Noto Sans CJK SC"/>
        <family val="2"/>
      </rPr>
      <t xml:space="preserve">윤이상을 기리는 바다 곁 콘서트홀</t>
    </r>
    <r>
      <rPr>
        <sz val="10"/>
        <rFont val="Arial"/>
        <family val="0"/>
        <charset val="1"/>
      </rPr>
      <t xml:space="preserve">.</t>
    </r>
  </si>
  <si>
    <t xml:space="preserve">통영중앙시장</t>
  </si>
  <si>
    <t xml:space="preserve">Tongyeong Jungang Market</t>
  </si>
  <si>
    <r>
      <rPr>
        <sz val="10"/>
        <rFont val="Noto Sans CJK SC"/>
        <family val="2"/>
      </rPr>
      <t xml:space="preserve">활어와 충무김밥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꿀빵이 모인 항구 시장</t>
    </r>
    <r>
      <rPr>
        <sz val="10"/>
        <rFont val="Arial"/>
        <family val="0"/>
        <charset val="1"/>
      </rPr>
      <t xml:space="preserve">.</t>
    </r>
  </si>
  <si>
    <t xml:space="preserve">신안</t>
  </si>
  <si>
    <t xml:space="preserve">퍼플섬 반월도</t>
  </si>
  <si>
    <t xml:space="preserve">Purple Island</t>
  </si>
  <si>
    <r>
      <rPr>
        <sz val="10"/>
        <rFont val="Noto Sans CJK SC"/>
        <family val="2"/>
      </rPr>
      <t xml:space="preserve">다리와 지붕을 보라색으로 칠한 섬</t>
    </r>
    <r>
      <rPr>
        <sz val="10"/>
        <rFont val="Arial"/>
        <family val="0"/>
        <charset val="1"/>
      </rPr>
      <t xml:space="preserve">.</t>
    </r>
  </si>
  <si>
    <t xml:space="preserve">하동 송림공원</t>
  </si>
  <si>
    <t xml:space="preserve">Hadong Pine Grove</t>
  </si>
  <si>
    <r>
      <rPr>
        <sz val="10"/>
        <rFont val="Noto Sans CJK SC"/>
        <family val="2"/>
      </rPr>
      <t xml:space="preserve">섬진강 백사장을 등진 노송 숲</t>
    </r>
    <r>
      <rPr>
        <sz val="10"/>
        <rFont val="Arial"/>
        <family val="0"/>
        <charset val="1"/>
      </rPr>
      <t xml:space="preserve">.</t>
    </r>
  </si>
  <si>
    <t xml:space="preserve">하동 스카이워크</t>
  </si>
  <si>
    <t xml:space="preserve">Hadong Skywalk</t>
  </si>
  <si>
    <r>
      <rPr>
        <sz val="10"/>
        <rFont val="Noto Sans CJK SC"/>
        <family val="2"/>
      </rPr>
      <t xml:space="preserve">섬진강 위로 뻗은 유리 전망대</t>
    </r>
    <r>
      <rPr>
        <sz val="10"/>
        <rFont val="Arial"/>
        <family val="0"/>
        <charset val="1"/>
      </rPr>
      <t xml:space="preserve">.</t>
    </r>
  </si>
  <si>
    <t xml:space="preserve">하슬라아트월드</t>
  </si>
  <si>
    <t xml:space="preserve">Haslla Art World</t>
  </si>
  <si>
    <r>
      <rPr>
        <sz val="10"/>
        <rFont val="Noto Sans CJK SC"/>
        <family val="2"/>
      </rPr>
      <t xml:space="preserve">바다를 낀 조각공원과 미술관</t>
    </r>
    <r>
      <rPr>
        <sz val="10"/>
        <rFont val="Arial"/>
        <family val="0"/>
        <charset val="1"/>
      </rPr>
      <t xml:space="preserve">.</t>
    </r>
  </si>
  <si>
    <t xml:space="preserve">제주</t>
  </si>
  <si>
    <t xml:space="preserve">함덕 서우봉</t>
  </si>
  <si>
    <t xml:space="preserve">Seoubong Hill</t>
  </si>
  <si>
    <r>
      <rPr>
        <sz val="10"/>
        <rFont val="Noto Sans CJK SC"/>
        <family val="2"/>
      </rPr>
      <t xml:space="preserve">함덕해변을 내려다보는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봄에 유채가 핀다</t>
    </r>
    <r>
      <rPr>
        <sz val="10"/>
        <rFont val="Arial"/>
        <family val="0"/>
        <charset val="1"/>
      </rPr>
      <t xml:space="preserve">.</t>
    </r>
  </si>
  <si>
    <t xml:space="preserve">화개장터</t>
  </si>
  <si>
    <t xml:space="preserve">Hwagae Market</t>
  </si>
  <si>
    <r>
      <rPr>
        <sz val="10"/>
        <rFont val="Noto Sans CJK SC"/>
        <family val="2"/>
      </rPr>
      <t xml:space="preserve">섬진강을 사이에 둔 영호남 경계의 장터</t>
    </r>
    <r>
      <rPr>
        <sz val="10"/>
        <rFont val="Arial"/>
        <family val="0"/>
        <charset val="1"/>
      </rPr>
      <t xml:space="preserve">.</t>
    </r>
  </si>
  <si>
    <t xml:space="preserve">환호공원</t>
  </si>
  <si>
    <t xml:space="preserve">Hwanho Park</t>
  </si>
  <si>
    <r>
      <rPr>
        <sz val="10"/>
        <rFont val="Noto Sans CJK SC"/>
        <family val="2"/>
      </rPr>
      <t xml:space="preserve">스페이스워크가 놓인 바다 전망 언덕 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</si>
  <si>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1100</t>
    </r>
    <r>
      <rPr>
        <sz val="10"/>
        <rFont val="Noto Sans CJK SC"/>
        <family val="2"/>
      </rPr>
      <t xml:space="preserve">고지 습지</t>
    </r>
  </si>
  <si>
    <t xml:space="preserve">1100 Highland Wetland</t>
  </si>
  <si>
    <t xml:space="preserve">촬영명소</t>
  </si>
  <si>
    <r>
      <rPr>
        <sz val="10"/>
        <rFont val="Noto Sans CJK SC"/>
        <family val="2"/>
      </rPr>
      <t xml:space="preserve">람사르 습지로 등록된 고지대 늪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 눈이 가장 먼저 쌓인다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</si>
  <si>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63</t>
    </r>
    <r>
      <rPr>
        <sz val="10"/>
        <rFont val="Noto Sans CJK SC"/>
        <family val="2"/>
      </rPr>
      <t xml:space="preserve">빌딩</t>
    </r>
  </si>
  <si>
    <t xml:space="preserve">63 Building</t>
  </si>
  <si>
    <t xml:space="preserve">키워드로 보조 지정</t>
  </si>
  <si>
    <r>
      <rPr>
        <sz val="10"/>
        <rFont val="Noto Sans CJK SC"/>
        <family val="2"/>
      </rPr>
      <t xml:space="preserve">한강변 금빛 고층 건물</t>
    </r>
    <r>
      <rPr>
        <sz val="10"/>
        <rFont val="Arial"/>
        <family val="0"/>
        <charset val="1"/>
      </rPr>
      <t xml:space="preserve">. 60</t>
    </r>
    <r>
      <rPr>
        <sz val="10"/>
        <rFont val="Noto Sans CJK SC"/>
        <family val="2"/>
      </rPr>
      <t xml:space="preserve">층 전망대에서 서울 서남부가 내려다보인다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</si>
  <si>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파일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케이팝 데몬 헌터스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</si>
  <si>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K-POP SQUARE (</t>
    </r>
    <r>
      <rPr>
        <sz val="10"/>
        <rFont val="Noto Sans CJK SC"/>
        <family val="2"/>
      </rPr>
      <t xml:space="preserve">삼성역 전광판</t>
    </r>
    <r>
      <rPr>
        <sz val="10"/>
        <rFont val="Arial"/>
        <family val="0"/>
        <charset val="1"/>
      </rPr>
      <t xml:space="preserve">)</t>
    </r>
  </si>
  <si>
    <t xml:space="preserve">K-POP SQUARE Media</t>
  </si>
  <si>
    <r>
      <rPr>
        <sz val="10"/>
        <rFont val="Noto Sans CJK SC"/>
        <family val="2"/>
      </rPr>
      <t xml:space="preserve">코엑스 외벽의 대형 곡면 전광판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도시 전체가 화면이 되는 장면의 출발점으로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삼성역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번 출구 앞 광장에서 정면으로 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</si>
  <si>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K-</t>
    </r>
    <r>
      <rPr>
        <sz val="10"/>
        <rFont val="Noto Sans CJK SC"/>
        <family val="2"/>
      </rPr>
      <t xml:space="preserve">스타로드</t>
    </r>
  </si>
  <si>
    <t xml:space="preserve">K-Star Road</t>
  </si>
  <si>
    <r>
      <rPr>
        <sz val="10"/>
        <rFont val="Noto Sans CJK SC"/>
        <family val="2"/>
      </rPr>
      <t xml:space="preserve">압구정에서 청담으로 이어지는 한류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아이돌 그룹별 곰 조형물이 놓여 있다</t>
    </r>
    <r>
      <rPr>
        <sz val="10"/>
        <rFont val="Arial"/>
        <family val="0"/>
        <charset val="1"/>
      </rPr>
      <t xml:space="preserve">.</t>
    </r>
  </si>
  <si>
    <t xml:space="preserve">가락시장</t>
  </si>
  <si>
    <t xml:space="preserve">Garak Market</t>
  </si>
  <si>
    <r>
      <rPr>
        <sz val="10"/>
        <rFont val="Noto Sans CJK SC"/>
        <family val="2"/>
      </rPr>
      <t xml:space="preserve">국내 최대 농수산물 도매시장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새벽 경매와 수산동 식당가가 볼거리다</t>
    </r>
    <r>
      <rPr>
        <sz val="10"/>
        <rFont val="Arial"/>
        <family val="0"/>
        <charset val="1"/>
      </rPr>
      <t xml:space="preserve">.</t>
    </r>
  </si>
  <si>
    <t xml:space="preserve">가로수길</t>
  </si>
  <si>
    <t xml:space="preserve">Garosu-gil</t>
  </si>
  <si>
    <r>
      <rPr>
        <sz val="10"/>
        <rFont val="Noto Sans CJK SC"/>
        <family val="2"/>
      </rPr>
      <t xml:space="preserve">신사동 은행나무 가로수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강남 쪽 카페 코스의 기준점이다</t>
    </r>
    <r>
      <rPr>
        <sz val="10"/>
        <rFont val="Arial"/>
        <family val="0"/>
        <charset val="1"/>
      </rPr>
      <t xml:space="preserve">.</t>
    </r>
  </si>
  <si>
    <t xml:space="preserve">감은사지</t>
  </si>
  <si>
    <t xml:space="preserve">Gameunsa Temple Site</t>
  </si>
  <si>
    <r>
      <rPr>
        <sz val="10"/>
        <rFont val="Noto Sans CJK SC"/>
        <family val="2"/>
      </rPr>
      <t xml:space="preserve">문무왕을 기려 세운 절터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동서 삼층석탑 둘이 나란히 남아 있다</t>
    </r>
    <r>
      <rPr>
        <sz val="10"/>
        <rFont val="Arial"/>
        <family val="0"/>
        <charset val="1"/>
      </rPr>
      <t xml:space="preserve">.</t>
    </r>
  </si>
  <si>
    <t xml:space="preserve">감천문화마을</t>
  </si>
  <si>
    <t xml:space="preserve">Gamcheon Culture Village</t>
  </si>
  <si>
    <r>
      <rPr>
        <sz val="10"/>
        <rFont val="Noto Sans CJK SC"/>
        <family val="2"/>
      </rPr>
      <t xml:space="preserve">산비탈을 따라 계단식으로 들어선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한국전쟁 피난민이 세운 집들이 그대로 남아 색을 입었고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좁은 골목과 계단이 영화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드라마의 단골 배경이 됐다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주민이 사는 곳이라 정숙 구역이 지정돼 있다</t>
    </r>
    <r>
      <rPr>
        <sz val="10"/>
        <rFont val="Arial"/>
        <family val="0"/>
        <charset val="1"/>
      </rPr>
      <t xml:space="preserve">.</t>
    </r>
  </si>
  <si>
    <t xml:space="preserve">감포항</t>
  </si>
  <si>
    <t xml:space="preserve">Gampo Port</t>
  </si>
  <si>
    <r>
      <rPr>
        <sz val="10"/>
        <rFont val="Noto Sans CJK SC"/>
        <family val="2"/>
      </rPr>
      <t xml:space="preserve">동해안 어항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공설시장과 해상공원이 붙어 있어 회와 물회를 먹고 걷는다</t>
    </r>
    <r>
      <rPr>
        <sz val="10"/>
        <rFont val="Arial"/>
        <family val="0"/>
        <charset val="1"/>
      </rPr>
      <t xml:space="preserve">.</t>
    </r>
  </si>
  <si>
    <t xml:space="preserve">강남역 일대</t>
  </si>
  <si>
    <t xml:space="preserve">Gangnam Station Area</t>
  </si>
  <si>
    <r>
      <rPr>
        <sz val="10"/>
        <rFont val="Noto Sans CJK SC"/>
        <family val="2"/>
      </rPr>
      <t xml:space="preserve">야경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</si>
  <si>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r>
      <rPr>
        <sz val="10"/>
        <rFont val="Noto Sans CJK SC"/>
        <family val="2"/>
      </rPr>
      <t xml:space="preserve">대형 상권과 지하상가가 붙어 있는 구역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밤늦게까지 사람이 많다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</si>
  <si>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파일 </t>
    </r>
    <r>
      <rPr>
        <sz val="10"/>
        <rFont val="Arial"/>
        <family val="0"/>
        <charset val="1"/>
      </rPr>
      <t xml:space="preserve">(RESCENE Route)</t>
    </r>
  </si>
  <si>
    <t xml:space="preserve">거제 고현시장</t>
  </si>
  <si>
    <t xml:space="preserve">Gohyeon Market</t>
  </si>
  <si>
    <r>
      <rPr>
        <sz val="10"/>
        <rFont val="Noto Sans CJK SC"/>
        <family val="2"/>
      </rPr>
      <t xml:space="preserve">영상 속 원이가 추천하는 </t>
    </r>
    <r>
      <rPr>
        <sz val="10"/>
        <rFont val="Arial"/>
        <family val="0"/>
        <charset val="1"/>
      </rPr>
      <t xml:space="preserve">\</t>
    </r>
  </si>
  <si>
    <t xml:space="preserve">거제 전통 양곱창 전골</t>
  </si>
  <si>
    <t xml:space="preserve">Geoje Gopchang Hot Pot</t>
  </si>
  <si>
    <r>
      <rPr>
        <sz val="10"/>
        <rFont val="Noto Sans CJK SC"/>
        <family val="2"/>
      </rPr>
      <t xml:space="preserve">저녁 장사만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고현 상권에서 도보 이동 가능</t>
    </r>
    <r>
      <rPr>
        <sz val="10"/>
        <rFont val="Arial"/>
        <family val="0"/>
        <charset val="1"/>
      </rPr>
      <t xml:space="preserve">.</t>
    </r>
  </si>
  <si>
    <t xml:space="preserve">거제 파노라마 케이블카</t>
  </si>
  <si>
    <t xml:space="preserve">Geoje Panorama Cable Car</t>
  </si>
  <si>
    <r>
      <rPr>
        <sz val="10"/>
        <rFont val="Noto Sans CJK SC"/>
        <family val="2"/>
      </rPr>
      <t xml:space="preserve">노자산 상부에서 다도해 전경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크리스탈 캐빈은 별도 요금</t>
    </r>
    <r>
      <rPr>
        <sz val="10"/>
        <rFont val="Arial"/>
        <family val="0"/>
        <charset val="1"/>
      </rPr>
      <t xml:space="preserve">.</t>
    </r>
  </si>
  <si>
    <t xml:space="preserve">거제 포로수용소 유적공원</t>
  </si>
  <si>
    <t xml:space="preserve">Geoje POW Camp Park</t>
  </si>
  <si>
    <r>
      <rPr>
        <sz val="10"/>
        <rFont val="Noto Sans CJK SC"/>
        <family val="2"/>
      </rPr>
      <t xml:space="preserve">실내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</si>
  <si>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r>
      <rPr>
        <sz val="10"/>
        <rFont val="Noto Sans CJK SC"/>
        <family val="2"/>
      </rPr>
      <t xml:space="preserve">한국전쟁 당시 포로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만 명이 수용된 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잔존 건물과 전시관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모노레일이 함께 있다</t>
    </r>
    <r>
      <rPr>
        <sz val="10"/>
        <rFont val="Arial"/>
        <family val="0"/>
        <charset val="1"/>
      </rPr>
      <t xml:space="preserve">.</t>
    </r>
  </si>
  <si>
    <t xml:space="preserve">거제식물원</t>
  </si>
  <si>
    <t xml:space="preserve">Geoje Botanic Garden</t>
  </si>
  <si>
    <r>
      <rPr>
        <sz val="10"/>
        <rFont val="Noto Sans CJK SC"/>
        <family val="2"/>
      </rPr>
      <t xml:space="preserve">유리 돔 정글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 오는 날 대체 코스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순위</t>
    </r>
    <r>
      <rPr>
        <sz val="10"/>
        <rFont val="Arial"/>
        <family val="0"/>
        <charset val="1"/>
      </rPr>
      <t xml:space="preserve">.</t>
    </r>
  </si>
  <si>
    <t xml:space="preserve">건대입구 거리</t>
  </si>
  <si>
    <t xml:space="preserve">Konkuk Univ. Stn. Street</t>
  </si>
  <si>
    <r>
      <rPr>
        <sz val="10"/>
        <rFont val="Noto Sans CJK SC"/>
        <family val="2"/>
      </rPr>
      <t xml:space="preserve">건대입구역 </t>
    </r>
    <r>
      <rPr>
        <sz val="10"/>
        <rFont val="Arial"/>
        <family val="0"/>
        <charset val="1"/>
      </rPr>
      <t xml:space="preserve">2·7</t>
    </r>
    <r>
      <rPr>
        <sz val="10"/>
        <rFont val="Noto Sans CJK SC"/>
        <family val="2"/>
      </rPr>
      <t xml:space="preserve">호선 출구에서 이어지는 먹자골목과 로데오거리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늦게까지 문을 여는 가게가 많다</t>
    </r>
    <r>
      <rPr>
        <sz val="10"/>
        <rFont val="Arial"/>
        <family val="0"/>
        <charset val="1"/>
      </rPr>
      <t xml:space="preserve">.</t>
    </r>
  </si>
  <si>
    <t xml:space="preserve">경동시장</t>
  </si>
  <si>
    <t xml:space="preserve">Gyeongdong Market</t>
  </si>
  <si>
    <r>
      <rPr>
        <sz val="10"/>
        <rFont val="Noto Sans CJK SC"/>
        <family val="2"/>
      </rPr>
      <t xml:space="preserve">한약재와 제철 농산물을 파는 큰 재래시장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 극장을 고친 카페가 안쪽에 있다</t>
    </r>
    <r>
      <rPr>
        <sz val="10"/>
        <rFont val="Arial"/>
        <family val="0"/>
        <charset val="1"/>
      </rPr>
      <t xml:space="preserve">.</t>
    </r>
  </si>
  <si>
    <t xml:space="preserve">경리단길</t>
  </si>
  <si>
    <t xml:space="preserve">Gyeongnidan-gil</t>
  </si>
  <si>
    <r>
      <rPr>
        <sz val="10"/>
        <rFont val="Noto Sans CJK SC"/>
        <family val="2"/>
      </rPr>
      <t xml:space="preserve">남산 남쪽 사면의 경사진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국적이 섞인 식당이 많다</t>
    </r>
    <r>
      <rPr>
        <sz val="10"/>
        <rFont val="Arial"/>
        <family val="0"/>
        <charset val="1"/>
      </rPr>
      <t xml:space="preserve">.</t>
    </r>
  </si>
  <si>
    <t xml:space="preserve">경복궁</t>
  </si>
  <si>
    <t xml:space="preserve">Gyeongbokgung Palace</t>
  </si>
  <si>
    <r>
      <rPr>
        <sz val="10"/>
        <rFont val="Noto Sans CJK SC"/>
        <family val="2"/>
      </rPr>
      <t xml:space="preserve">궁의 지붕선과 단청이 작품의 전통 모티프 전반에 깔려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한복을 입으면 입장이 무료다</t>
    </r>
    <r>
      <rPr>
        <sz val="10"/>
        <rFont val="Arial"/>
        <family val="0"/>
        <charset val="1"/>
      </rPr>
      <t xml:space="preserve">.</t>
    </r>
  </si>
  <si>
    <t xml:space="preserve">경주 동궁원</t>
  </si>
  <si>
    <t xml:space="preserve">Gyeongju Donggungwon</t>
  </si>
  <si>
    <r>
      <rPr>
        <sz val="10"/>
        <rFont val="Noto Sans CJK SC"/>
        <family val="2"/>
      </rPr>
      <t xml:space="preserve">신라 동궁 정원을 모티브로 지은 식물원과 버드파크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실내라 비 오는 날 대안이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</si>
  <si>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경주 라원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미디어아트</t>
    </r>
    <r>
      <rPr>
        <sz val="10"/>
        <rFont val="Arial"/>
        <family val="0"/>
        <charset val="1"/>
      </rPr>
      <t xml:space="preserve">)</t>
    </r>
  </si>
  <si>
    <t xml:space="preserve">Gyeongju Rawon Media Art</t>
  </si>
  <si>
    <r>
      <rPr>
        <sz val="10"/>
        <rFont val="Noto Sans CJK SC"/>
        <family val="2"/>
      </rPr>
      <t xml:space="preserve">실내 미디어아트 전시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마지막 곡 퍼포먼스 배경으로 쓰인 몰입형 홀이 있다</t>
    </r>
    <r>
      <rPr>
        <sz val="10"/>
        <rFont val="Arial"/>
        <family val="0"/>
        <charset val="1"/>
      </rPr>
      <t xml:space="preserve">.</t>
    </r>
  </si>
  <si>
    <t xml:space="preserve">경주 양남 주상절리</t>
  </si>
  <si>
    <t xml:space="preserve">Yangnam Columnar Joints</t>
  </si>
  <si>
    <r>
      <rPr>
        <sz val="10"/>
        <rFont val="Noto Sans CJK SC"/>
        <family val="2"/>
      </rPr>
      <t xml:space="preserve">부채꼴로 누운 주상절리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국내에서 드문 수평 배열로 천연기념물이다</t>
    </r>
    <r>
      <rPr>
        <sz val="10"/>
        <rFont val="Arial"/>
        <family val="0"/>
        <charset val="1"/>
      </rPr>
      <t xml:space="preserve">.</t>
    </r>
  </si>
  <si>
    <t xml:space="preserve">경주 엑스포대공원</t>
  </si>
  <si>
    <t xml:space="preserve">Gyeongju Expo Park</t>
  </si>
  <si>
    <r>
      <rPr>
        <sz val="10"/>
        <rFont val="Noto Sans CJK SC"/>
        <family val="2"/>
      </rPr>
      <t xml:space="preserve">야경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촬영명소</t>
    </r>
  </si>
  <si>
    <r>
      <rPr>
        <sz val="10"/>
        <rFont val="Noto Sans CJK SC"/>
        <family val="2"/>
      </rPr>
      <t xml:space="preserve">경주타워와 솔거미술관이 있는 대형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보문단지 동쪽 끝에 붙어 있다</t>
    </r>
    <r>
      <rPr>
        <sz val="10"/>
        <rFont val="Arial"/>
        <family val="0"/>
        <charset val="1"/>
      </rPr>
      <t xml:space="preserve">.</t>
    </r>
  </si>
  <si>
    <t xml:space="preserve">경주 최부자댁</t>
  </si>
  <si>
    <t xml:space="preserve">Choi Family House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</si>
  <si>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년을 이어온 경주 최씨 종가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사랑채와 곳간이 남아 조선 후기 만석꾼의 살림 규모를 보여준다</t>
    </r>
    <r>
      <rPr>
        <sz val="10"/>
        <rFont val="Arial"/>
        <family val="0"/>
        <charset val="1"/>
      </rPr>
      <t xml:space="preserve">.</t>
    </r>
  </si>
  <si>
    <t xml:space="preserve">경주월드</t>
  </si>
  <si>
    <t xml:space="preserve">Gyeongju World</t>
  </si>
  <si>
    <r>
      <rPr>
        <sz val="10"/>
        <rFont val="Noto Sans CJK SC"/>
        <family val="2"/>
      </rPr>
      <t xml:space="preserve">드라켄 탑승 리액션 편의 촬영지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오후 늦게 대기줄이 가장 짧다</t>
    </r>
    <r>
      <rPr>
        <sz val="10"/>
        <rFont val="Arial"/>
        <family val="0"/>
        <charset val="1"/>
      </rPr>
      <t xml:space="preserve">.</t>
    </r>
  </si>
  <si>
    <t xml:space="preserve">경희궁</t>
  </si>
  <si>
    <t xml:space="preserve">Gyeonghuigung Palace</t>
  </si>
  <si>
    <r>
      <rPr>
        <sz val="10"/>
        <rFont val="Noto Sans CJK SC"/>
        <family val="2"/>
      </rPr>
      <t xml:space="preserve">서쪽 궁궐로 불린 조선 이궁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숭정전 일원이 복원돼 있고 입장료가 없다</t>
    </r>
    <r>
      <rPr>
        <sz val="10"/>
        <rFont val="Arial"/>
        <family val="0"/>
        <charset val="1"/>
      </rPr>
      <t xml:space="preserve">.</t>
    </r>
  </si>
  <si>
    <t xml:space="preserve">계림</t>
  </si>
  <si>
    <t xml:space="preserve">Gyerim Forest</t>
  </si>
  <si>
    <r>
      <rPr>
        <sz val="10"/>
        <rFont val="Noto Sans CJK SC"/>
        <family val="2"/>
      </rPr>
      <t xml:space="preserve">신라 김씨 시조 김알지의 탄생지로 전하는 숲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늙은 회화나무와 느티나무가 월성과 첨성대 사이를 잇는다</t>
    </r>
    <r>
      <rPr>
        <sz val="10"/>
        <rFont val="Arial"/>
        <family val="0"/>
        <charset val="1"/>
      </rPr>
      <t xml:space="preserve">.</t>
    </r>
  </si>
  <si>
    <t xml:space="preserve">고씨굴</t>
  </si>
  <si>
    <t xml:space="preserve">Gossigul Cave</t>
  </si>
  <si>
    <t xml:space="preserve">왕과 사는 남자</t>
  </si>
  <si>
    <r>
      <rPr>
        <sz val="10"/>
        <rFont val="Noto Sans CJK SC"/>
        <family val="2"/>
      </rPr>
      <t xml:space="preserve">임진왜란 때 고씨 일가가 숨었다는 석회암 동굴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내부 </t>
    </r>
    <r>
      <rPr>
        <sz val="10"/>
        <rFont val="Arial"/>
        <family val="0"/>
        <charset val="1"/>
      </rPr>
      <t xml:space="preserve">620m </t>
    </r>
    <r>
      <rPr>
        <sz val="10"/>
        <rFont val="Noto Sans CJK SC"/>
        <family val="2"/>
      </rPr>
      <t xml:space="preserve">구간이 개방돼 있다</t>
    </r>
    <r>
      <rPr>
        <sz val="10"/>
        <rFont val="Arial"/>
        <family val="0"/>
        <charset val="1"/>
      </rPr>
      <t xml:space="preserve">.</t>
    </r>
  </si>
  <si>
    <t xml:space="preserve">고현동 상권</t>
  </si>
  <si>
    <t xml:space="preserve">Gohyeon-dong District</t>
  </si>
  <si>
    <r>
      <rPr>
        <sz val="10"/>
        <rFont val="Noto Sans CJK SC"/>
        <family val="2"/>
      </rPr>
      <t xml:space="preserve">거제 최대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숙소를 여기 잡으면 저녁 이동이 없다</t>
    </r>
    <r>
      <rPr>
        <sz val="10"/>
        <rFont val="Arial"/>
        <family val="0"/>
        <charset val="1"/>
      </rPr>
      <t xml:space="preserve">.</t>
    </r>
  </si>
  <si>
    <t xml:space="preserve">관덕정</t>
  </si>
  <si>
    <t xml:space="preserve">Gwandeokjeong</t>
  </si>
  <si>
    <r>
      <rPr>
        <sz val="10"/>
        <rFont val="Noto Sans CJK SC"/>
        <family val="2"/>
      </rPr>
      <t xml:space="preserve">제주목 관아 앞의 조선 초기 누각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보물로 지정돼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</si>
  <si>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테마 파일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왕과 사는 남자</t>
    </r>
    <r>
      <rPr>
        <sz val="10"/>
        <rFont val="Arial"/>
        <family val="0"/>
        <charset val="1"/>
      </rPr>
      <t xml:space="preserve">)</t>
    </r>
  </si>
  <si>
    <t xml:space="preserve">관풍헌</t>
  </si>
  <si>
    <t xml:space="preserve">Gwanpungheon</t>
  </si>
  <si>
    <r>
      <rPr>
        <sz val="10"/>
        <rFont val="Noto Sans CJK SC"/>
        <family val="2"/>
      </rPr>
      <t xml:space="preserve">홍수로 청령포에서 옮겨온 단종이 생을 마쳤다고 전하는 관아 건물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군청과 학교를 거쳐 지금은 종교 시설로 쓰이며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상가와 차량이 오가는 읍내 한복판에 놓여 있어 표지를 보지 않으면 지나치기 쉽다</t>
    </r>
    <r>
      <rPr>
        <sz val="10"/>
        <rFont val="Arial"/>
        <family val="0"/>
        <charset val="1"/>
      </rPr>
      <t xml:space="preserve">.</t>
    </r>
  </si>
  <si>
    <t xml:space="preserve">수원</t>
  </si>
  <si>
    <t xml:space="preserve">광교호수공원</t>
  </si>
  <si>
    <t xml:space="preserve">Gwanggyo Lake Park</t>
  </si>
  <si>
    <r>
      <rPr>
        <sz val="10"/>
        <rFont val="Noto Sans CJK SC"/>
        <family val="2"/>
      </rPr>
      <t xml:space="preserve">원천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신대 두 호수를 잇는 수변 공원</t>
    </r>
    <r>
      <rPr>
        <sz val="10"/>
        <rFont val="Arial"/>
        <family val="0"/>
        <charset val="1"/>
      </rPr>
      <t xml:space="preserve">.</t>
    </r>
  </si>
  <si>
    <t xml:space="preserve">광장시장</t>
  </si>
  <si>
    <t xml:space="preserve">Gwangjang Market</t>
  </si>
  <si>
    <r>
      <rPr>
        <sz val="10"/>
        <rFont val="Noto Sans CJK SC"/>
        <family val="2"/>
      </rPr>
      <t xml:space="preserve">빈대떡과 김밥 좌판이 통로를 채우는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년 시장</t>
    </r>
    <r>
      <rPr>
        <sz val="10"/>
        <rFont val="Arial"/>
        <family val="0"/>
        <charset val="1"/>
      </rPr>
      <t xml:space="preserve">.</t>
    </r>
  </si>
  <si>
    <t xml:space="preserve">광화문광장</t>
  </si>
  <si>
    <t xml:space="preserve">Gwanghwamun Square</t>
  </si>
  <si>
    <r>
      <rPr>
        <sz val="10"/>
        <rFont val="Noto Sans CJK SC"/>
        <family val="2"/>
      </rPr>
      <t xml:space="preserve">경복궁에서 곧장 남쪽으로 이어지는 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분수와 역사물길이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야간 조명이 들어오면 궁 방향으로 보는 구도가 좋다</t>
    </r>
    <r>
      <rPr>
        <sz val="10"/>
        <rFont val="Arial"/>
        <family val="0"/>
        <charset val="1"/>
      </rPr>
      <t xml:space="preserve">.</t>
    </r>
  </si>
  <si>
    <t xml:space="preserve">교래 자연휴양림</t>
  </si>
  <si>
    <t xml:space="preserve">Gyorae Recreation Forest</t>
  </si>
  <si>
    <r>
      <rPr>
        <sz val="10"/>
        <rFont val="Noto Sans CJK SC"/>
        <family val="2"/>
      </rPr>
      <t xml:space="preserve">곶자왈 지형을 그대로 둔 휴양림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습한 숲 특유의 식생이 짙다</t>
    </r>
    <r>
      <rPr>
        <sz val="10"/>
        <rFont val="Arial"/>
        <family val="0"/>
        <charset val="1"/>
      </rPr>
      <t xml:space="preserve">.</t>
    </r>
  </si>
  <si>
    <t xml:space="preserve">교촌마을</t>
  </si>
  <si>
    <t xml:space="preserve">Gyochon Traditional Village</t>
  </si>
  <si>
    <t xml:space="preserve">숙박</t>
  </si>
  <si>
    <t xml:space="preserve">숙박 — 테마 계산 제외</t>
  </si>
  <si>
    <r>
      <rPr>
        <sz val="10"/>
        <rFont val="Noto Sans CJK SC"/>
        <family val="2"/>
      </rPr>
      <t xml:space="preserve">경주 최씨 고택과 교동법주가 있는 한옥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월정교와 붙어 있어 함께 돌기 좋다</t>
    </r>
    <r>
      <rPr>
        <sz val="10"/>
        <rFont val="Arial"/>
        <family val="0"/>
        <charset val="1"/>
      </rPr>
      <t xml:space="preserve">.</t>
    </r>
  </si>
  <si>
    <t xml:space="preserve">구조라해수욕장</t>
  </si>
  <si>
    <t xml:space="preserve">Gujora Beach</t>
  </si>
  <si>
    <r>
      <rPr>
        <sz val="10"/>
        <rFont val="Noto Sans CJK SC"/>
        <family val="2"/>
      </rPr>
      <t xml:space="preserve">완만한 백사장이 </t>
    </r>
    <r>
      <rPr>
        <sz val="10"/>
        <rFont val="Arial"/>
        <family val="0"/>
        <charset val="1"/>
      </rPr>
      <t xml:space="preserve">500m </t>
    </r>
    <r>
      <rPr>
        <sz val="10"/>
        <rFont val="Noto Sans CJK SC"/>
        <family val="2"/>
      </rPr>
      <t xml:space="preserve">남짓 이어지는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해금강 유람선 선착장이 붙어 있다</t>
    </r>
    <r>
      <rPr>
        <sz val="10"/>
        <rFont val="Arial"/>
        <family val="0"/>
        <charset val="1"/>
      </rPr>
      <t xml:space="preserve">.</t>
    </r>
  </si>
  <si>
    <t xml:space="preserve">구포시장</t>
  </si>
  <si>
    <t xml:space="preserve">Gupo Market</t>
  </si>
  <si>
    <r>
      <rPr>
        <sz val="10"/>
        <rFont val="Noto Sans CJK SC"/>
        <family val="2"/>
      </rPr>
      <t xml:space="preserve">낙동강 나루터에서 자란 재래시장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국수와 돼지국밥이 유명하다</t>
    </r>
    <r>
      <rPr>
        <sz val="10"/>
        <rFont val="Arial"/>
        <family val="0"/>
        <charset val="1"/>
      </rPr>
      <t xml:space="preserve">.</t>
    </r>
  </si>
  <si>
    <t xml:space="preserve">국립경주박물관</t>
  </si>
  <si>
    <t xml:space="preserve">Gyeongju National Museum</t>
  </si>
  <si>
    <r>
      <rPr>
        <sz val="10"/>
        <rFont val="Noto Sans CJK SC"/>
        <family val="2"/>
      </rPr>
      <t xml:space="preserve">신라 문화유산 상설 전시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야외 뜰에 범종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석탑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석불 등 석조품 </t>
    </r>
    <r>
      <rPr>
        <sz val="10"/>
        <rFont val="Arial"/>
        <family val="0"/>
        <charset val="1"/>
      </rPr>
      <t xml:space="preserve">1,100</t>
    </r>
    <r>
      <rPr>
        <sz val="10"/>
        <rFont val="Noto Sans CJK SC"/>
        <family val="2"/>
      </rPr>
      <t xml:space="preserve">여 점이 놓여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동궁과 월지에서 도보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분이다</t>
    </r>
    <r>
      <rPr>
        <sz val="10"/>
        <rFont val="Arial"/>
        <family val="0"/>
        <charset val="1"/>
      </rPr>
      <t xml:space="preserve">.</t>
    </r>
  </si>
  <si>
    <t xml:space="preserve">국립고궁박물관</t>
  </si>
  <si>
    <t xml:space="preserve">National Palace Museum</t>
  </si>
  <si>
    <r>
      <rPr>
        <sz val="10"/>
        <rFont val="Noto Sans CJK SC"/>
        <family val="2"/>
      </rPr>
      <t xml:space="preserve">조선 왕실 유물을 모은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경복궁 서쪽 문 옆에 있다</t>
    </r>
    <r>
      <rPr>
        <sz val="10"/>
        <rFont val="Arial"/>
        <family val="0"/>
        <charset val="1"/>
      </rPr>
      <t xml:space="preserve">.</t>
    </r>
  </si>
  <si>
    <t xml:space="preserve">국립극장</t>
  </si>
  <si>
    <t xml:space="preserve">National Theater of Korea</t>
  </si>
  <si>
    <r>
      <rPr>
        <sz val="10"/>
        <rFont val="Noto Sans CJK SC"/>
        <family val="2"/>
      </rPr>
      <t xml:space="preserve">남산 자락의 국립 공연장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국립창극단과 국립무용단이 무대를 올린다</t>
    </r>
    <r>
      <rPr>
        <sz val="10"/>
        <rFont val="Arial"/>
        <family val="0"/>
        <charset val="1"/>
      </rPr>
      <t xml:space="preserve">.</t>
    </r>
  </si>
  <si>
    <t xml:space="preserve">국립민속박물관</t>
  </si>
  <si>
    <t xml:space="preserve">National Folk Museum</t>
  </si>
  <si>
    <r>
      <rPr>
        <sz val="10"/>
        <rFont val="Noto Sans CJK SC"/>
        <family val="2"/>
      </rPr>
      <t xml:space="preserve">경복궁 경내의 민속 전시관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무속과 세시풍속 자료가 두텁다</t>
    </r>
    <r>
      <rPr>
        <sz val="10"/>
        <rFont val="Arial"/>
        <family val="0"/>
        <charset val="1"/>
      </rPr>
      <t xml:space="preserve">.</t>
    </r>
  </si>
  <si>
    <t xml:space="preserve">국립서울현충원</t>
  </si>
  <si>
    <t xml:space="preserve">Seoul National Cemetery</t>
  </si>
  <si>
    <r>
      <rPr>
        <sz val="10"/>
        <rFont val="Noto Sans CJK SC"/>
        <family val="2"/>
      </rPr>
      <t xml:space="preserve">한강 남쪽 관악산 자락의 국립묘지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월 수양벚꽃길로도 알려져 있다</t>
    </r>
    <r>
      <rPr>
        <sz val="10"/>
        <rFont val="Arial"/>
        <family val="0"/>
        <charset val="1"/>
      </rPr>
      <t xml:space="preserve">.</t>
    </r>
  </si>
  <si>
    <t xml:space="preserve">국립중앙박물관</t>
  </si>
  <si>
    <t xml:space="preserve">National Museum of Korea</t>
  </si>
  <si>
    <r>
      <rPr>
        <sz val="10"/>
        <rFont val="Noto Sans CJK SC"/>
        <family val="2"/>
      </rPr>
      <t xml:space="preserve">작품이 빌려온 호랑이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까치 도상과 무속 유물을 실물로 볼 수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기념품점의 인기도 작품 이후 크게 올랐다</t>
    </r>
    <r>
      <rPr>
        <sz val="10"/>
        <rFont val="Arial"/>
        <family val="0"/>
        <charset val="1"/>
      </rPr>
      <t xml:space="preserve">.</t>
    </r>
  </si>
  <si>
    <t xml:space="preserve">국립해양박물관</t>
  </si>
  <si>
    <t xml:space="preserve">National Maritime Museum</t>
  </si>
  <si>
    <r>
      <rPr>
        <sz val="10"/>
        <rFont val="Noto Sans CJK SC"/>
        <family val="2"/>
      </rPr>
      <t xml:space="preserve">영도 동삼동의 해양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대형 수조와 선박 전시가 있다</t>
    </r>
    <r>
      <rPr>
        <sz val="10"/>
        <rFont val="Arial"/>
        <family val="0"/>
        <charset val="1"/>
      </rPr>
      <t xml:space="preserve">.</t>
    </r>
  </si>
  <si>
    <t xml:space="preserve">국립현대미술관 서울</t>
  </si>
  <si>
    <t xml:space="preserve">MMCA Seoul</t>
  </si>
  <si>
    <r>
      <rPr>
        <sz val="10"/>
        <rFont val="Noto Sans CJK SC"/>
        <family val="2"/>
      </rPr>
      <t xml:space="preserve">경복궁 옆 현대미술관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삼청동 코스와 묶인다</t>
    </r>
    <r>
      <rPr>
        <sz val="10"/>
        <rFont val="Arial"/>
        <family val="0"/>
        <charset val="1"/>
      </rPr>
      <t xml:space="preserve">.</t>
    </r>
  </si>
  <si>
    <t xml:space="preserve">국회의사당</t>
  </si>
  <si>
    <t xml:space="preserve">National Assembly Building</t>
  </si>
  <si>
    <r>
      <rPr>
        <sz val="10"/>
        <rFont val="Noto Sans CJK SC"/>
        <family val="2"/>
      </rPr>
      <t xml:space="preserve">돔을 얹은 의회 건물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봄에는 뒤편 윤중로 벚꽃길이 이어진다</t>
    </r>
    <r>
      <rPr>
        <sz val="10"/>
        <rFont val="Arial"/>
        <family val="0"/>
        <charset val="1"/>
      </rPr>
      <t xml:space="preserve">.</t>
    </r>
  </si>
  <si>
    <t xml:space="preserve">금관총</t>
  </si>
  <si>
    <t xml:space="preserve">Geumgwanchong</t>
  </si>
  <si>
    <r>
      <rPr>
        <sz val="10"/>
        <rFont val="Arial"/>
        <family val="0"/>
        <charset val="1"/>
      </rPr>
      <t xml:space="preserve">1921</t>
    </r>
    <r>
      <rPr>
        <sz val="10"/>
        <rFont val="Noto Sans CJK SC"/>
        <family val="2"/>
      </rPr>
      <t xml:space="preserve">년 신라 금관이 처음 출토된 노서동 고분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발굴 지점 위에 보호 전시관이 서 있다</t>
    </r>
    <r>
      <rPr>
        <sz val="10"/>
        <rFont val="Arial"/>
        <family val="0"/>
        <charset val="1"/>
      </rPr>
      <t xml:space="preserve">.</t>
    </r>
  </si>
  <si>
    <t xml:space="preserve">금농갈비</t>
  </si>
  <si>
    <t xml:space="preserve">Geumnong Galbi</t>
  </si>
  <si>
    <r>
      <rPr>
        <sz val="10"/>
        <rFont val="Noto Sans CJK SC"/>
        <family val="2"/>
      </rPr>
      <t xml:space="preserve">외곽 갈비집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덕포해수욕장에서 돌아오는 길에 들리기 좋다</t>
    </r>
    <r>
      <rPr>
        <sz val="10"/>
        <rFont val="Arial"/>
        <family val="0"/>
        <charset val="1"/>
      </rPr>
      <t xml:space="preserve">.</t>
    </r>
  </si>
  <si>
    <t xml:space="preserve">금오름</t>
  </si>
  <si>
    <t xml:space="preserve">Geumoreum</t>
  </si>
  <si>
    <r>
      <rPr>
        <sz val="10"/>
        <rFont val="Noto Sans CJK SC"/>
        <family val="2"/>
      </rPr>
      <t xml:space="preserve">분화구에 물이 고이는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노을 시간에 사람이 몰린다</t>
    </r>
    <r>
      <rPr>
        <sz val="10"/>
        <rFont val="Arial"/>
        <family val="0"/>
        <charset val="1"/>
      </rPr>
      <t xml:space="preserve">.</t>
    </r>
  </si>
  <si>
    <t xml:space="preserve">금정산성</t>
  </si>
  <si>
    <t xml:space="preserve">Geumjeongsanseong Fortress</t>
  </si>
  <si>
    <r>
      <rPr>
        <sz val="10"/>
        <rFont val="Noto Sans CJK SC"/>
        <family val="2"/>
      </rPr>
      <t xml:space="preserve">국내 최대 규모의 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성곽길이 능선을 따라 길게 이어진다</t>
    </r>
    <r>
      <rPr>
        <sz val="10"/>
        <rFont val="Arial"/>
        <family val="0"/>
        <charset val="1"/>
      </rPr>
      <t xml:space="preserve">.</t>
    </r>
  </si>
  <si>
    <t xml:space="preserve">김삿갓 유적지</t>
  </si>
  <si>
    <t xml:space="preserve">Kim Sat-gat Historic Site</t>
  </si>
  <si>
    <r>
      <rPr>
        <sz val="10"/>
        <rFont val="Noto Sans CJK SC"/>
        <family val="2"/>
      </rPr>
      <t xml:space="preserve">방랑시인 김병연의 묘와 문학관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계곡을 따라 시비가 늘어서 있다</t>
    </r>
    <r>
      <rPr>
        <sz val="10"/>
        <rFont val="Arial"/>
        <family val="0"/>
        <charset val="1"/>
      </rPr>
      <t xml:space="preserve">.</t>
    </r>
  </si>
  <si>
    <t xml:space="preserve">깡통시장 야시장</t>
  </si>
  <si>
    <t xml:space="preserve">Kkangtong Night Market</t>
  </si>
  <si>
    <r>
      <rPr>
        <sz val="10"/>
        <rFont val="Noto Sans CJK SC"/>
        <family val="2"/>
      </rPr>
      <t xml:space="preserve">부평깡통시장 통로에 서는 야시장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먹거리 노점이 이어진다</t>
    </r>
    <r>
      <rPr>
        <sz val="10"/>
        <rFont val="Arial"/>
        <family val="0"/>
        <charset val="1"/>
      </rPr>
      <t xml:space="preserve">.</t>
    </r>
  </si>
  <si>
    <t xml:space="preserve">낙산공원 성곽길</t>
  </si>
  <si>
    <t xml:space="preserve">Naksan Park City Wall</t>
  </si>
  <si>
    <r>
      <rPr>
        <sz val="10"/>
        <rFont val="Noto Sans CJK SC"/>
        <family val="2"/>
      </rPr>
      <t xml:space="preserve">루미와 진우가 밤에 만나 속마음을 털어놓는 장면의 무대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한양도성 성곽을 따라 걷는 길에서 도심 야경이 내려다보이고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 질 무렵부터 성곽 조명이 들어온다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오르막 계단이 가파르니 혜화역에서 마을버스를 타는 편이 낫다</t>
    </r>
    <r>
      <rPr>
        <sz val="10"/>
        <rFont val="Arial"/>
        <family val="0"/>
        <charset val="1"/>
      </rPr>
      <t xml:space="preserve">.</t>
    </r>
  </si>
  <si>
    <t xml:space="preserve">남대문시장</t>
  </si>
  <si>
    <t xml:space="preserve">Namdaemun Market</t>
  </si>
  <si>
    <r>
      <rPr>
        <sz val="10"/>
        <rFont val="Noto Sans CJK SC"/>
        <family val="2"/>
      </rPr>
      <t xml:space="preserve">서울 최대 전통시장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갈치조림 골목과 수입 상가가 붙어 있다</t>
    </r>
    <r>
      <rPr>
        <sz val="10"/>
        <rFont val="Arial"/>
        <family val="0"/>
        <charset val="1"/>
      </rPr>
      <t xml:space="preserve">.</t>
    </r>
  </si>
  <si>
    <t xml:space="preserve">남산골 한옥마을</t>
  </si>
  <si>
    <t xml:space="preserve">Namsangol Hanok Village</t>
  </si>
  <si>
    <r>
      <rPr>
        <sz val="10"/>
        <rFont val="Noto Sans CJK SC"/>
        <family val="2"/>
      </rPr>
      <t xml:space="preserve">서울 곳곳에서 옮겨 온 한옥 다섯 채와 전통 정원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충무로역에서 가깝다</t>
    </r>
    <r>
      <rPr>
        <sz val="10"/>
        <rFont val="Arial"/>
        <family val="0"/>
        <charset val="1"/>
      </rPr>
      <t xml:space="preserve">.</t>
    </r>
  </si>
  <si>
    <t xml:space="preserve">남산서울타워</t>
  </si>
  <si>
    <t xml:space="preserve">N Seoul Tower</t>
  </si>
  <si>
    <r>
      <rPr>
        <sz val="10"/>
        <rFont val="Noto Sans CJK SC"/>
        <family val="2"/>
      </rPr>
      <t xml:space="preserve">작품 전반에 서울의 기준점처럼 반복해서 등장하는 실루엣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케이블카 또는 남산 순환버스로 오른다</t>
    </r>
    <r>
      <rPr>
        <sz val="10"/>
        <rFont val="Arial"/>
        <family val="0"/>
        <charset val="1"/>
      </rPr>
      <t xml:space="preserve">.</t>
    </r>
  </si>
  <si>
    <t xml:space="preserve">노량진 수산시장</t>
  </si>
  <si>
    <t xml:space="preserve">Noryangjin Fish Market</t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</si>
  <si>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도매 수산시장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층 식당에서 바로 손질해 먹는다</t>
    </r>
    <r>
      <rPr>
        <sz val="10"/>
        <rFont val="Arial"/>
        <family val="0"/>
        <charset val="1"/>
      </rPr>
      <t xml:space="preserve">.</t>
    </r>
  </si>
  <si>
    <t xml:space="preserve">농소몽돌해수욕장</t>
  </si>
  <si>
    <t xml:space="preserve">Nongso Mongdol Beach</t>
  </si>
  <si>
    <r>
      <rPr>
        <sz val="10"/>
        <rFont val="Noto Sans CJK SC"/>
        <family val="2"/>
      </rPr>
      <t xml:space="preserve">“기다리고 고기다리셨습니다 </t>
    </r>
    <r>
      <rPr>
        <sz val="10"/>
        <rFont val="Arial"/>
        <family val="0"/>
        <charset val="1"/>
      </rPr>
      <t xml:space="preserve">| </t>
    </r>
    <r>
      <rPr>
        <sz val="10"/>
        <rFont val="Noto Sans CJK SC"/>
        <family val="2"/>
      </rPr>
      <t xml:space="preserve">메이의 걸어서 거제 속으로” 편 촬영지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모래 대신 몽돌 해변이라 파도 소리가 다르다</t>
    </r>
    <r>
      <rPr>
        <sz val="10"/>
        <rFont val="Arial"/>
        <family val="0"/>
        <charset val="1"/>
      </rPr>
      <t xml:space="preserve">.</t>
    </r>
  </si>
  <si>
    <t xml:space="preserve">다랑쉬오름</t>
  </si>
  <si>
    <t xml:space="preserve">Darangshi Oreum</t>
  </si>
  <si>
    <r>
      <rPr>
        <sz val="10"/>
        <rFont val="Noto Sans CJK SC"/>
        <family val="2"/>
      </rPr>
      <t xml:space="preserve">분화구가 깊게 파인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정상까지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분 남짓 오른다</t>
    </r>
    <r>
      <rPr>
        <sz val="10"/>
        <rFont val="Arial"/>
        <family val="0"/>
        <charset val="1"/>
      </rPr>
      <t xml:space="preserve">.</t>
    </r>
  </si>
  <si>
    <t xml:space="preserve">단종역사관</t>
  </si>
  <si>
    <t xml:space="preserve">Danjong History Museum</t>
  </si>
  <si>
    <r>
      <rPr>
        <sz val="10"/>
        <rFont val="Noto Sans CJK SC"/>
        <family val="2"/>
      </rPr>
      <t xml:space="preserve">장릉 경내의 전시관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유배부터 복위까지의 기록을 연대순으로 놓아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영화를 보고 온 사람에게 순서를 정리해 준다</t>
    </r>
    <r>
      <rPr>
        <sz val="10"/>
        <rFont val="Arial"/>
        <family val="0"/>
        <charset val="1"/>
      </rPr>
      <t xml:space="preserve">.</t>
    </r>
  </si>
  <si>
    <t xml:space="preserve">달맞이길 문탠로드</t>
  </si>
  <si>
    <t xml:space="preserve">Dalmaji-gil Moontan Road</t>
  </si>
  <si>
    <r>
      <rPr>
        <sz val="10"/>
        <rFont val="Noto Sans CJK SC"/>
        <family val="2"/>
      </rPr>
      <t xml:space="preserve">해운대 동쪽 언덕을 감아 오르는 숲길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달빛 산책로로 알려져 있다</t>
    </r>
    <r>
      <rPr>
        <sz val="10"/>
        <rFont val="Arial"/>
        <family val="0"/>
        <charset val="1"/>
      </rPr>
      <t xml:space="preserve">.</t>
    </r>
  </si>
  <si>
    <t xml:space="preserve">대릉원</t>
  </si>
  <si>
    <t xml:space="preserve">Daereungwon</t>
  </si>
  <si>
    <r>
      <rPr>
        <sz val="10"/>
        <rFont val="Noto Sans CJK SC"/>
        <family val="2"/>
      </rPr>
      <t xml:space="preserve">신라 왕릉급 고분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기가 모인 시내 한복판 유적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천마총 내부가 공개돼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황리단길과 맞붙어 있다</t>
    </r>
    <r>
      <rPr>
        <sz val="10"/>
        <rFont val="Arial"/>
        <family val="0"/>
        <charset val="1"/>
      </rPr>
      <t xml:space="preserve">.</t>
    </r>
  </si>
  <si>
    <t xml:space="preserve">대전</t>
  </si>
  <si>
    <t xml:space="preserve">대전 오월드</t>
  </si>
  <si>
    <t xml:space="preserve">Daejeon O-World</t>
  </si>
  <si>
    <r>
      <rPr>
        <sz val="10"/>
        <rFont val="Noto Sans CJK SC"/>
        <family val="2"/>
      </rPr>
      <t xml:space="preserve">동물원과 놀이공원이 함께 있는 복합 테마파크</t>
    </r>
    <r>
      <rPr>
        <sz val="10"/>
        <rFont val="Arial"/>
        <family val="0"/>
        <charset val="1"/>
      </rPr>
      <t xml:space="preserve">.</t>
    </r>
  </si>
  <si>
    <t xml:space="preserve">덕수궁 돌담길</t>
  </si>
  <si>
    <t xml:space="preserve">Deoksugung Doldam-gil</t>
  </si>
  <si>
    <r>
      <rPr>
        <sz val="10"/>
        <rFont val="Noto Sans CJK SC"/>
        <family val="2"/>
      </rPr>
      <t xml:space="preserve">정동 방향으로 이어지는 돌담길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궁과 근대 건축이 한 화면에 들어온다</t>
    </r>
    <r>
      <rPr>
        <sz val="10"/>
        <rFont val="Arial"/>
        <family val="0"/>
        <charset val="1"/>
      </rPr>
      <t xml:space="preserve">.</t>
    </r>
  </si>
  <si>
    <t xml:space="preserve">덕포해수욕장</t>
  </si>
  <si>
    <t xml:space="preserve">Deokpo Beach</t>
  </si>
  <si>
    <r>
      <rPr>
        <sz val="10"/>
        <rFont val="Noto Sans CJK SC"/>
        <family val="2"/>
      </rPr>
      <t xml:space="preserve">완만한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이른 아침 물빛이 영상 인트로 컷과 같다</t>
    </r>
    <r>
      <rPr>
        <sz val="10"/>
        <rFont val="Arial"/>
        <family val="0"/>
        <charset val="1"/>
      </rPr>
      <t xml:space="preserve">.</t>
    </r>
  </si>
  <si>
    <t xml:space="preserve">동해</t>
  </si>
  <si>
    <t xml:space="preserve">도째비골 스카이밸리</t>
  </si>
  <si>
    <t xml:space="preserve">Dojaebigol Skyvalley</t>
  </si>
  <si>
    <r>
      <rPr>
        <sz val="10"/>
        <rFont val="Noto Sans CJK SC"/>
        <family val="2"/>
      </rPr>
      <t xml:space="preserve">해발 </t>
    </r>
    <r>
      <rPr>
        <sz val="10"/>
        <rFont val="Arial"/>
        <family val="0"/>
        <charset val="1"/>
      </rPr>
      <t xml:space="preserve">59m </t>
    </r>
    <r>
      <rPr>
        <sz val="10"/>
        <rFont val="Noto Sans CJK SC"/>
        <family val="2"/>
      </rPr>
      <t xml:space="preserve">절벽에 놓인 스카이워크와 슬라이드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묵호항과 논골담길이 바로 아래다</t>
    </r>
    <r>
      <rPr>
        <sz val="10"/>
        <rFont val="Arial"/>
        <family val="0"/>
        <charset val="1"/>
      </rPr>
      <t xml:space="preserve">.</t>
    </r>
  </si>
  <si>
    <t xml:space="preserve">독립문</t>
  </si>
  <si>
    <t xml:space="preserve">Dongnimmun Gate</t>
  </si>
  <si>
    <r>
      <rPr>
        <sz val="10"/>
        <rFont val="Arial"/>
        <family val="0"/>
        <charset val="1"/>
      </rPr>
      <t xml:space="preserve">1897</t>
    </r>
    <r>
      <rPr>
        <sz val="10"/>
        <rFont val="Noto Sans CJK SC"/>
        <family val="2"/>
      </rPr>
      <t xml:space="preserve">년 독립협회가 세운 석조 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서대문형무소역사관과 같은 공원 안에 있다</t>
    </r>
    <r>
      <rPr>
        <sz val="10"/>
        <rFont val="Arial"/>
        <family val="0"/>
        <charset val="1"/>
      </rPr>
      <t xml:space="preserve">.</t>
    </r>
  </si>
  <si>
    <t xml:space="preserve">동강사진박물관</t>
  </si>
  <si>
    <t xml:space="preserve">Donggang Museum of Photography</t>
  </si>
  <si>
    <r>
      <rPr>
        <sz val="10"/>
        <rFont val="Noto Sans CJK SC"/>
        <family val="2"/>
      </rPr>
      <t xml:space="preserve">국내 첫 공립 사진박물관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매년 여름 동강국제사진제가 열린다</t>
    </r>
    <r>
      <rPr>
        <sz val="10"/>
        <rFont val="Arial"/>
        <family val="0"/>
        <charset val="1"/>
      </rPr>
      <t xml:space="preserve">.</t>
    </r>
  </si>
  <si>
    <t xml:space="preserve">동강생태정보센터</t>
  </si>
  <si>
    <t xml:space="preserve">Donggang Eco Information Center</t>
  </si>
  <si>
    <r>
      <rPr>
        <sz val="10"/>
        <rFont val="Noto Sans CJK SC"/>
        <family val="2"/>
      </rPr>
      <t xml:space="preserve">어라연 들머리의 안내 시설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트레킹 코스 상태와 래프팅 운항을 여기서 확인한다</t>
    </r>
    <r>
      <rPr>
        <sz val="10"/>
        <rFont val="Arial"/>
        <family val="0"/>
        <charset val="1"/>
      </rPr>
      <t xml:space="preserve">.</t>
    </r>
  </si>
  <si>
    <t xml:space="preserve">동궁과 월지</t>
  </si>
  <si>
    <t xml:space="preserve">Donggung &amp; Wolji</t>
  </si>
  <si>
    <r>
      <rPr>
        <sz val="10"/>
        <rFont val="Noto Sans CJK SC"/>
        <family val="2"/>
      </rPr>
      <t xml:space="preserve">야간 조명이 수면에 반사되는 시간대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일몰 후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영상 속 장면과 가장 가깝다</t>
    </r>
    <r>
      <rPr>
        <sz val="10"/>
        <rFont val="Arial"/>
        <family val="0"/>
        <charset val="1"/>
      </rPr>
      <t xml:space="preserve">.</t>
    </r>
  </si>
  <si>
    <t xml:space="preserve">동대문디자인플라자</t>
  </si>
  <si>
    <t xml:space="preserve">Dongdaemun Design Plaza</t>
  </si>
  <si>
    <r>
      <rPr>
        <sz val="10"/>
        <rFont val="Noto Sans CJK SC"/>
        <family val="2"/>
      </rPr>
      <t xml:space="preserve">곡면 알루미늄 외피의 복합 문화 시설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조명과 </t>
    </r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장미밭이 사진 자리다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</si>
  <si>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동래읍성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복천박물관</t>
    </r>
  </si>
  <si>
    <t xml:space="preserve">Dongnae Fortress &amp; Bokcheon Museum</t>
  </si>
  <si>
    <r>
      <rPr>
        <sz val="10"/>
        <rFont val="Noto Sans CJK SC"/>
        <family val="2"/>
      </rPr>
      <t xml:space="preserve">가야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신라 고분과 읍성 터가 함께 있다</t>
    </r>
    <r>
      <rPr>
        <sz val="10"/>
        <rFont val="Arial"/>
        <family val="0"/>
        <charset val="1"/>
      </rPr>
      <t xml:space="preserve">.</t>
    </r>
  </si>
  <si>
    <t xml:space="preserve">동백동산 습지</t>
  </si>
  <si>
    <t xml:space="preserve">Dongbaekdongsan Wetland</t>
  </si>
  <si>
    <r>
      <rPr>
        <sz val="10"/>
        <rFont val="Noto Sans CJK SC"/>
        <family val="2"/>
      </rPr>
      <t xml:space="preserve">람사르 습지로 등록된 곶자왈 숲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먼물깍 연못까지 평탄하게 걷는다</t>
    </r>
    <r>
      <rPr>
        <sz val="10"/>
        <rFont val="Arial"/>
        <family val="0"/>
        <charset val="1"/>
      </rPr>
      <t xml:space="preserve">.</t>
    </r>
  </si>
  <si>
    <t xml:space="preserve">동부저수지</t>
  </si>
  <si>
    <t xml:space="preserve">Dongbu Reservoir</t>
  </si>
  <si>
    <r>
      <rPr>
        <sz val="10"/>
        <rFont val="Noto Sans CJK SC"/>
        <family val="2"/>
      </rPr>
      <t xml:space="preserve">물안개 산책로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이동 중 잠깐 들르는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코스로도 충분하다</t>
    </r>
    <r>
      <rPr>
        <sz val="10"/>
        <rFont val="Arial"/>
        <family val="0"/>
        <charset val="1"/>
      </rPr>
      <t xml:space="preserve">.</t>
    </r>
  </si>
  <si>
    <t xml:space="preserve">동쪽바다중앙시장</t>
  </si>
  <si>
    <t xml:space="preserve">East Sea Central Market</t>
  </si>
  <si>
    <r>
      <rPr>
        <sz val="10"/>
        <rFont val="Noto Sans CJK SC"/>
        <family val="2"/>
      </rPr>
      <t xml:space="preserve">동해 대표 전통시장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물회와 곰치국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건어물 좌판이 이어진다</t>
    </r>
    <r>
      <rPr>
        <sz val="10"/>
        <rFont val="Arial"/>
        <family val="0"/>
        <charset val="1"/>
      </rPr>
      <t xml:space="preserve">.</t>
    </r>
  </si>
  <si>
    <t xml:space="preserve">동해망상해변한옥촌</t>
  </si>
  <si>
    <t xml:space="preserve">Donghae Mangsang Beach Hanok Village</t>
  </si>
  <si>
    <r>
      <rPr>
        <sz val="10"/>
        <rFont val="Noto Sans CJK SC"/>
        <family val="2"/>
      </rPr>
      <t xml:space="preserve">망상오토캠핑리조트 안의 한옥 숙소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해송 숲에 둘러싸여 있고 객실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원룸형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연립형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동해당형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운영한다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숙소 바로 앞이 망상해수욕장이다</t>
    </r>
    <r>
      <rPr>
        <sz val="10"/>
        <rFont val="Arial"/>
        <family val="0"/>
        <charset val="1"/>
      </rPr>
      <t xml:space="preserve">.</t>
    </r>
  </si>
  <si>
    <t xml:space="preserve">뚝섬한강공원</t>
  </si>
  <si>
    <t xml:space="preserve">Ttukseom Hangang Park</t>
  </si>
  <si>
    <r>
      <rPr>
        <sz val="10"/>
        <rFont val="Noto Sans CJK SC"/>
        <family val="2"/>
      </rPr>
      <t xml:space="preserve">강변에서 청담대교를 정면으로 올려다보는 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편의점과 돗자리 대여가 있어 치맥 장면을 그대로 따라 하기 좋다</t>
    </r>
    <r>
      <rPr>
        <sz val="10"/>
        <rFont val="Arial"/>
        <family val="0"/>
        <charset val="1"/>
      </rPr>
      <t xml:space="preserve">.</t>
    </r>
  </si>
  <si>
    <t xml:space="preserve">라디오스타 박물관</t>
  </si>
  <si>
    <t xml:space="preserve">Radio Star Museum</t>
  </si>
  <si>
    <r>
      <rPr>
        <sz val="10"/>
        <rFont val="Noto Sans CJK SC"/>
        <family val="2"/>
      </rPr>
      <t xml:space="preserve">옛 영월방송국을 고쳐 만든 라디오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영화 촬영지 사이 실내 대안으로 쓰기 좋다</t>
    </r>
    <r>
      <rPr>
        <sz val="10"/>
        <rFont val="Arial"/>
        <family val="0"/>
        <charset val="1"/>
      </rPr>
      <t xml:space="preserve">.</t>
    </r>
  </si>
  <si>
    <t xml:space="preserve">롯데월드타워 서울스카이</t>
  </si>
  <si>
    <t xml:space="preserve">Lotte World Tower Seoul Sky</t>
  </si>
  <si>
    <r>
      <rPr>
        <sz val="10"/>
        <rFont val="Noto Sans CJK SC"/>
        <family val="2"/>
      </rPr>
      <t xml:space="preserve">헌트릭스 숙소의 배경이 된 </t>
    </r>
    <r>
      <rPr>
        <sz val="10"/>
        <rFont val="Arial"/>
        <family val="0"/>
        <charset val="1"/>
      </rPr>
      <t xml:space="preserve">117</t>
    </r>
    <r>
      <rPr>
        <sz val="10"/>
        <rFont val="Noto Sans CJK SC"/>
        <family val="2"/>
      </rPr>
      <t xml:space="preserve">층 이상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창 너머로 보이는 한강과 잠실 일대의 구도가 작품 속 거실 창과 겹친다</t>
    </r>
    <r>
      <rPr>
        <sz val="10"/>
        <rFont val="Arial"/>
        <family val="0"/>
        <charset val="1"/>
      </rPr>
      <t xml:space="preserve">.</t>
    </r>
  </si>
  <si>
    <t xml:space="preserve">리움미술관</t>
  </si>
  <si>
    <t xml:space="preserve">Leeum Museum of Art</t>
  </si>
  <si>
    <r>
      <rPr>
        <sz val="10"/>
        <rFont val="Noto Sans CJK SC"/>
        <family val="2"/>
      </rPr>
      <t xml:space="preserve">고미술과 현대미술을 두 건물에 나눠 보여주는 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한남동 언덕에 있다</t>
    </r>
    <r>
      <rPr>
        <sz val="10"/>
        <rFont val="Arial"/>
        <family val="0"/>
        <charset val="1"/>
      </rPr>
      <t xml:space="preserve">.</t>
    </r>
  </si>
  <si>
    <t xml:space="preserve">망상해수욕장</t>
  </si>
  <si>
    <t xml:space="preserve">Mangsang Beach</t>
  </si>
  <si>
    <r>
      <rPr>
        <sz val="10"/>
        <rFont val="Noto Sans CJK SC"/>
        <family val="2"/>
      </rPr>
      <t xml:space="preserve">동해안 최대 규모의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오토캠핑리조트와 해변이 바로 이어져 있다</t>
    </r>
    <r>
      <rPr>
        <sz val="10"/>
        <rFont val="Arial"/>
        <family val="0"/>
        <charset val="1"/>
      </rPr>
      <t xml:space="preserve">.</t>
    </r>
  </si>
  <si>
    <t xml:space="preserve">망원시장</t>
  </si>
  <si>
    <t xml:space="preserve">Mangwon Market</t>
  </si>
  <si>
    <r>
      <rPr>
        <sz val="10"/>
        <rFont val="Noto Sans CJK SC"/>
        <family val="2"/>
      </rPr>
      <t xml:space="preserve">튀김과 반찬 가게가 늘어선 동네 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망원한강공원과 가깝다</t>
    </r>
    <r>
      <rPr>
        <sz val="10"/>
        <rFont val="Arial"/>
        <family val="0"/>
        <charset val="1"/>
      </rPr>
      <t xml:space="preserve">.</t>
    </r>
  </si>
  <si>
    <t xml:space="preserve">매미성</t>
  </si>
  <si>
    <t xml:space="preserve">Maemi Fortress</t>
  </si>
  <si>
    <r>
      <rPr>
        <sz val="10"/>
        <rFont val="Noto Sans CJK SC"/>
        <family val="2"/>
      </rPr>
      <t xml:space="preserve">한 사람이 태풍 피해를 막으려 쌓아 올린 돌 성벽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주차 후 도보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.</t>
    </r>
  </si>
  <si>
    <t xml:space="preserve">명동거리</t>
  </si>
  <si>
    <t xml:space="preserve">Myeongdong Street</t>
  </si>
  <si>
    <r>
      <rPr>
        <sz val="10"/>
        <rFont val="Noto Sans CJK SC"/>
        <family val="2"/>
      </rPr>
      <t xml:space="preserve">사자 보이즈가 처음 등장해 무대를 여는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저녁에 길 한가운데로 포장마차가 들어서면서 화면 속 밀도에 가까워진다</t>
    </r>
    <r>
      <rPr>
        <sz val="10"/>
        <rFont val="Arial"/>
        <family val="0"/>
        <charset val="1"/>
      </rPr>
      <t xml:space="preserve">.</t>
    </r>
  </si>
  <si>
    <t xml:space="preserve">명동대성당</t>
  </si>
  <si>
    <t xml:space="preserve">Myeongdong Cathedral</t>
  </si>
  <si>
    <r>
      <rPr>
        <sz val="10"/>
        <rFont val="Arial"/>
        <family val="0"/>
        <charset val="1"/>
      </rPr>
      <t xml:space="preserve">1898</t>
    </r>
    <r>
      <rPr>
        <sz val="10"/>
        <rFont val="Noto Sans CJK SC"/>
        <family val="2"/>
      </rPr>
      <t xml:space="preserve">년에 세운 벽돌 고딕 성당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언덕 아래로 명동 상권이 이어진다</t>
    </r>
    <r>
      <rPr>
        <sz val="10"/>
        <rFont val="Arial"/>
        <family val="0"/>
        <charset val="1"/>
      </rPr>
      <t xml:space="preserve">.</t>
    </r>
  </si>
  <si>
    <t xml:space="preserve">몽촌토성</t>
  </si>
  <si>
    <t xml:space="preserve">Mongchontoseong Fortress</t>
  </si>
  <si>
    <r>
      <rPr>
        <sz val="10"/>
        <rFont val="Noto Sans CJK SC"/>
        <family val="2"/>
      </rPr>
      <t xml:space="preserve">올림픽공원 안에 남은 백제 토성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성벽 위 산책로를 한 바퀴 돌 수 있다</t>
    </r>
    <r>
      <rPr>
        <sz val="10"/>
        <rFont val="Arial"/>
        <family val="0"/>
        <charset val="1"/>
      </rPr>
      <t xml:space="preserve">.</t>
    </r>
  </si>
  <si>
    <t xml:space="preserve">무릉계곡</t>
  </si>
  <si>
    <t xml:space="preserve">Mureung Valley</t>
  </si>
  <si>
    <r>
      <rPr>
        <sz val="10"/>
        <rFont val="Noto Sans CJK SC"/>
        <family val="2"/>
      </rPr>
      <t xml:space="preserve">두타산 아래 계곡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무릉반석과 용추폭포</t>
    </r>
    <r>
      <rPr>
        <sz val="10"/>
        <rFont val="Arial"/>
        <family val="0"/>
        <charset val="1"/>
      </rPr>
      <t xml:space="preserve">.</t>
    </r>
  </si>
  <si>
    <t xml:space="preserve">묵호항</t>
  </si>
  <si>
    <t xml:space="preserve">Mukho Port</t>
  </si>
  <si>
    <r>
      <rPr>
        <sz val="10"/>
        <rFont val="Noto Sans CJK SC"/>
        <family val="2"/>
      </rPr>
      <t xml:space="preserve">울릉도 여객선이 드나드는 항구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등대 언덕에서 항과 동해가 함께 내려다보인다</t>
    </r>
    <r>
      <rPr>
        <sz val="10"/>
        <rFont val="Arial"/>
        <family val="0"/>
        <charset val="1"/>
      </rPr>
      <t xml:space="preserve">.</t>
    </r>
  </si>
  <si>
    <t xml:space="preserve">문무대왕릉</t>
  </si>
  <si>
    <t xml:space="preserve">Tomb of King Munmu</t>
  </si>
  <si>
    <r>
      <rPr>
        <sz val="10"/>
        <rFont val="Noto Sans CJK SC"/>
        <family val="2"/>
      </rPr>
      <t xml:space="preserve">해변에서 </t>
    </r>
    <r>
      <rPr>
        <sz val="10"/>
        <rFont val="Arial"/>
        <family val="0"/>
        <charset val="1"/>
      </rPr>
      <t xml:space="preserve">200m </t>
    </r>
    <r>
      <rPr>
        <sz val="10"/>
        <rFont val="Noto Sans CJK SC"/>
        <family val="2"/>
      </rPr>
      <t xml:space="preserve">떨어진 바위섬 수중릉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삼국을 통일한 문무왕의 유언에 따라 바다에 묻혔다고 전한다</t>
    </r>
    <r>
      <rPr>
        <sz val="10"/>
        <rFont val="Arial"/>
        <family val="0"/>
        <charset val="1"/>
      </rPr>
      <t xml:space="preserve">.</t>
    </r>
  </si>
  <si>
    <t xml:space="preserve">미미 제과점</t>
  </si>
  <si>
    <t xml:space="preserve">Mimi Bakery</t>
  </si>
  <si>
    <r>
      <rPr>
        <sz val="10"/>
        <rFont val="Noto Sans CJK SC"/>
        <family val="2"/>
      </rPr>
      <t xml:space="preserve">빵투어 두 번째 코스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원도심 골목 안에 있어 빵택시로 이동했다</t>
    </r>
    <r>
      <rPr>
        <sz val="10"/>
        <rFont val="Arial"/>
        <family val="0"/>
        <charset val="1"/>
      </rPr>
      <t xml:space="preserve">.</t>
    </r>
  </si>
  <si>
    <t xml:space="preserve">민락수변공원</t>
  </si>
  <si>
    <t xml:space="preserve">Millak Waterside Park</t>
  </si>
  <si>
    <r>
      <rPr>
        <sz val="10"/>
        <rFont val="Noto Sans CJK SC"/>
        <family val="2"/>
      </rPr>
      <t xml:space="preserve">광안대교를 정면으로 보는 방파제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저녁에 사람이 모인다</t>
    </r>
    <r>
      <rPr>
        <sz val="10"/>
        <rFont val="Arial"/>
        <family val="0"/>
        <charset val="1"/>
      </rPr>
      <t xml:space="preserve">.</t>
    </r>
  </si>
  <si>
    <t xml:space="preserve">민속공예촌</t>
  </si>
  <si>
    <t xml:space="preserve">Folk Craft Village</t>
  </si>
  <si>
    <r>
      <rPr>
        <sz val="10"/>
        <rFont val="Noto Sans CJK SC"/>
        <family val="2"/>
      </rPr>
      <t xml:space="preserve">도자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금속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목공 공방이 모인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추억의 달동네와 같은 단지에 있다</t>
    </r>
    <r>
      <rPr>
        <sz val="10"/>
        <rFont val="Arial"/>
        <family val="0"/>
        <charset val="1"/>
      </rPr>
      <t xml:space="preserve">.</t>
    </r>
  </si>
  <si>
    <t xml:space="preserve">바람의 언덕</t>
  </si>
  <si>
    <t xml:space="preserve">Windy Hill</t>
  </si>
  <si>
    <r>
      <rPr>
        <sz val="10"/>
        <rFont val="Noto Sans CJK SC"/>
        <family val="2"/>
      </rPr>
      <t xml:space="preserve">잔디 언덕과 풍차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해금강과 묶어 반나절 코스로 돌기 좋다</t>
    </r>
    <r>
      <rPr>
        <sz val="10"/>
        <rFont val="Arial"/>
        <family val="0"/>
        <charset val="1"/>
      </rPr>
      <t xml:space="preserve">.</t>
    </r>
  </si>
  <si>
    <t xml:space="preserve">반포한강공원 달빛무지개분수</t>
  </si>
  <si>
    <t xml:space="preserve">Banpo Moonlight Rainbow Fountain</t>
  </si>
  <si>
    <r>
      <rPr>
        <sz val="10"/>
        <rFont val="Noto Sans CJK SC"/>
        <family val="2"/>
      </rPr>
      <t xml:space="preserve">반포대교 난간에서 물을 뿜는 야간 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한강 야경 코스의 마무리로 넣는다</t>
    </r>
    <r>
      <rPr>
        <sz val="10"/>
        <rFont val="Arial"/>
        <family val="0"/>
        <charset val="1"/>
      </rPr>
      <t xml:space="preserve">.</t>
    </r>
  </si>
  <si>
    <t xml:space="preserve">범어사</t>
  </si>
  <si>
    <t xml:space="preserve">Beomeosa Temple</t>
  </si>
  <si>
    <r>
      <rPr>
        <sz val="10"/>
        <rFont val="Noto Sans CJK SC"/>
        <family val="2"/>
      </rPr>
      <t xml:space="preserve">금정산 자락의 천년 사찰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템플스테이를 운영한다</t>
    </r>
    <r>
      <rPr>
        <sz val="10"/>
        <rFont val="Arial"/>
        <family val="0"/>
        <charset val="1"/>
      </rPr>
      <t xml:space="preserve">.</t>
    </r>
  </si>
  <si>
    <t xml:space="preserve">법흥사</t>
  </si>
  <si>
    <t xml:space="preserve">Beopheungsa Temple</t>
  </si>
  <si>
    <r>
      <rPr>
        <sz val="10"/>
        <rFont val="Noto Sans CJK SC"/>
        <family val="2"/>
      </rPr>
      <t xml:space="preserve">자장율사가 창건했다는 적멸보궁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사자산 아래 전나무 숲길이 길다</t>
    </r>
    <r>
      <rPr>
        <sz val="10"/>
        <rFont val="Arial"/>
        <family val="0"/>
        <charset val="1"/>
      </rPr>
      <t xml:space="preserve">.</t>
    </r>
  </si>
  <si>
    <t xml:space="preserve">벡스코</t>
  </si>
  <si>
    <t xml:space="preserve">BEXCO</t>
  </si>
  <si>
    <r>
      <rPr>
        <sz val="10"/>
        <rFont val="Noto Sans CJK SC"/>
        <family val="2"/>
      </rPr>
      <t xml:space="preserve">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컨벤션 센터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지스타와 부산국제모터쇼가 열린다</t>
    </r>
    <r>
      <rPr>
        <sz val="10"/>
        <rFont val="Arial"/>
        <family val="0"/>
        <charset val="1"/>
      </rPr>
      <t xml:space="preserve">.</t>
    </r>
  </si>
  <si>
    <t xml:space="preserve">별마로천문대</t>
  </si>
  <si>
    <t xml:space="preserve">Byeolmaro Observatory</t>
  </si>
  <si>
    <r>
      <rPr>
        <sz val="10"/>
        <rFont val="Noto Sans CJK SC"/>
        <family val="2"/>
      </rPr>
      <t xml:space="preserve">봉래산 정상 해발 </t>
    </r>
    <r>
      <rPr>
        <sz val="10"/>
        <rFont val="Arial"/>
        <family val="0"/>
        <charset val="1"/>
      </rPr>
      <t xml:space="preserve">799m. </t>
    </r>
    <r>
      <rPr>
        <sz val="10"/>
        <rFont val="Noto Sans CJK SC"/>
        <family val="2"/>
      </rPr>
      <t xml:space="preserve">해 질 무렵 오르면 영월읍과 동강의 야경이 펼쳐지고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밤에는 망원경 관측과 별자리 해설이 이어진다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낮에 유배지를 걷고 하루를 닫는 자리로 권한다</t>
    </r>
    <r>
      <rPr>
        <sz val="10"/>
        <rFont val="Arial"/>
        <family val="0"/>
        <charset val="1"/>
      </rPr>
      <t xml:space="preserve">.</t>
    </r>
  </si>
  <si>
    <t xml:space="preserve">정선</t>
  </si>
  <si>
    <t xml:space="preserve">병방치 스카이워크</t>
  </si>
  <si>
    <t xml:space="preserve">Byeongbangchi Skywalk</t>
  </si>
  <si>
    <r>
      <rPr>
        <sz val="10"/>
        <rFont val="Noto Sans CJK SC"/>
        <family val="2"/>
      </rPr>
      <t xml:space="preserve">동강 한반도 지형을 내려다보는 유리 전망대</t>
    </r>
    <r>
      <rPr>
        <sz val="10"/>
        <rFont val="Arial"/>
        <family val="0"/>
        <charset val="1"/>
      </rPr>
      <t xml:space="preserve">.</t>
    </r>
  </si>
  <si>
    <t xml:space="preserve">보문관광단지</t>
  </si>
  <si>
    <t xml:space="preserve">Bomun Resort Complex</t>
  </si>
  <si>
    <r>
      <rPr>
        <sz val="10"/>
        <rFont val="Noto Sans CJK SC"/>
        <family val="2"/>
      </rPr>
      <t xml:space="preserve">보문호를 둘러싼 숙박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유원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호반길 </t>
    </r>
    <r>
      <rPr>
        <sz val="10"/>
        <rFont val="Arial"/>
        <family val="0"/>
        <charset val="1"/>
      </rPr>
      <t xml:space="preserve">7.5km</t>
    </r>
    <r>
      <rPr>
        <sz val="10"/>
        <rFont val="Noto Sans CJK SC"/>
        <family val="2"/>
      </rPr>
      <t xml:space="preserve">가 벚나무 아래로 이어진다</t>
    </r>
    <r>
      <rPr>
        <sz val="10"/>
        <rFont val="Arial"/>
        <family val="0"/>
        <charset val="1"/>
      </rPr>
      <t xml:space="preserve">.</t>
    </r>
  </si>
  <si>
    <t xml:space="preserve">보수동 책방골목</t>
  </si>
  <si>
    <t xml:space="preserve">Bosu-dong Book Street</t>
  </si>
  <si>
    <r>
      <rPr>
        <sz val="10"/>
        <rFont val="Noto Sans CJK SC"/>
        <family val="2"/>
      </rPr>
      <t xml:space="preserve">헌책방이 줄지어 선 좁은 골목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국제시장 바로 옆이다</t>
    </r>
    <r>
      <rPr>
        <sz val="10"/>
        <rFont val="Arial"/>
        <family val="0"/>
        <charset val="1"/>
      </rPr>
      <t xml:space="preserve">.</t>
    </r>
  </si>
  <si>
    <t xml:space="preserve">본태박물관</t>
  </si>
  <si>
    <t xml:space="preserve">Bonte Museum</t>
  </si>
  <si>
    <r>
      <rPr>
        <sz val="10"/>
        <rFont val="Noto Sans CJK SC"/>
        <family val="2"/>
      </rPr>
      <t xml:space="preserve">안도 다다오가 설계한 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전통 공예와 현대미술을 함께 건다</t>
    </r>
    <r>
      <rPr>
        <sz val="10"/>
        <rFont val="Arial"/>
        <family val="0"/>
        <charset val="1"/>
      </rPr>
      <t xml:space="preserve">.</t>
    </r>
  </si>
  <si>
    <t xml:space="preserve">봉은사</t>
  </si>
  <si>
    <t xml:space="preserve">Bongeunsa Temple</t>
  </si>
  <si>
    <r>
      <rPr>
        <sz val="10"/>
        <rFont val="Noto Sans CJK SC"/>
        <family val="2"/>
      </rPr>
      <t xml:space="preserve">코엑스 건너편의 천년 사찰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템플스테이와 연등이 알려져 있다</t>
    </r>
    <r>
      <rPr>
        <sz val="10"/>
        <rFont val="Arial"/>
        <family val="0"/>
        <charset val="1"/>
      </rPr>
      <t xml:space="preserve">.</t>
    </r>
  </si>
  <si>
    <t xml:space="preserve">봉황대</t>
  </si>
  <si>
    <t xml:space="preserve">Bonghwangdae Mound</t>
  </si>
  <si>
    <r>
      <rPr>
        <sz val="10"/>
        <rFont val="Noto Sans CJK SC"/>
        <family val="2"/>
      </rPr>
      <t xml:space="preserve">시내 한복판에 솟은 최대 규모 고분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정상에 느티나무가 자라 여름 저녁 공연이 열린다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</si>
  <si>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 </t>
    </r>
    <r>
      <rPr>
        <sz val="10"/>
        <rFont val="Arial"/>
        <family val="0"/>
        <charset val="1"/>
      </rPr>
      <t xml:space="preserve">BIFF </t>
    </r>
    <r>
      <rPr>
        <sz val="10"/>
        <rFont val="Noto Sans CJK SC"/>
        <family val="2"/>
      </rPr>
      <t xml:space="preserve">광장</t>
    </r>
  </si>
  <si>
    <t xml:space="preserve">BIFF Square</t>
  </si>
  <si>
    <r>
      <rPr>
        <sz val="10"/>
        <rFont val="Noto Sans CJK SC"/>
        <family val="2"/>
      </rPr>
      <t xml:space="preserve">영화제가 처음 열린 남포동 극장가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바닥에 배우들의 핸드프린팅이 박혀 있고 씨앗호떡 노점이 늘어선다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</si>
  <si>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 </t>
    </r>
    <r>
      <rPr>
        <sz val="10"/>
        <rFont val="Arial"/>
        <family val="0"/>
        <charset val="1"/>
      </rPr>
      <t xml:space="preserve">F1963</t>
    </r>
  </si>
  <si>
    <t xml:space="preserve">F1963</t>
  </si>
  <si>
    <r>
      <rPr>
        <sz val="10"/>
        <rFont val="Noto Sans CJK SC"/>
        <family val="2"/>
      </rPr>
      <t xml:space="preserve">와이어 공장을 고친 복합 문화 공간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서점과 전시장이 있다</t>
    </r>
    <r>
      <rPr>
        <sz val="10"/>
        <rFont val="Arial"/>
        <family val="0"/>
        <charset val="1"/>
      </rPr>
      <t xml:space="preserve">.</t>
    </r>
  </si>
  <si>
    <t xml:space="preserve">부산 광복로</t>
  </si>
  <si>
    <t xml:space="preserve">Gwangbok-ro</t>
  </si>
  <si>
    <r>
      <rPr>
        <sz val="10"/>
        <rFont val="Noto Sans CJK SC"/>
        <family val="2"/>
      </rPr>
      <t xml:space="preserve">남포동의 보행 상가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 조명 축제가 열린다</t>
    </r>
    <r>
      <rPr>
        <sz val="10"/>
        <rFont val="Arial"/>
        <family val="0"/>
        <charset val="1"/>
      </rPr>
      <t xml:space="preserve">.</t>
    </r>
  </si>
  <si>
    <t xml:space="preserve">부산 국제시장</t>
  </si>
  <si>
    <t xml:space="preserve">Gukje Market</t>
  </si>
  <si>
    <r>
      <rPr>
        <sz val="10"/>
        <rFont val="Noto Sans CJK SC"/>
        <family val="2"/>
      </rPr>
      <t xml:space="preserve">피난 시절 형성된 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영화가 그린 가게 자리가 표시돼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옆으로 깡통시장과 먹자골목이 이어진다</t>
    </r>
    <r>
      <rPr>
        <sz val="10"/>
        <rFont val="Arial"/>
        <family val="0"/>
        <charset val="1"/>
      </rPr>
      <t xml:space="preserve">.</t>
    </r>
  </si>
  <si>
    <t xml:space="preserve">부산 롯데월드 어드벤처</t>
  </si>
  <si>
    <t xml:space="preserve">Lotte World Adventure Busan</t>
  </si>
  <si>
    <r>
      <rPr>
        <sz val="10"/>
        <rFont val="Noto Sans CJK SC"/>
        <family val="2"/>
      </rPr>
      <t xml:space="preserve">오시리아 관광단지의 야외 테마파크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자이언트 디거가 대표 기구다</t>
    </r>
    <r>
      <rPr>
        <sz val="10"/>
        <rFont val="Arial"/>
        <family val="0"/>
        <charset val="1"/>
      </rPr>
      <t xml:space="preserve">.</t>
    </r>
  </si>
  <si>
    <t xml:space="preserve">부산 센텀시티</t>
  </si>
  <si>
    <t xml:space="preserve">Centum City</t>
  </si>
  <si>
    <r>
      <rPr>
        <sz val="10"/>
        <rFont val="Noto Sans CJK SC"/>
        <family val="2"/>
      </rPr>
      <t xml:space="preserve">대형 백화점과 전시장이 모인 구역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영화의전당 바로 옆이다</t>
    </r>
    <r>
      <rPr>
        <sz val="10"/>
        <rFont val="Arial"/>
        <family val="0"/>
        <charset val="1"/>
      </rPr>
      <t xml:space="preserve">.</t>
    </r>
  </si>
  <si>
    <t xml:space="preserve">부산 전포 카페거리</t>
  </si>
  <si>
    <t xml:space="preserve">Jeonpo Cafe Street</t>
  </si>
  <si>
    <r>
      <rPr>
        <sz val="10"/>
        <rFont val="Noto Sans CJK SC"/>
        <family val="2"/>
      </rPr>
      <t xml:space="preserve">공구 상가가 카페 거리로 바뀐 구역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서면에서 걸어 닿는다</t>
    </r>
    <r>
      <rPr>
        <sz val="10"/>
        <rFont val="Arial"/>
        <family val="0"/>
        <charset val="1"/>
      </rPr>
      <t xml:space="preserve">.</t>
    </r>
  </si>
  <si>
    <t xml:space="preserve">부산 차이나타운</t>
  </si>
  <si>
    <t xml:space="preserve">Busan Chinatown</t>
  </si>
  <si>
    <r>
      <rPr>
        <sz val="10"/>
        <rFont val="Noto Sans CJK SC"/>
        <family val="2"/>
      </rPr>
      <t xml:space="preserve">부산역 맞은편 상해거리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화교 학교와 중식당이 모여 있다</t>
    </r>
    <r>
      <rPr>
        <sz val="10"/>
        <rFont val="Arial"/>
        <family val="0"/>
        <charset val="1"/>
      </rPr>
      <t xml:space="preserve">.</t>
    </r>
  </si>
  <si>
    <t xml:space="preserve">부산대 대학로</t>
  </si>
  <si>
    <t xml:space="preserve">Pusan National Univ. Street</t>
  </si>
  <si>
    <r>
      <rPr>
        <sz val="10"/>
        <rFont val="Noto Sans CJK SC"/>
        <family val="2"/>
      </rPr>
      <t xml:space="preserve">부산대 정문 앞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노포와 소극장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먹자골목이 이어진다</t>
    </r>
    <r>
      <rPr>
        <sz val="10"/>
        <rFont val="Arial"/>
        <family val="0"/>
        <charset val="1"/>
      </rPr>
      <t xml:space="preserve">.</t>
    </r>
  </si>
  <si>
    <t xml:space="preserve">부산박물관</t>
  </si>
  <si>
    <t xml:space="preserve">Busan Museum</t>
  </si>
  <si>
    <r>
      <rPr>
        <sz val="10"/>
        <rFont val="Noto Sans CJK SC"/>
        <family val="2"/>
      </rPr>
      <t xml:space="preserve">가야부터 근현대까지 부산의 역사를 모았다</t>
    </r>
    <r>
      <rPr>
        <sz val="10"/>
        <rFont val="Arial"/>
        <family val="0"/>
        <charset val="1"/>
      </rPr>
      <t xml:space="preserve">.</t>
    </r>
  </si>
  <si>
    <t xml:space="preserve">부산시민공원</t>
  </si>
  <si>
    <t xml:space="preserve">Busan Citizens Park</t>
  </si>
  <si>
    <r>
      <rPr>
        <sz val="10"/>
        <rFont val="Noto Sans CJK SC"/>
        <family val="2"/>
      </rPr>
      <t xml:space="preserve">미군 기지를 공원으로 바꾼 도심 녹지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숲길과 수로가 길게 난다</t>
    </r>
    <r>
      <rPr>
        <sz val="10"/>
        <rFont val="Arial"/>
        <family val="0"/>
        <charset val="1"/>
      </rPr>
      <t xml:space="preserve">.</t>
    </r>
  </si>
  <si>
    <t xml:space="preserve">부산아시아드 주경기장</t>
  </si>
  <si>
    <t xml:space="preserve">Busan Asiad Main Stadium</t>
  </si>
  <si>
    <r>
      <rPr>
        <sz val="10"/>
        <rFont val="Arial"/>
        <family val="0"/>
        <charset val="1"/>
      </rPr>
      <t xml:space="preserve">2002 </t>
    </r>
    <r>
      <rPr>
        <sz val="10"/>
        <rFont val="Noto Sans CJK SC"/>
        <family val="2"/>
      </rPr>
      <t xml:space="preserve">아시안게임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월드컵 경기장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사직야구장과 한 단지에 있다</t>
    </r>
    <r>
      <rPr>
        <sz val="10"/>
        <rFont val="Arial"/>
        <family val="0"/>
        <charset val="1"/>
      </rPr>
      <t xml:space="preserve">.</t>
    </r>
  </si>
  <si>
    <t xml:space="preserve">부산영화체험박물관</t>
  </si>
  <si>
    <t xml:space="preserve">Busan Museum of Movies</t>
  </si>
  <si>
    <r>
      <rPr>
        <sz val="10"/>
        <rFont val="Noto Sans CJK SC"/>
        <family val="2"/>
      </rPr>
      <t xml:space="preserve">부산에서 찍힌 작품과 영화 기술을 함께 다루는 체험형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기행을 시작하는 자리로 좋다</t>
    </r>
    <r>
      <rPr>
        <sz val="10"/>
        <rFont val="Arial"/>
        <family val="0"/>
        <charset val="1"/>
      </rPr>
      <t xml:space="preserve">.</t>
    </r>
  </si>
  <si>
    <t xml:space="preserve">부산현대미술관</t>
  </si>
  <si>
    <t xml:space="preserve">Museum of Contemporary Art Busan</t>
  </si>
  <si>
    <r>
      <rPr>
        <sz val="10"/>
        <rFont val="Noto Sans CJK SC"/>
        <family val="2"/>
      </rPr>
      <t xml:space="preserve">을숙도 안의 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외벽을 식물이 덮고 있다</t>
    </r>
    <r>
      <rPr>
        <sz val="10"/>
        <rFont val="Arial"/>
        <family val="0"/>
        <charset val="1"/>
      </rPr>
      <t xml:space="preserve">.</t>
    </r>
  </si>
  <si>
    <t xml:space="preserve">부전시장</t>
  </si>
  <si>
    <t xml:space="preserve">Bujeon Market</t>
  </si>
  <si>
    <r>
      <rPr>
        <sz val="10"/>
        <rFont val="Noto Sans CJK SC"/>
        <family val="2"/>
      </rPr>
      <t xml:space="preserve">부산 최대 재래시장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농수산물과 먹자골목이 서면과 붙어 있다</t>
    </r>
    <r>
      <rPr>
        <sz val="10"/>
        <rFont val="Arial"/>
        <family val="0"/>
        <charset val="1"/>
      </rPr>
      <t xml:space="preserve">.</t>
    </r>
  </si>
  <si>
    <t xml:space="preserve">북악스카이웨이 팔각정</t>
  </si>
  <si>
    <t xml:space="preserve">Bugaksan Skyway Pavilion</t>
  </si>
  <si>
    <r>
      <rPr>
        <sz val="10"/>
        <rFont val="Noto Sans CJK SC"/>
        <family val="2"/>
      </rPr>
      <t xml:space="preserve">북악 능선의 전망 정자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도심과 남산이 한눈에 든다</t>
    </r>
    <r>
      <rPr>
        <sz val="10"/>
        <rFont val="Arial"/>
        <family val="0"/>
        <charset val="1"/>
      </rPr>
      <t xml:space="preserve">.</t>
    </r>
  </si>
  <si>
    <t xml:space="preserve">북촌한옥마을</t>
  </si>
  <si>
    <t xml:space="preserve">Bukchon Hanok Village</t>
  </si>
  <si>
    <r>
      <rPr>
        <sz val="10"/>
        <rFont val="Noto Sans CJK SC"/>
        <family val="2"/>
      </rPr>
      <t xml:space="preserve">루미와 진우가 골목과 지붕을 오가며 듀엣곡을 부르는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실제로는 주민이 사는 마을이라 정숙 관람 구역이 지정돼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계동길과 북촌로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길이 촬영 구도와 가장 가깝다</t>
    </r>
    <r>
      <rPr>
        <sz val="10"/>
        <rFont val="Arial"/>
        <family val="0"/>
        <charset val="1"/>
      </rPr>
      <t xml:space="preserve">.</t>
    </r>
  </si>
  <si>
    <t xml:space="preserve">불국사</t>
  </si>
  <si>
    <t xml:space="preserve">Bulguksa</t>
  </si>
  <si>
    <r>
      <rPr>
        <sz val="10"/>
        <rFont val="Noto Sans CJK SC"/>
        <family val="2"/>
      </rPr>
      <t xml:space="preserve">유네스코 세계유산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석굴암과 묶어 반나절 코스로 돌며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주차장 옆에 불국사 관광안내소가 있다</t>
    </r>
    <r>
      <rPr>
        <sz val="10"/>
        <rFont val="Arial"/>
        <family val="0"/>
        <charset val="1"/>
      </rPr>
      <t xml:space="preserve">.</t>
    </r>
  </si>
  <si>
    <t xml:space="preserve">비자림</t>
  </si>
  <si>
    <t xml:space="preserve">Bijarim Forest</t>
  </si>
  <si>
    <r>
      <rPr>
        <sz val="10"/>
        <rFont val="Noto Sans CJK SC"/>
        <family val="2"/>
      </rPr>
      <t xml:space="preserve">수령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년 넘는 비자나무 숲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길이 평탄해 유아차도 다닌다</t>
    </r>
    <r>
      <rPr>
        <sz val="10"/>
        <rFont val="Arial"/>
        <family val="0"/>
        <charset val="1"/>
      </rPr>
      <t xml:space="preserve">.</t>
    </r>
  </si>
  <si>
    <t xml:space="preserve">사라봉</t>
  </si>
  <si>
    <t xml:space="preserve">Sarabong</t>
  </si>
  <si>
    <r>
      <rPr>
        <sz val="10"/>
        <rFont val="Noto Sans CJK SC"/>
        <family val="2"/>
      </rPr>
      <t xml:space="preserve">제주항과 시내가 함께 보이는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정상까지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분이다</t>
    </r>
    <r>
      <rPr>
        <sz val="10"/>
        <rFont val="Arial"/>
        <family val="0"/>
        <charset val="1"/>
      </rPr>
      <t xml:space="preserve">.</t>
    </r>
  </si>
  <si>
    <t xml:space="preserve">사려니숲길</t>
  </si>
  <si>
    <t xml:space="preserve">Saryeoni Forest Path</t>
  </si>
  <si>
    <r>
      <rPr>
        <sz val="10"/>
        <rFont val="Noto Sans CJK SC"/>
        <family val="2"/>
      </rPr>
      <t xml:space="preserve">삼나무가 늘어선 평탄한 숲길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왕복 </t>
    </r>
    <r>
      <rPr>
        <sz val="10"/>
        <rFont val="Arial"/>
        <family val="0"/>
        <charset val="1"/>
      </rPr>
      <t xml:space="preserve">10km</t>
    </r>
    <r>
      <rPr>
        <sz val="10"/>
        <rFont val="Noto Sans CJK SC"/>
        <family val="2"/>
      </rPr>
      <t xml:space="preserve">지만 중간에 돌아 나올 수 있다</t>
    </r>
    <r>
      <rPr>
        <sz val="10"/>
        <rFont val="Arial"/>
        <family val="0"/>
        <charset val="1"/>
      </rPr>
      <t xml:space="preserve">.</t>
    </r>
  </si>
  <si>
    <t xml:space="preserve">사직야구장</t>
  </si>
  <si>
    <t xml:space="preserve">Sajik Baseball Stadium</t>
  </si>
  <si>
    <r>
      <rPr>
        <sz val="10"/>
        <rFont val="Noto Sans CJK SC"/>
        <family val="2"/>
      </rPr>
      <t xml:space="preserve">롯데 자이언츠 홈구장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응원 열기로 이름난 곳이다</t>
    </r>
    <r>
      <rPr>
        <sz val="10"/>
        <rFont val="Arial"/>
        <family val="0"/>
        <charset val="1"/>
      </rPr>
      <t xml:space="preserve">.</t>
    </r>
  </si>
  <si>
    <t xml:space="preserve">산굼부리</t>
  </si>
  <si>
    <t xml:space="preserve">Sangumburi Crater</t>
  </si>
  <si>
    <r>
      <rPr>
        <sz val="10"/>
        <rFont val="Noto Sans CJK SC"/>
        <family val="2"/>
      </rPr>
      <t xml:space="preserve">평지에 뚫린 분화구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 억새가 분화구 둘레를 덮는다</t>
    </r>
    <r>
      <rPr>
        <sz val="10"/>
        <rFont val="Arial"/>
        <family val="0"/>
        <charset val="1"/>
      </rPr>
      <t xml:space="preserve">.</t>
    </r>
  </si>
  <si>
    <t xml:space="preserve">삼성혈</t>
  </si>
  <si>
    <t xml:space="preserve">Samseonghyeol</t>
  </si>
  <si>
    <r>
      <rPr>
        <sz val="10"/>
        <rFont val="Noto Sans CJK SC"/>
        <family val="2"/>
      </rPr>
      <t xml:space="preserve">탐라 건국 신화의 세 시조가 솟았다는 구멍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도심 한복판의 숲에 있다</t>
    </r>
    <r>
      <rPr>
        <sz val="10"/>
        <rFont val="Arial"/>
        <family val="0"/>
        <charset val="1"/>
      </rPr>
      <t xml:space="preserve">.</t>
    </r>
  </si>
  <si>
    <t xml:space="preserve">삼진어묵 영도 본점</t>
  </si>
  <si>
    <t xml:space="preserve">Samjin Eomuk Flagship</t>
  </si>
  <si>
    <r>
      <rPr>
        <sz val="10"/>
        <rFont val="Arial"/>
        <family val="0"/>
        <charset val="1"/>
      </rPr>
      <t xml:space="preserve">1953</t>
    </r>
    <r>
      <rPr>
        <sz val="10"/>
        <rFont val="Noto Sans CJK SC"/>
        <family val="2"/>
      </rPr>
      <t xml:space="preserve">년 시작한 부산 어묵 공장의 본점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체험공간과 어묵베이커리가 함께 있다</t>
    </r>
    <r>
      <rPr>
        <sz val="10"/>
        <rFont val="Arial"/>
        <family val="0"/>
        <charset val="1"/>
      </rPr>
      <t xml:space="preserve">.</t>
    </r>
  </si>
  <si>
    <t xml:space="preserve">삼청동길</t>
  </si>
  <si>
    <t xml:space="preserve">Samcheong-dong</t>
  </si>
  <si>
    <r>
      <rPr>
        <sz val="10"/>
        <rFont val="Noto Sans CJK SC"/>
        <family val="2"/>
      </rPr>
      <t xml:space="preserve">북촌 서쪽의 카페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공방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한옥마을 관람 뒤 쉬어가는 구간으로 붙인다</t>
    </r>
    <r>
      <rPr>
        <sz val="10"/>
        <rFont val="Arial"/>
        <family val="0"/>
        <charset val="1"/>
      </rPr>
      <t xml:space="preserve">.</t>
    </r>
  </si>
  <si>
    <t xml:space="preserve">새별오름</t>
  </si>
  <si>
    <t xml:space="preserve">Saebyeol Oreum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</si>
  <si>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분이면 오르는 화산 언덕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매년 봄 들불축제가 열린다</t>
    </r>
    <r>
      <rPr>
        <sz val="10"/>
        <rFont val="Arial"/>
        <family val="0"/>
        <charset val="1"/>
      </rPr>
      <t xml:space="preserve">.</t>
    </r>
  </si>
  <si>
    <t xml:space="preserve">새별오름 나홀로나무</t>
  </si>
  <si>
    <t xml:space="preserve">Saebyeol Lone Tree</t>
  </si>
  <si>
    <r>
      <rPr>
        <sz val="10"/>
        <rFont val="Noto Sans CJK SC"/>
        <family val="2"/>
      </rPr>
      <t xml:space="preserve">들판에 한 그루 선 나무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새별오름 바로 아래다</t>
    </r>
    <r>
      <rPr>
        <sz val="10"/>
        <rFont val="Arial"/>
        <family val="0"/>
        <charset val="1"/>
      </rPr>
      <t xml:space="preserve">.</t>
    </r>
  </si>
  <si>
    <t xml:space="preserve">서귀포 이중섭거리</t>
  </si>
  <si>
    <t xml:space="preserve">Lee Jung-seop Street</t>
  </si>
  <si>
    <r>
      <rPr>
        <sz val="10"/>
        <rFont val="Noto Sans CJK SC"/>
        <family val="2"/>
      </rPr>
      <t xml:space="preserve">화가가 피난기에 머문 초가와 미술관이 있는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올레시장과 붙어 있다</t>
    </r>
    <r>
      <rPr>
        <sz val="10"/>
        <rFont val="Arial"/>
        <family val="0"/>
        <charset val="1"/>
      </rPr>
      <t xml:space="preserve">.</t>
    </r>
  </si>
  <si>
    <t xml:space="preserve">서귀포 자연휴양림</t>
  </si>
  <si>
    <t xml:space="preserve">Seogwipo Recreation Forest</t>
  </si>
  <si>
    <r>
      <rPr>
        <sz val="10"/>
        <rFont val="Noto Sans CJK SC"/>
        <family val="2"/>
      </rPr>
      <t xml:space="preserve">한라산 남쪽 사면의 편백 숲</t>
    </r>
    <r>
      <rPr>
        <sz val="10"/>
        <rFont val="Arial"/>
        <family val="0"/>
        <charset val="1"/>
      </rPr>
      <t xml:space="preserve">. 1100</t>
    </r>
    <r>
      <rPr>
        <sz val="10"/>
        <rFont val="Noto Sans CJK SC"/>
        <family val="2"/>
      </rPr>
      <t xml:space="preserve">도로 중턱에 있다</t>
    </r>
    <r>
      <rPr>
        <sz val="10"/>
        <rFont val="Arial"/>
        <family val="0"/>
        <charset val="1"/>
      </rPr>
      <t xml:space="preserve">.</t>
    </r>
  </si>
  <si>
    <t xml:space="preserve">서대문형무소역사관</t>
  </si>
  <si>
    <t xml:space="preserve">Seodaemun Prison History Hall</t>
  </si>
  <si>
    <r>
      <rPr>
        <sz val="10"/>
        <rFont val="Noto Sans CJK SC"/>
        <family val="2"/>
      </rPr>
      <t xml:space="preserve">일제강점기 감옥을 남긴 역사관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옥사와 사형장이 그대로 보존돼 있다</t>
    </r>
    <r>
      <rPr>
        <sz val="10"/>
        <rFont val="Arial"/>
        <family val="0"/>
        <charset val="1"/>
      </rPr>
      <t xml:space="preserve">.</t>
    </r>
  </si>
  <si>
    <t xml:space="preserve">서면 먹자골목</t>
  </si>
  <si>
    <t xml:space="preserve">Seomyeon Food Alley</t>
  </si>
  <si>
    <r>
      <rPr>
        <sz val="10"/>
        <rFont val="Noto Sans CJK SC"/>
        <family val="2"/>
      </rPr>
      <t xml:space="preserve">부산에서 가장 밀도 높은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돼지국밥집이 몰려 있다</t>
    </r>
    <r>
      <rPr>
        <sz val="10"/>
        <rFont val="Arial"/>
        <family val="0"/>
        <charset val="1"/>
      </rPr>
      <t xml:space="preserve">.</t>
    </r>
  </si>
  <si>
    <t xml:space="preserve">서울광장</t>
  </si>
  <si>
    <t xml:space="preserve">Seoul Plaza</t>
  </si>
  <si>
    <r>
      <rPr>
        <sz val="10"/>
        <rFont val="Noto Sans CJK SC"/>
        <family val="2"/>
      </rPr>
      <t xml:space="preserve">시청 앞 잔디 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겨울에는 스케이트장이 열린다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</si>
  <si>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서울로</t>
    </r>
    <r>
      <rPr>
        <sz val="10"/>
        <rFont val="Arial"/>
        <family val="0"/>
        <charset val="1"/>
      </rPr>
      <t xml:space="preserve">7017</t>
    </r>
  </si>
  <si>
    <t xml:space="preserve">Seoullo 7017</t>
  </si>
  <si>
    <r>
      <rPr>
        <sz val="10"/>
        <rFont val="Noto Sans CJK SC"/>
        <family val="2"/>
      </rPr>
      <t xml:space="preserve">고가도로를 고쳐 만든 보행길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서울역에서 남대문 방향으로 이어진다</t>
    </r>
    <r>
      <rPr>
        <sz val="10"/>
        <rFont val="Arial"/>
        <family val="0"/>
        <charset val="1"/>
      </rPr>
      <t xml:space="preserve">.</t>
    </r>
  </si>
  <si>
    <t xml:space="preserve">서울숲</t>
  </si>
  <si>
    <t xml:space="preserve">Seoul Forest</t>
  </si>
  <si>
    <r>
      <rPr>
        <sz val="10"/>
        <rFont val="Noto Sans CJK SC"/>
        <family val="2"/>
      </rPr>
      <t xml:space="preserve">옛 경마장 자리에 만든 숲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사슴방사장이 있다</t>
    </r>
    <r>
      <rPr>
        <sz val="10"/>
        <rFont val="Arial"/>
        <family val="0"/>
        <charset val="1"/>
      </rPr>
      <t xml:space="preserve">.</t>
    </r>
  </si>
  <si>
    <t xml:space="preserve">서울시립미술관</t>
  </si>
  <si>
    <t xml:space="preserve">Seoul Museum of Art</t>
  </si>
  <si>
    <r>
      <rPr>
        <sz val="10"/>
        <rFont val="Noto Sans CJK SC"/>
        <family val="2"/>
      </rPr>
      <t xml:space="preserve">옛 대법원 건물을 쓰는 시립미술관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덕수궁 돌담길 끝에 있다</t>
    </r>
    <r>
      <rPr>
        <sz val="10"/>
        <rFont val="Arial"/>
        <family val="0"/>
        <charset val="1"/>
      </rPr>
      <t xml:space="preserve">.</t>
    </r>
  </si>
  <si>
    <t xml:space="preserve">서울식물원</t>
  </si>
  <si>
    <t xml:space="preserve">Seoul Botanic Park</t>
  </si>
  <si>
    <r>
      <rPr>
        <sz val="10"/>
        <rFont val="Noto Sans CJK SC"/>
        <family val="2"/>
      </rPr>
      <t xml:space="preserve">열대 온실과 호수원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습지원이 이어지는 대형 식물원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마곡나루역과 붙어 있다</t>
    </r>
    <r>
      <rPr>
        <sz val="10"/>
        <rFont val="Arial"/>
        <family val="0"/>
        <charset val="1"/>
      </rPr>
      <t xml:space="preserve">.</t>
    </r>
  </si>
  <si>
    <t xml:space="preserve">서울약령시 한의약박물관</t>
  </si>
  <si>
    <t xml:space="preserve">Seoul Yangnyeongsi Herb Museum</t>
  </si>
  <si>
    <r>
      <rPr>
        <sz val="10"/>
        <rFont val="Noto Sans CJK SC"/>
        <family val="2"/>
      </rPr>
      <t xml:space="preserve">한방진흥센터와 같은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약재 감별과 한방차 체험을 함께 운영한다</t>
    </r>
    <r>
      <rPr>
        <sz val="10"/>
        <rFont val="Arial"/>
        <family val="0"/>
        <charset val="1"/>
      </rPr>
      <t xml:space="preserve">.</t>
    </r>
  </si>
  <si>
    <t xml:space="preserve">서울역사박물관</t>
  </si>
  <si>
    <t xml:space="preserve">Seoul Museum of History</t>
  </si>
  <si>
    <r>
      <rPr>
        <sz val="10"/>
        <rFont val="Noto Sans CJK SC"/>
        <family val="2"/>
      </rPr>
      <t xml:space="preserve">조선 한양부터 현대 서울까지를 다룬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경희궁 옆에 있다</t>
    </r>
    <r>
      <rPr>
        <sz val="10"/>
        <rFont val="Arial"/>
        <family val="0"/>
        <charset val="1"/>
      </rPr>
      <t xml:space="preserve">.</t>
    </r>
  </si>
  <si>
    <t xml:space="preserve">서울올림픽주경기장</t>
  </si>
  <si>
    <t xml:space="preserve">Seoul Olympic Stadium</t>
  </si>
  <si>
    <r>
      <rPr>
        <sz val="10"/>
        <rFont val="Noto Sans CJK SC"/>
        <family val="2"/>
      </rPr>
      <t xml:space="preserve">마지막 대결이 벌어지는 공연장의 모델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잠실종합운동장 단지 안에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공연이 없는 날에도 외곽 트랙을 따라 걸을 수 있다</t>
    </r>
    <r>
      <rPr>
        <sz val="10"/>
        <rFont val="Arial"/>
        <family val="0"/>
        <charset val="1"/>
      </rPr>
      <t xml:space="preserve">.</t>
    </r>
  </si>
  <si>
    <t xml:space="preserve">서울한방진흥센터</t>
  </si>
  <si>
    <t xml:space="preserve">Seoul Oriental Medicine Center</t>
  </si>
  <si>
    <r>
      <rPr>
        <sz val="10"/>
        <rFont val="Noto Sans CJK SC"/>
        <family val="2"/>
      </rPr>
      <t xml:space="preserve">작품 속 한의원 외관과 닮은 건물로 알려지며 순례지가 됐다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호선 제기동역 옆 약령시 한복판에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족욕과 한방차 체험을 운영한다</t>
    </r>
    <r>
      <rPr>
        <sz val="10"/>
        <rFont val="Arial"/>
        <family val="0"/>
        <charset val="1"/>
      </rPr>
      <t xml:space="preserve">.</t>
    </r>
  </si>
  <si>
    <t xml:space="preserve">서촌</t>
  </si>
  <si>
    <t xml:space="preserve">Seochon</t>
  </si>
  <si>
    <r>
      <rPr>
        <sz val="10"/>
        <rFont val="Noto Sans CJK SC"/>
        <family val="2"/>
      </rPr>
      <t xml:space="preserve">경복궁 서쪽의 오래된 주택가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골목이 좁고 조용하다</t>
    </r>
    <r>
      <rPr>
        <sz val="10"/>
        <rFont val="Arial"/>
        <family val="0"/>
        <charset val="1"/>
      </rPr>
      <t xml:space="preserve">.</t>
    </r>
  </si>
  <si>
    <t xml:space="preserve">서출지</t>
  </si>
  <si>
    <t xml:space="preserve">Seochulji Pond</t>
  </si>
  <si>
    <r>
      <rPr>
        <sz val="10"/>
        <rFont val="Noto Sans CJK SC"/>
        <family val="2"/>
      </rPr>
      <t xml:space="preserve">삼국유사 설화가 깃든 연못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배롱나무가 물가에 늘어져 여름에 붉게 핀다</t>
    </r>
    <r>
      <rPr>
        <sz val="10"/>
        <rFont val="Arial"/>
        <family val="0"/>
        <charset val="1"/>
      </rPr>
      <t xml:space="preserve">.</t>
    </r>
  </si>
  <si>
    <t xml:space="preserve">석굴암</t>
  </si>
  <si>
    <t xml:space="preserve">Seokguram Grotto</t>
  </si>
  <si>
    <r>
      <rPr>
        <sz val="10"/>
        <rFont val="Noto Sans CJK SC"/>
        <family val="2"/>
      </rPr>
      <t xml:space="preserve">토함산 동쪽 사면의 석굴 사원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본존불을 화강암 돔 안에 앉힌 구조로 불국사와 함께 세계유산에 올랐다</t>
    </r>
    <r>
      <rPr>
        <sz val="10"/>
        <rFont val="Arial"/>
        <family val="0"/>
        <charset val="1"/>
      </rPr>
      <t xml:space="preserve">.</t>
    </r>
  </si>
  <si>
    <t xml:space="preserve">석촌호수</t>
  </si>
  <si>
    <t xml:space="preserve">Seokchon Lake</t>
  </si>
  <si>
    <r>
      <rPr>
        <sz val="10"/>
        <rFont val="Noto Sans CJK SC"/>
        <family val="2"/>
      </rPr>
      <t xml:space="preserve">롯데월드타워를 물에 비추는 호수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바퀴 </t>
    </r>
    <r>
      <rPr>
        <sz val="10"/>
        <rFont val="Arial"/>
        <family val="0"/>
        <charset val="1"/>
      </rPr>
      <t xml:space="preserve">2.5km</t>
    </r>
    <r>
      <rPr>
        <sz val="10"/>
        <rFont val="Noto Sans CJK SC"/>
        <family val="2"/>
      </rPr>
      <t xml:space="preserve">다</t>
    </r>
    <r>
      <rPr>
        <sz val="10"/>
        <rFont val="Arial"/>
        <family val="0"/>
        <charset val="1"/>
      </rPr>
      <t xml:space="preserve">.</t>
    </r>
  </si>
  <si>
    <t xml:space="preserve">선돌</t>
  </si>
  <si>
    <t xml:space="preserve">Seondol Standing Rock</t>
  </si>
  <si>
    <r>
      <rPr>
        <sz val="10"/>
        <rFont val="Noto Sans CJK SC"/>
        <family val="2"/>
      </rPr>
      <t xml:space="preserve">서강 절벽 끝에 둘로 갈라져 선 </t>
    </r>
    <r>
      <rPr>
        <sz val="10"/>
        <rFont val="Arial"/>
        <family val="0"/>
        <charset val="1"/>
      </rPr>
      <t xml:space="preserve">70m </t>
    </r>
    <r>
      <rPr>
        <sz val="10"/>
        <rFont val="Noto Sans CJK SC"/>
        <family val="2"/>
      </rPr>
      <t xml:space="preserve">바위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유배길의 단종이 이 바위를 보고 신선 같다 하여 선돌이라 불렀다고 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주차장에서 전망대까지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분이면 닿는다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</si>
  <si>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선릉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정릉</t>
    </r>
  </si>
  <si>
    <t xml:space="preserve">Seonjeongneung</t>
  </si>
  <si>
    <r>
      <rPr>
        <sz val="10"/>
        <rFont val="Noto Sans CJK SC"/>
        <family val="2"/>
      </rPr>
      <t xml:space="preserve">빌딩 사이에 남은 조선 왕릉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</si>
  <si>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성동시장</t>
  </si>
  <si>
    <t xml:space="preserve">Seongdong Market</t>
  </si>
  <si>
    <r>
      <rPr>
        <sz val="10"/>
        <rFont val="Noto Sans CJK SC"/>
        <family val="2"/>
      </rPr>
      <t xml:space="preserve">경주역 앞 상설시장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제철 송이와 시장 백반이 강하다</t>
    </r>
    <r>
      <rPr>
        <sz val="10"/>
        <rFont val="Arial"/>
        <family val="0"/>
        <charset val="1"/>
      </rPr>
      <t xml:space="preserve">.</t>
    </r>
  </si>
  <si>
    <t xml:space="preserve">성산포항</t>
  </si>
  <si>
    <t xml:space="preserve">Seongsanpo Harbour</t>
  </si>
  <si>
    <r>
      <rPr>
        <sz val="10"/>
        <rFont val="Noto Sans CJK SC"/>
        <family val="2"/>
      </rPr>
      <t xml:space="preserve">우도로 가는 배가 뜨는 항구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회센터가 붙어 있다</t>
    </r>
    <r>
      <rPr>
        <sz val="10"/>
        <rFont val="Arial"/>
        <family val="0"/>
        <charset val="1"/>
      </rPr>
      <t xml:space="preserve">.</t>
    </r>
  </si>
  <si>
    <t xml:space="preserve">성수동 카페거리</t>
  </si>
  <si>
    <t xml:space="preserve">Seongsu Cafe Street</t>
  </si>
  <si>
    <r>
      <rPr>
        <sz val="10"/>
        <rFont val="Noto Sans CJK SC"/>
        <family val="2"/>
      </rPr>
      <t xml:space="preserve">붉은 벽돌 공장을 고친 카페와 팝업 스토어 밀집 구역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케이팝 관련 팝업이 자주 선다</t>
    </r>
    <r>
      <rPr>
        <sz val="10"/>
        <rFont val="Arial"/>
        <family val="0"/>
        <charset val="1"/>
      </rPr>
      <t xml:space="preserve">.</t>
    </r>
  </si>
  <si>
    <t xml:space="preserve">성심당</t>
  </si>
  <si>
    <t xml:space="preserve">Sungsimdang</t>
  </si>
  <si>
    <r>
      <rPr>
        <sz val="10"/>
        <rFont val="Noto Sans CJK SC"/>
        <family val="2"/>
      </rPr>
      <t xml:space="preserve">빵투어의 출발점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튀김소보로 대기 줄은 평일 오전이 가장 짧다</t>
    </r>
    <r>
      <rPr>
        <sz val="10"/>
        <rFont val="Arial"/>
        <family val="0"/>
        <charset val="1"/>
      </rPr>
      <t xml:space="preserve">.</t>
    </r>
  </si>
  <si>
    <t xml:space="preserve">성읍민속마을</t>
  </si>
  <si>
    <t xml:space="preserve">Seongeup Folk Village</t>
  </si>
  <si>
    <r>
      <rPr>
        <sz val="10"/>
        <rFont val="Noto Sans CJK SC"/>
        <family val="2"/>
      </rPr>
      <t xml:space="preserve">초가와 돌담이 남은 옛 읍성 마을</t>
    </r>
    <r>
      <rPr>
        <sz val="10"/>
        <rFont val="Arial"/>
        <family val="0"/>
        <charset val="1"/>
      </rPr>
      <t xml:space="preserve">. 1950</t>
    </r>
    <r>
      <rPr>
        <sz val="10"/>
        <rFont val="Noto Sans CJK SC"/>
        <family val="2"/>
      </rPr>
      <t xml:space="preserve">년대 제주의 생활상을 그대로 볼 수 있다</t>
    </r>
    <r>
      <rPr>
        <sz val="10"/>
        <rFont val="Arial"/>
        <family val="0"/>
        <charset val="1"/>
      </rPr>
      <t xml:space="preserve">.</t>
    </r>
  </si>
  <si>
    <t xml:space="preserve">세종문화회관</t>
  </si>
  <si>
    <t xml:space="preserve">Sejong Center</t>
  </si>
  <si>
    <r>
      <rPr>
        <sz val="10"/>
        <rFont val="Noto Sans CJK SC"/>
        <family val="2"/>
      </rPr>
      <t xml:space="preserve">광화문광장에 면한 대극장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전시실과 야외 계단 공간도 함께 쓴다</t>
    </r>
    <r>
      <rPr>
        <sz val="10"/>
        <rFont val="Arial"/>
        <family val="0"/>
        <charset val="1"/>
      </rPr>
      <t xml:space="preserve">.</t>
    </r>
  </si>
  <si>
    <t xml:space="preserve">충주</t>
  </si>
  <si>
    <t xml:space="preserve">수안보온천</t>
  </si>
  <si>
    <t xml:space="preserve">Suanbo Hot Springs</t>
  </si>
  <si>
    <r>
      <rPr>
        <sz val="10"/>
        <rFont val="Noto Sans CJK SC"/>
        <family val="2"/>
      </rPr>
      <t xml:space="preserve">조선시대부터 알려진 온천 지구</t>
    </r>
    <r>
      <rPr>
        <sz val="10"/>
        <rFont val="Arial"/>
        <family val="0"/>
        <charset val="1"/>
      </rPr>
      <t xml:space="preserve">.</t>
    </r>
  </si>
  <si>
    <t xml:space="preserve">수원전통문화관</t>
  </si>
  <si>
    <t xml:space="preserve">Suwon Traditional Culture Center</t>
  </si>
  <si>
    <r>
      <rPr>
        <sz val="10"/>
        <rFont val="Noto Sans CJK SC"/>
        <family val="2"/>
      </rPr>
      <t xml:space="preserve">전통식생활체험관과 예절교육관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화성행궁에서 도보 이동 가능</t>
    </r>
    <r>
      <rPr>
        <sz val="10"/>
        <rFont val="Arial"/>
        <family val="0"/>
        <charset val="1"/>
      </rPr>
      <t xml:space="preserve">.</t>
    </r>
  </si>
  <si>
    <t xml:space="preserve">수원화성</t>
  </si>
  <si>
    <t xml:space="preserve">Suwon Hwaseong</t>
  </si>
  <si>
    <r>
      <rPr>
        <sz val="10"/>
        <rFont val="Noto Sans CJK SC"/>
        <family val="2"/>
      </rPr>
      <t xml:space="preserve">성곽 둘레 </t>
    </r>
    <r>
      <rPr>
        <sz val="10"/>
        <rFont val="Arial"/>
        <family val="0"/>
        <charset val="1"/>
      </rPr>
      <t xml:space="preserve">5.7km. </t>
    </r>
    <r>
      <rPr>
        <sz val="10"/>
        <rFont val="Noto Sans CJK SC"/>
        <family val="2"/>
      </rPr>
      <t xml:space="preserve">서장대 구간이 영상에 나온다</t>
    </r>
    <r>
      <rPr>
        <sz val="10"/>
        <rFont val="Arial"/>
        <family val="0"/>
        <charset val="1"/>
      </rPr>
      <t xml:space="preserve">.</t>
    </r>
  </si>
  <si>
    <t xml:space="preserve">수원화성 국궁체험장</t>
  </si>
  <si>
    <t xml:space="preserve">Suwon Hwaseong Archery Range</t>
  </si>
  <si>
    <r>
      <rPr>
        <sz val="10"/>
        <rFont val="Noto Sans CJK SC"/>
        <family val="2"/>
      </rPr>
      <t xml:space="preserve">수원화성 내 전통 국궁 체험장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영상에서 멤버들의 국궁 체험 장면이 촬영된 곳</t>
    </r>
    <r>
      <rPr>
        <sz val="10"/>
        <rFont val="Arial"/>
        <family val="0"/>
        <charset val="1"/>
      </rPr>
      <t xml:space="preserve">.</t>
    </r>
  </si>
  <si>
    <t xml:space="preserve">스타필드 시티 명지</t>
  </si>
  <si>
    <t xml:space="preserve">Starfield City Myeongji</t>
  </si>
  <si>
    <r>
      <rPr>
        <sz val="10"/>
        <rFont val="Noto Sans CJK SC"/>
        <family val="2"/>
      </rPr>
      <t xml:space="preserve">명지국제신도시의 복합몰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스포츠몬스터와 식당가가 있다</t>
    </r>
    <r>
      <rPr>
        <sz val="10"/>
        <rFont val="Arial"/>
        <family val="0"/>
        <charset val="1"/>
      </rPr>
      <t xml:space="preserve">.</t>
    </r>
  </si>
  <si>
    <t xml:space="preserve">신라밀레니엄파크</t>
  </si>
  <si>
    <t xml:space="preserve">Silla Millennium Park</t>
  </si>
  <si>
    <r>
      <rPr>
        <sz val="10"/>
        <rFont val="Noto Sans CJK SC"/>
        <family val="2"/>
      </rPr>
      <t xml:space="preserve">신라 왕경을 재현한 테마파크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공연과 한복 체험이 주 프로그램이다</t>
    </r>
    <r>
      <rPr>
        <sz val="10"/>
        <rFont val="Arial"/>
        <family val="0"/>
        <charset val="1"/>
      </rPr>
      <t xml:space="preserve">.</t>
    </r>
  </si>
  <si>
    <t xml:space="preserve">신선대</t>
  </si>
  <si>
    <t xml:space="preserve">Sinseondae</t>
  </si>
  <si>
    <r>
      <rPr>
        <sz val="10"/>
        <rFont val="Noto Sans CJK SC"/>
        <family val="2"/>
      </rPr>
      <t xml:space="preserve">바람의 언덕 옆 해안 암반 전망대</t>
    </r>
    <r>
      <rPr>
        <sz val="10"/>
        <rFont val="Arial"/>
        <family val="0"/>
        <charset val="1"/>
      </rPr>
      <t xml:space="preserve">.</t>
    </r>
  </si>
  <si>
    <t xml:space="preserve">신선대 전망대</t>
  </si>
  <si>
    <t xml:space="preserve">Sinseondae Lookout</t>
  </si>
  <si>
    <r>
      <rPr>
        <sz val="10"/>
        <rFont val="Noto Sans CJK SC"/>
        <family val="2"/>
      </rPr>
      <t xml:space="preserve">컨테이너 항만이 한눈에 드는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부산항의 규모가 실감 난다</t>
    </r>
    <r>
      <rPr>
        <sz val="10"/>
        <rFont val="Arial"/>
        <family val="0"/>
        <charset val="1"/>
      </rPr>
      <t xml:space="preserve">.</t>
    </r>
  </si>
  <si>
    <t xml:space="preserve">신세계백화점 센텀시티점</t>
  </si>
  <si>
    <t xml:space="preserve">Shinsegae Centum City</t>
  </si>
  <si>
    <r>
      <rPr>
        <sz val="10"/>
        <rFont val="Noto Sans CJK SC"/>
        <family val="2"/>
      </rPr>
      <t xml:space="preserve">세계 최대 규모의 백화점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스파랜드와 옥상정원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식당가가 함께 있다</t>
    </r>
    <r>
      <rPr>
        <sz val="10"/>
        <rFont val="Arial"/>
        <family val="0"/>
        <charset val="1"/>
      </rPr>
      <t xml:space="preserve">.</t>
    </r>
  </si>
  <si>
    <t xml:space="preserve">신촌 대학가</t>
  </si>
  <si>
    <t xml:space="preserve">Sinchon University Area</t>
  </si>
  <si>
    <r>
      <rPr>
        <sz val="10"/>
        <rFont val="Noto Sans CJK SC"/>
        <family val="2"/>
      </rPr>
      <t xml:space="preserve">연세대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이화여대 앞으로 이어지는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연세로는 차 없는 거리다</t>
    </r>
    <r>
      <rPr>
        <sz val="10"/>
        <rFont val="Arial"/>
        <family val="0"/>
        <charset val="1"/>
      </rPr>
      <t xml:space="preserve">.</t>
    </r>
  </si>
  <si>
    <t xml:space="preserve">아부오름</t>
  </si>
  <si>
    <t xml:space="preserve">Abu Oreum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</si>
  <si>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분이면 오르는 낮은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분화구 안쪽에 삼나무가 둥글게 심겨 있다</t>
    </r>
    <r>
      <rPr>
        <sz val="10"/>
        <rFont val="Arial"/>
        <family val="0"/>
        <charset val="1"/>
      </rPr>
      <t xml:space="preserve">.</t>
    </r>
  </si>
  <si>
    <t xml:space="preserve">암사동 유적</t>
  </si>
  <si>
    <t xml:space="preserve">Amsa-dong Prehistoric Site</t>
  </si>
  <si>
    <r>
      <rPr>
        <sz val="10"/>
        <rFont val="Noto Sans CJK SC"/>
        <family val="2"/>
      </rPr>
      <t xml:space="preserve">신석기 집터를 복원한 유적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빗살무늬토기가 나온 곳이다</t>
    </r>
    <r>
      <rPr>
        <sz val="10"/>
        <rFont val="Arial"/>
        <family val="0"/>
        <charset val="1"/>
      </rPr>
      <t xml:space="preserve">.</t>
    </r>
  </si>
  <si>
    <t xml:space="preserve">압구정 로데오거리</t>
  </si>
  <si>
    <t xml:space="preserve">Apgujeong Rodeo Street</t>
  </si>
  <si>
    <r>
      <rPr>
        <sz val="10"/>
        <rFont val="Noto Sans CJK SC"/>
        <family val="2"/>
      </rPr>
      <t xml:space="preserve">편집숍과 카페가 모인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연예기획사 사옥이 가까워 팬들이 자주 찾는다</t>
    </r>
    <r>
      <rPr>
        <sz val="10"/>
        <rFont val="Arial"/>
        <family val="0"/>
        <charset val="1"/>
      </rPr>
      <t xml:space="preserve">.</t>
    </r>
  </si>
  <si>
    <t xml:space="preserve">양동마을</t>
  </si>
  <si>
    <t xml:space="preserve">Yangdong Folk Village</t>
  </si>
  <si>
    <r>
      <rPr>
        <sz val="10"/>
        <rFont val="Noto Sans CJK SC"/>
        <family val="2"/>
      </rPr>
      <t xml:space="preserve">월성 손씨와 여강 이씨가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년간 이어온 씨족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기와집과 초가가 언덕을 따라 앉아 있다</t>
    </r>
    <r>
      <rPr>
        <sz val="10"/>
        <rFont val="Arial"/>
        <family val="0"/>
        <charset val="1"/>
      </rPr>
      <t xml:space="preserve">.</t>
    </r>
  </si>
  <si>
    <t xml:space="preserve">어라연</t>
  </si>
  <si>
    <t xml:space="preserve">Eorayeon</t>
  </si>
  <si>
    <r>
      <rPr>
        <sz val="10"/>
        <rFont val="Noto Sans CJK SC"/>
        <family val="2"/>
      </rPr>
      <t xml:space="preserve">동강 상류의 세 못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기암절벽과 굽이치는 강물이 영화의 강 장면에 깊이를 더한다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걸어서 왕복 세 시간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래프팅으로는 배 위에서 지난다</t>
    </r>
    <r>
      <rPr>
        <sz val="10"/>
        <rFont val="Arial"/>
        <family val="0"/>
        <charset val="1"/>
      </rPr>
      <t xml:space="preserve">.</t>
    </r>
  </si>
  <si>
    <t xml:space="preserve">여미지식물원</t>
  </si>
  <si>
    <t xml:space="preserve">Yeomiji Botanic Garden</t>
  </si>
  <si>
    <r>
      <rPr>
        <sz val="10"/>
        <rFont val="Noto Sans CJK SC"/>
        <family val="2"/>
      </rPr>
      <t xml:space="preserve">온실과 외부 정원이 함께 있는 식물원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 오는 날 대안이다</t>
    </r>
    <r>
      <rPr>
        <sz val="10"/>
        <rFont val="Arial"/>
        <family val="0"/>
        <charset val="1"/>
      </rPr>
      <t xml:space="preserve">.</t>
    </r>
  </si>
  <si>
    <t xml:space="preserve">여의도 한강공원</t>
  </si>
  <si>
    <t xml:space="preserve">Yeouido Hangang Park</t>
  </si>
  <si>
    <r>
      <rPr>
        <sz val="10"/>
        <rFont val="Noto Sans CJK SC"/>
        <family val="2"/>
      </rPr>
      <t xml:space="preserve">봄 벚꽃과 여름 물빛광장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유람선 선착장이 붙어 있다</t>
    </r>
    <r>
      <rPr>
        <sz val="10"/>
        <rFont val="Arial"/>
        <family val="0"/>
        <charset val="1"/>
      </rPr>
      <t xml:space="preserve">.</t>
    </r>
  </si>
  <si>
    <t xml:space="preserve">여의도공원</t>
  </si>
  <si>
    <t xml:space="preserve">Yeouido Park</t>
  </si>
  <si>
    <r>
      <rPr>
        <sz val="10"/>
        <rFont val="Noto Sans CJK SC"/>
        <family val="2"/>
      </rPr>
      <t xml:space="preserve">업무지구 한가운데 놓인 긴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한강공원까지 걸어서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</si>
  <si>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여차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홍포 전망대</t>
    </r>
  </si>
  <si>
    <t xml:space="preserve">Yeocha–Hongpo Lookout</t>
  </si>
  <si>
    <r>
      <rPr>
        <sz val="10"/>
        <rFont val="Noto Sans CJK SC"/>
        <family val="2"/>
      </rPr>
      <t xml:space="preserve">남부면 해안도로 최남단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소병대도가 줄지어 보이는 자리로 일몰이 강하다</t>
    </r>
    <r>
      <rPr>
        <sz val="10"/>
        <rFont val="Arial"/>
        <family val="0"/>
        <charset val="1"/>
      </rPr>
      <t xml:space="preserve">.</t>
    </r>
  </si>
  <si>
    <t xml:space="preserve">연남동 경의선숲길</t>
  </si>
  <si>
    <t xml:space="preserve">Yeonnam Gyeongui Line Park</t>
  </si>
  <si>
    <r>
      <rPr>
        <sz val="10"/>
        <rFont val="Noto Sans CJK SC"/>
        <family val="2"/>
      </rPr>
      <t xml:space="preserve">폐선을 공원으로 바꾼 긴 녹지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홍대에서 연남동까지 이어진다</t>
    </r>
    <r>
      <rPr>
        <sz val="10"/>
        <rFont val="Arial"/>
        <family val="0"/>
        <charset val="1"/>
      </rPr>
      <t xml:space="preserve">.</t>
    </r>
  </si>
  <si>
    <t xml:space="preserve">영도 남항시장</t>
  </si>
  <si>
    <t xml:space="preserve">Yeongdo Namhang Market</t>
  </si>
  <si>
    <r>
      <rPr>
        <sz val="10"/>
        <rFont val="Noto Sans CJK SC"/>
        <family val="2"/>
      </rPr>
      <t xml:space="preserve">영도대교 건너 남항동 골목시장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어묵과 건어물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생선 좌판이 이어진다</t>
    </r>
    <r>
      <rPr>
        <sz val="10"/>
        <rFont val="Arial"/>
        <family val="0"/>
        <charset val="1"/>
      </rPr>
      <t xml:space="preserve">.</t>
    </r>
  </si>
  <si>
    <t xml:space="preserve">영도대교</t>
  </si>
  <si>
    <t xml:space="preserve">Yeongdo Bridge</t>
  </si>
  <si>
    <r>
      <rPr>
        <sz val="10"/>
        <rFont val="Noto Sans CJK SC"/>
        <family val="2"/>
      </rPr>
      <t xml:space="preserve">국내 유일의 도개교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매일 한 차례 다리가 들린다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피난 시절 이산가족의 약속 장소로 알려져 시대극에 자주 나온다</t>
    </r>
    <r>
      <rPr>
        <sz val="10"/>
        <rFont val="Arial"/>
        <family val="0"/>
        <charset val="1"/>
      </rPr>
      <t xml:space="preserve">.</t>
    </r>
  </si>
  <si>
    <t xml:space="preserve">영월 서부시장</t>
  </si>
  <si>
    <t xml:space="preserve">Yeongwol Seobu Market</t>
  </si>
  <si>
    <r>
      <rPr>
        <sz val="10"/>
        <rFont val="Noto Sans CJK SC"/>
        <family val="2"/>
      </rPr>
      <t xml:space="preserve">메밀전병과 다슬기해장국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꼴두국수를 파는 상설시장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관풍헌에서 도보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분이라 점심 자리로 붙이기 좋다</t>
    </r>
    <r>
      <rPr>
        <sz val="10"/>
        <rFont val="Arial"/>
        <family val="0"/>
        <charset val="1"/>
      </rPr>
      <t xml:space="preserve">.</t>
    </r>
  </si>
  <si>
    <t xml:space="preserve">영월 장릉</t>
  </si>
  <si>
    <t xml:space="preserve">Jangneung Royal Tomb</t>
  </si>
  <si>
    <r>
      <rPr>
        <sz val="10"/>
        <rFont val="Noto Sans CJK SC"/>
        <family val="2"/>
      </rPr>
      <t xml:space="preserve">단종의 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호장 엄흥도가 시신을 거두어 묻었다고 전하는 자리로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조선왕릉 세계유산에 포함된다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영화 개봉 뒤 추모하는 글을 남기려는 관람객이 크게 늘었다</t>
    </r>
    <r>
      <rPr>
        <sz val="10"/>
        <rFont val="Arial"/>
        <family val="0"/>
        <charset val="1"/>
      </rPr>
      <t xml:space="preserve">.</t>
    </r>
  </si>
  <si>
    <t xml:space="preserve">영월곤충박물관</t>
  </si>
  <si>
    <t xml:space="preserve">Yeongwol Insect Museum</t>
  </si>
  <si>
    <r>
      <rPr>
        <sz val="10"/>
        <rFont val="Noto Sans CJK SC"/>
        <family val="2"/>
      </rPr>
      <t xml:space="preserve">청령포 건너편 곤충 표본관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청령포 관람과 묶기 좋다</t>
    </r>
    <r>
      <rPr>
        <sz val="10"/>
        <rFont val="Arial"/>
        <family val="0"/>
        <charset val="1"/>
      </rPr>
      <t xml:space="preserve">.</t>
    </r>
  </si>
  <si>
    <t xml:space="preserve">영화의전당</t>
  </si>
  <si>
    <t xml:space="preserve">Busan Cinema Center</t>
  </si>
  <si>
    <r>
      <rPr>
        <sz val="10"/>
        <rFont val="Noto Sans CJK SC"/>
        <family val="2"/>
      </rPr>
      <t xml:space="preserve">부산국제영화제의 중심 극장</t>
    </r>
    <r>
      <rPr>
        <sz val="10"/>
        <rFont val="Arial"/>
        <family val="0"/>
        <charset val="1"/>
      </rPr>
      <t xml:space="preserve">. 4,000</t>
    </r>
    <r>
      <rPr>
        <sz val="10"/>
        <rFont val="Noto Sans CJK SC"/>
        <family val="2"/>
      </rPr>
      <t xml:space="preserve">여 개 </t>
    </r>
    <r>
      <rPr>
        <sz val="10"/>
        <rFont val="Arial"/>
        <family val="0"/>
        <charset val="1"/>
      </rPr>
      <t xml:space="preserve">LED</t>
    </r>
    <r>
      <rPr>
        <sz val="10"/>
        <rFont val="Noto Sans CJK SC"/>
        <family val="2"/>
      </rPr>
      <t xml:space="preserve">가 깔린 대형 캔틸레버 지붕 아래 야외 상영이 열린다</t>
    </r>
    <r>
      <rPr>
        <sz val="10"/>
        <rFont val="Arial"/>
        <family val="0"/>
        <charset val="1"/>
      </rPr>
      <t xml:space="preserve">.</t>
    </r>
  </si>
  <si>
    <t xml:space="preserve">예술의전당</t>
  </si>
  <si>
    <t xml:space="preserve">Seoul Arts Center</t>
  </si>
  <si>
    <r>
      <rPr>
        <sz val="10"/>
        <rFont val="Noto Sans CJK SC"/>
        <family val="2"/>
      </rPr>
      <t xml:space="preserve">오페라극장과 콘서트홀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한가람미술관이 모인 복합 예술 단지</t>
    </r>
    <r>
      <rPr>
        <sz val="10"/>
        <rFont val="Arial"/>
        <family val="0"/>
        <charset val="1"/>
      </rPr>
      <t xml:space="preserve">.</t>
    </r>
  </si>
  <si>
    <t xml:space="preserve">오라동 메밀꽃밭</t>
  </si>
  <si>
    <t xml:space="preserve">Ora-dong Buckwheat Fields</t>
  </si>
  <si>
    <r>
      <rPr>
        <sz val="10"/>
        <rFont val="Noto Sans CJK SC"/>
        <family val="2"/>
      </rPr>
      <t xml:space="preserve">두 사람이 나란히 걷던 하얀 메밀밭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한라산 중산간 자락이라 배경으로 산이 통째로 들어온다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개화기에만 열린다</t>
    </r>
    <r>
      <rPr>
        <sz val="10"/>
        <rFont val="Arial"/>
        <family val="0"/>
        <charset val="1"/>
      </rPr>
      <t xml:space="preserve">.</t>
    </r>
  </si>
  <si>
    <t xml:space="preserve">오릉</t>
  </si>
  <si>
    <t xml:space="preserve">Oreung</t>
  </si>
  <si>
    <r>
      <rPr>
        <sz val="10"/>
        <rFont val="Noto Sans CJK SC"/>
        <family val="2"/>
      </rPr>
      <t xml:space="preserve">박혁거세를 비롯한 신라 초기 왕릉 다섯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담장 안 소나무와 배롱나무가 정연하다</t>
    </r>
    <r>
      <rPr>
        <sz val="10"/>
        <rFont val="Arial"/>
        <family val="0"/>
        <charset val="1"/>
      </rPr>
      <t xml:space="preserve">.</t>
    </r>
  </si>
  <si>
    <t xml:space="preserve">오설록 티뮤지엄</t>
  </si>
  <si>
    <t xml:space="preserve">O’sulloc Tea Museum</t>
  </si>
  <si>
    <r>
      <rPr>
        <sz val="10"/>
        <rFont val="Noto Sans CJK SC"/>
        <family val="2"/>
      </rPr>
      <t xml:space="preserve">녹차밭에 붙은 차 박물관과 카페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밭 사이로 산책로가 나 있다</t>
    </r>
    <r>
      <rPr>
        <sz val="10"/>
        <rFont val="Arial"/>
        <family val="0"/>
        <charset val="1"/>
      </rPr>
      <t xml:space="preserve">.</t>
    </r>
  </si>
  <si>
    <t xml:space="preserve">오션뷰 카페 씨야드</t>
  </si>
  <si>
    <t xml:space="preserve">Seayard Ocean-view Cafe</t>
  </si>
  <si>
    <r>
      <rPr>
        <sz val="10"/>
        <rFont val="Noto Sans CJK SC"/>
        <family val="2"/>
      </rPr>
      <t xml:space="preserve">식물원 바로 옆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층 창가 자리에서 바다와 돔이 함께 보인다</t>
    </r>
    <r>
      <rPr>
        <sz val="10"/>
        <rFont val="Arial"/>
        <family val="0"/>
        <charset val="1"/>
      </rPr>
      <t xml:space="preserve">.</t>
    </r>
  </si>
  <si>
    <t xml:space="preserve">옥산서원</t>
  </si>
  <si>
    <t xml:space="preserve">Oksan Seowon</t>
  </si>
  <si>
    <r>
      <rPr>
        <sz val="10"/>
        <rFont val="Noto Sans CJK SC"/>
        <family val="2"/>
      </rPr>
      <t xml:space="preserve">회재 이언적을 기리는 조선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계곡을 등지고 앉아 한국의 서원으로 세계유산에 올랐다</t>
    </r>
    <r>
      <rPr>
        <sz val="10"/>
        <rFont val="Arial"/>
        <family val="0"/>
        <charset val="1"/>
      </rPr>
      <t xml:space="preserve">.</t>
    </r>
  </si>
  <si>
    <t xml:space="preserve">온천천 카페거리</t>
  </si>
  <si>
    <t xml:space="preserve">Oncheoncheon Cafe Street</t>
  </si>
  <si>
    <r>
      <rPr>
        <sz val="10"/>
        <rFont val="Noto Sans CJK SC"/>
        <family val="2"/>
      </rPr>
      <t xml:space="preserve">하천을 따라 카페가 늘어선 산책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벚꽃철이 절정이다</t>
    </r>
    <r>
      <rPr>
        <sz val="10"/>
        <rFont val="Arial"/>
        <family val="0"/>
        <charset val="1"/>
      </rPr>
      <t xml:space="preserve">.</t>
    </r>
  </si>
  <si>
    <t xml:space="preserve">올림픽공원</t>
  </si>
  <si>
    <t xml:space="preserve">Olympic Park</t>
  </si>
  <si>
    <r>
      <rPr>
        <sz val="10"/>
        <rFont val="Noto Sans CJK SC"/>
        <family val="2"/>
      </rPr>
      <t xml:space="preserve">들판 한가운데 선 나무로 알려진 대형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주경기장 코스 뒤에 붙인다</t>
    </r>
    <r>
      <rPr>
        <sz val="10"/>
        <rFont val="Arial"/>
        <family val="0"/>
        <charset val="1"/>
      </rPr>
      <t xml:space="preserve">.</t>
    </r>
  </si>
  <si>
    <t xml:space="preserve">올림픽홀</t>
  </si>
  <si>
    <t xml:space="preserve">Olympic Hall</t>
  </si>
  <si>
    <r>
      <rPr>
        <sz val="10"/>
        <rFont val="Noto Sans CJK SC"/>
        <family val="2"/>
      </rPr>
      <t xml:space="preserve">올림픽공원 안 공연장</t>
    </r>
    <r>
      <rPr>
        <sz val="10"/>
        <rFont val="Arial"/>
        <family val="0"/>
        <charset val="1"/>
      </rPr>
      <t xml:space="preserve">. K</t>
    </r>
    <r>
      <rPr>
        <sz val="10"/>
        <rFont val="Noto Sans CJK SC"/>
        <family val="2"/>
      </rPr>
      <t xml:space="preserve">팝 공연과 페스티벌이 자주 열린다</t>
    </r>
    <r>
      <rPr>
        <sz val="10"/>
        <rFont val="Arial"/>
        <family val="0"/>
        <charset val="1"/>
      </rPr>
      <t xml:space="preserve">.</t>
    </r>
  </si>
  <si>
    <t xml:space="preserve">요선암 돌개구멍</t>
  </si>
  <si>
    <t xml:space="preserve">Yoseonam Potholes</t>
  </si>
  <si>
    <r>
      <rPr>
        <sz val="10"/>
        <rFont val="Noto Sans CJK SC"/>
        <family val="2"/>
      </rPr>
      <t xml:space="preserve">주천강 화강암 바닥이 물살에 패여 만들어진 항아리 모양 구멍들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천연기념물이며 위쪽에 요선정이 있다</t>
    </r>
    <r>
      <rPr>
        <sz val="10"/>
        <rFont val="Arial"/>
        <family val="0"/>
        <charset val="1"/>
      </rPr>
      <t xml:space="preserve">.</t>
    </r>
  </si>
  <si>
    <t xml:space="preserve">용눈이오름</t>
  </si>
  <si>
    <t xml:space="preserve">Yongnuni Oreum</t>
  </si>
  <si>
    <r>
      <rPr>
        <sz val="10"/>
        <rFont val="Noto Sans CJK SC"/>
        <family val="2"/>
      </rPr>
      <t xml:space="preserve">능선이 부드럽게 겹치는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휴식년제로 닫히는 해가 있다</t>
    </r>
    <r>
      <rPr>
        <sz val="10"/>
        <rFont val="Arial"/>
        <family val="0"/>
        <charset val="1"/>
      </rPr>
      <t xml:space="preserve">.</t>
    </r>
  </si>
  <si>
    <t xml:space="preserve">운현궁</t>
  </si>
  <si>
    <t xml:space="preserve">Unhyeongung</t>
  </si>
  <si>
    <r>
      <rPr>
        <sz val="10"/>
        <rFont val="Noto Sans CJK SC"/>
        <family val="2"/>
      </rPr>
      <t xml:space="preserve">흥선대원군의 사저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안국역 옆이라 북촌 코스에 붙이기 쉽다</t>
    </r>
    <r>
      <rPr>
        <sz val="10"/>
        <rFont val="Arial"/>
        <family val="0"/>
        <charset val="1"/>
      </rPr>
      <t xml:space="preserve">.</t>
    </r>
  </si>
  <si>
    <t xml:space="preserve">원조거제굴구이</t>
  </si>
  <si>
    <t xml:space="preserve">Wonjo Geoje Grilled Oyster</t>
  </si>
  <si>
    <r>
      <rPr>
        <sz val="10"/>
        <rFont val="Noto Sans CJK SC"/>
        <family val="2"/>
      </rPr>
      <t xml:space="preserve">겨울 굴구이</t>
    </r>
    <r>
      <rPr>
        <sz val="10"/>
        <rFont val="Arial"/>
        <family val="0"/>
        <charset val="1"/>
      </rPr>
      <t xml:space="preserve">. 2</t>
    </r>
    <r>
      <rPr>
        <sz val="10"/>
        <rFont val="Noto Sans CJK SC"/>
        <family val="2"/>
      </rPr>
      <t xml:space="preserve">인 이상 주문이 기본이라 코스 마지막에 넣는 편이 낫다</t>
    </r>
    <r>
      <rPr>
        <sz val="10"/>
        <rFont val="Arial"/>
        <family val="0"/>
        <charset val="1"/>
      </rPr>
      <t xml:space="preserve">.</t>
    </r>
  </si>
  <si>
    <t xml:space="preserve">월드컵공원</t>
  </si>
  <si>
    <t xml:space="preserve">World Cup Park</t>
  </si>
  <si>
    <r>
      <rPr>
        <sz val="10"/>
        <rFont val="Noto Sans CJK SC"/>
        <family val="2"/>
      </rPr>
      <t xml:space="preserve">난지도 매립지를 덮어 만든 다섯 개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하늘공원과 노을공원이 여기에 속한다</t>
    </r>
    <r>
      <rPr>
        <sz val="10"/>
        <rFont val="Arial"/>
        <family val="0"/>
        <charset val="1"/>
      </rPr>
      <t xml:space="preserve">.</t>
    </r>
  </si>
  <si>
    <t xml:space="preserve">월성</t>
  </si>
  <si>
    <t xml:space="preserve">Wolseong Palace Site</t>
  </si>
  <si>
    <r>
      <rPr>
        <sz val="10"/>
        <rFont val="Noto Sans CJK SC"/>
        <family val="2"/>
      </rPr>
      <t xml:space="preserve">신라 왕궁이 있던 반달 모양 토성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발굴이 진행 중이라 넓은 터와 성벽 능선만 남아 있다</t>
    </r>
    <r>
      <rPr>
        <sz val="10"/>
        <rFont val="Arial"/>
        <family val="0"/>
        <charset val="1"/>
      </rPr>
      <t xml:space="preserve">.</t>
    </r>
  </si>
  <si>
    <t xml:space="preserve">월정교</t>
  </si>
  <si>
    <t xml:space="preserve">Woljeonggyo Bridge</t>
  </si>
  <si>
    <r>
      <rPr>
        <sz val="10"/>
        <rFont val="Noto Sans CJK SC"/>
        <family val="2"/>
      </rPr>
      <t xml:space="preserve">남천을 건너던 신라 목교를 복원한 다리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해가 지면 조명이 들어와 물에 비친다</t>
    </r>
    <r>
      <rPr>
        <sz val="10"/>
        <rFont val="Arial"/>
        <family val="0"/>
        <charset val="1"/>
      </rPr>
      <t xml:space="preserve">.</t>
    </r>
  </si>
  <si>
    <t xml:space="preserve">월정리해변</t>
  </si>
  <si>
    <t xml:space="preserve">Woljeong-ri Beach</t>
  </si>
  <si>
    <r>
      <rPr>
        <sz val="10"/>
        <rFont val="Noto Sans CJK SC"/>
        <family val="2"/>
      </rPr>
      <t xml:space="preserve">카페가 줄지어 선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김녕에서 해안도로로 이어진다</t>
    </r>
    <r>
      <rPr>
        <sz val="10"/>
        <rFont val="Arial"/>
        <family val="0"/>
        <charset val="1"/>
      </rPr>
      <t xml:space="preserve">.</t>
    </r>
  </si>
  <si>
    <t xml:space="preserve">유엔기념공원</t>
  </si>
  <si>
    <t xml:space="preserve">UN Memorial Cemetery</t>
  </si>
  <si>
    <r>
      <rPr>
        <sz val="10"/>
        <rFont val="Noto Sans CJK SC"/>
        <family val="2"/>
      </rPr>
      <t xml:space="preserve">한국전쟁 참전 유엔군이 묻힌 세계 유일의 유엔 묘지</t>
    </r>
    <r>
      <rPr>
        <sz val="10"/>
        <rFont val="Arial"/>
        <family val="0"/>
        <charset val="1"/>
      </rPr>
      <t xml:space="preserve">.</t>
    </r>
  </si>
  <si>
    <t xml:space="preserve">을숙도 철새도래지</t>
  </si>
  <si>
    <t xml:space="preserve">Eulsukdo Migratory Bird Sanctuary</t>
  </si>
  <si>
    <r>
      <rPr>
        <sz val="10"/>
        <rFont val="Noto Sans CJK SC"/>
        <family val="2"/>
      </rPr>
      <t xml:space="preserve">낙동강 하구의 철새 서식지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 개체가 가장 많다</t>
    </r>
    <r>
      <rPr>
        <sz val="10"/>
        <rFont val="Arial"/>
        <family val="0"/>
        <charset val="1"/>
      </rPr>
      <t xml:space="preserve">.</t>
    </r>
  </si>
  <si>
    <t xml:space="preserve">이태원 거리</t>
  </si>
  <si>
    <t xml:space="preserve">Itaewon Street</t>
  </si>
  <si>
    <r>
      <rPr>
        <sz val="10"/>
        <rFont val="Noto Sans CJK SC"/>
        <family val="2"/>
      </rPr>
      <t xml:space="preserve">각국 음식점과 바가 모인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경리단길과 해방촌으로 이어진다</t>
    </r>
    <r>
      <rPr>
        <sz val="10"/>
        <rFont val="Arial"/>
        <family val="0"/>
        <charset val="1"/>
      </rPr>
      <t xml:space="preserve">.</t>
    </r>
  </si>
  <si>
    <t xml:space="preserve">익선동 한옥거리</t>
  </si>
  <si>
    <t xml:space="preserve">Ikseon-dong</t>
  </si>
  <si>
    <r>
      <rPr>
        <sz val="10"/>
        <rFont val="Noto Sans CJK SC"/>
        <family val="2"/>
      </rPr>
      <t xml:space="preserve">한옥을 고쳐 만든 좁은 골목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종로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가역에서 바로 닿는다</t>
    </r>
    <r>
      <rPr>
        <sz val="10"/>
        <rFont val="Arial"/>
        <family val="0"/>
        <charset val="1"/>
      </rPr>
      <t xml:space="preserve">.</t>
    </r>
  </si>
  <si>
    <t xml:space="preserve">인사동</t>
  </si>
  <si>
    <t xml:space="preserve">Insa-dong</t>
  </si>
  <si>
    <r>
      <rPr>
        <sz val="10"/>
        <rFont val="Noto Sans CJK SC"/>
        <family val="2"/>
      </rPr>
      <t xml:space="preserve">전통 공예와 찻집이 모인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쌈지길 나선 통로가 중심이다</t>
    </r>
    <r>
      <rPr>
        <sz val="10"/>
        <rFont val="Arial"/>
        <family val="0"/>
        <charset val="1"/>
      </rPr>
      <t xml:space="preserve">.</t>
    </r>
  </si>
  <si>
    <t xml:space="preserve">인사동 문화의거리</t>
  </si>
  <si>
    <t xml:space="preserve">Insa-dong Culture Street</t>
  </si>
  <si>
    <r>
      <rPr>
        <sz val="10"/>
        <rFont val="Noto Sans CJK SC"/>
        <family val="2"/>
      </rPr>
      <t xml:space="preserve">화랑과 필방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전통 찻집이 늘어선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주말에는 차량을 막는다</t>
    </r>
    <r>
      <rPr>
        <sz val="10"/>
        <rFont val="Arial"/>
        <family val="0"/>
        <charset val="1"/>
      </rPr>
      <t xml:space="preserve">.</t>
    </r>
  </si>
  <si>
    <t xml:space="preserve">자갈치시장</t>
  </si>
  <si>
    <t xml:space="preserve">Jagalchi Market</t>
  </si>
  <si>
    <r>
      <rPr>
        <sz val="10"/>
        <rFont val="Noto Sans CJK SC"/>
        <family val="2"/>
      </rPr>
      <t xml:space="preserve">국내 최대 수산시장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좌판에서 고른 생선을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층에서 바로 차려 먹는다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부산을 배경으로 한 범죄물이 거의 빠짐없이 들르는 장소다</t>
    </r>
    <r>
      <rPr>
        <sz val="10"/>
        <rFont val="Arial"/>
        <family val="0"/>
        <charset val="1"/>
      </rPr>
      <t xml:space="preserve">.</t>
    </r>
  </si>
  <si>
    <t xml:space="preserve">잠실 롯데월드 어드벤처</t>
  </si>
  <si>
    <t xml:space="preserve">Lotte World Adventure</t>
  </si>
  <si>
    <r>
      <rPr>
        <sz val="10"/>
        <rFont val="Noto Sans CJK SC"/>
        <family val="2"/>
      </rPr>
      <t xml:space="preserve">서울스카이와 같은 단지의 실내외 테마파크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 오는 날 대안이 된다</t>
    </r>
    <r>
      <rPr>
        <sz val="10"/>
        <rFont val="Arial"/>
        <family val="0"/>
        <charset val="1"/>
      </rPr>
      <t xml:space="preserve">.</t>
    </r>
  </si>
  <si>
    <t xml:space="preserve">저지오름</t>
  </si>
  <si>
    <t xml:space="preserve">Jeoji Oreum</t>
  </si>
  <si>
    <r>
      <rPr>
        <sz val="10"/>
        <rFont val="Noto Sans CJK SC"/>
        <family val="2"/>
      </rPr>
      <t xml:space="preserve">둘레길이 잘 난 숲 오름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정상 전망대가 있다</t>
    </r>
    <r>
      <rPr>
        <sz val="10"/>
        <rFont val="Arial"/>
        <family val="0"/>
        <charset val="1"/>
      </rPr>
      <t xml:space="preserve">.</t>
    </r>
  </si>
  <si>
    <t xml:space="preserve">절물자연휴양림</t>
  </si>
  <si>
    <t xml:space="preserve">Jeolmul Recreation Forest</t>
  </si>
  <si>
    <r>
      <rPr>
        <sz val="10"/>
        <rFont val="Noto Sans CJK SC"/>
        <family val="2"/>
      </rPr>
      <t xml:space="preserve">삼나무가 곧게 선 휴양림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장생의 숲길이 길게 이어진다</t>
    </r>
    <r>
      <rPr>
        <sz val="10"/>
        <rFont val="Arial"/>
        <family val="0"/>
        <charset val="1"/>
      </rPr>
      <t xml:space="preserve">.</t>
    </r>
  </si>
  <si>
    <t xml:space="preserve">젊은달와이파크</t>
  </si>
  <si>
    <t xml:space="preserve">Younger than Yesterday Art Park</t>
  </si>
  <si>
    <r>
      <rPr>
        <sz val="10"/>
        <rFont val="Noto Sans CJK SC"/>
        <family val="2"/>
      </rPr>
      <t xml:space="preserve">옛 술 공장 터를 붉은 대나무 구조물로 바꾼 야외 미술관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</si>
  <si>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정선 하이원 스키장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워터월드</t>
    </r>
  </si>
  <si>
    <t xml:space="preserve">High1 Ski &amp; Water World</t>
  </si>
  <si>
    <r>
      <rPr>
        <sz val="10"/>
        <rFont val="Noto Sans CJK SC"/>
        <family val="2"/>
      </rPr>
      <t xml:space="preserve">겨울 스키장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여름 워터월드로 운영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첫 여름휴가 편의 무대</t>
    </r>
    <r>
      <rPr>
        <sz val="10"/>
        <rFont val="Arial"/>
        <family val="0"/>
        <charset val="1"/>
      </rPr>
      <t xml:space="preserve">.</t>
    </r>
  </si>
  <si>
    <t xml:space="preserve">정선아리랑시장</t>
  </si>
  <si>
    <t xml:space="preserve">Jeongseon Arirang Market</t>
  </si>
  <si>
    <r>
      <rPr>
        <sz val="10"/>
        <rFont val="Arial"/>
        <family val="0"/>
        <charset val="1"/>
      </rPr>
      <t xml:space="preserve">2·7</t>
    </r>
    <r>
      <rPr>
        <sz val="10"/>
        <rFont val="Noto Sans CJK SC"/>
        <family val="2"/>
      </rPr>
      <t xml:space="preserve">일에 서는 오일장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곤드레밥과 메밀전병</t>
    </r>
    <r>
      <rPr>
        <sz val="10"/>
        <rFont val="Arial"/>
        <family val="0"/>
        <charset val="1"/>
      </rPr>
      <t xml:space="preserve">.</t>
    </r>
  </si>
  <si>
    <t xml:space="preserve">제주 동문재래시장</t>
  </si>
  <si>
    <t xml:space="preserve">Dongmun Market</t>
  </si>
  <si>
    <r>
      <rPr>
        <sz val="10"/>
        <rFont val="Noto Sans CJK SC"/>
        <family val="2"/>
      </rPr>
      <t xml:space="preserve">인물들의 생업 무대가 되는 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갈치와 옥돔 좌판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야시장 먹거리가 한 통로에 이어진다</t>
    </r>
    <r>
      <rPr>
        <sz val="10"/>
        <rFont val="Arial"/>
        <family val="0"/>
        <charset val="1"/>
      </rPr>
      <t xml:space="preserve">.</t>
    </r>
  </si>
  <si>
    <t xml:space="preserve">제주 신화월드</t>
  </si>
  <si>
    <t xml:space="preserve">Jeju Shinhwa World</t>
  </si>
  <si>
    <r>
      <rPr>
        <sz val="10"/>
        <rFont val="Noto Sans CJK SC"/>
        <family val="2"/>
      </rPr>
      <t xml:space="preserve">호텔과 테마파크가 묶인 복합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서쪽 일정의 거점이 된다</t>
    </r>
    <r>
      <rPr>
        <sz val="10"/>
        <rFont val="Arial"/>
        <family val="0"/>
        <charset val="1"/>
      </rPr>
      <t xml:space="preserve">.</t>
    </r>
  </si>
  <si>
    <t xml:space="preserve">제주 올레시장</t>
  </si>
  <si>
    <t xml:space="preserve">Seogwipo Olle Market</t>
  </si>
  <si>
    <r>
      <rPr>
        <sz val="10"/>
        <rFont val="Noto Sans CJK SC"/>
        <family val="2"/>
      </rPr>
      <t xml:space="preserve">서귀포 시내 재래시장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감귤과 흑돼지 먹거리가 많다</t>
    </r>
    <r>
      <rPr>
        <sz val="10"/>
        <rFont val="Arial"/>
        <family val="0"/>
        <charset val="1"/>
      </rPr>
      <t xml:space="preserve">.</t>
    </r>
  </si>
  <si>
    <t xml:space="preserve">제주목 관아</t>
  </si>
  <si>
    <t xml:space="preserve">Jeju Mokgwana</t>
  </si>
  <si>
    <r>
      <rPr>
        <sz val="10"/>
        <rFont val="Noto Sans CJK SC"/>
        <family val="2"/>
      </rPr>
      <t xml:space="preserve">애순이가 백일장에서 어머니를 그리는 시를 쓰던 장면의 배경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조선시대 제주 통치의 중심이었고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관덕정이 함께 붙어 있다</t>
    </r>
    <r>
      <rPr>
        <sz val="10"/>
        <rFont val="Arial"/>
        <family val="0"/>
        <charset val="1"/>
      </rPr>
      <t xml:space="preserve">.</t>
    </r>
  </si>
  <si>
    <t xml:space="preserve">제주민속촌</t>
  </si>
  <si>
    <t xml:space="preserve">Jeju Folk Village</t>
  </si>
  <si>
    <r>
      <rPr>
        <sz val="10"/>
        <rFont val="Noto Sans CJK SC"/>
        <family val="2"/>
      </rPr>
      <t xml:space="preserve">조선 후기 제주 마을을 옮겨 지은 야외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시대극 촬영이 잦다</t>
    </r>
    <r>
      <rPr>
        <sz val="10"/>
        <rFont val="Arial"/>
        <family val="0"/>
        <charset val="1"/>
      </rPr>
      <t xml:space="preserve">.</t>
    </r>
  </si>
  <si>
    <t xml:space="preserve">제주항공우주박물관</t>
  </si>
  <si>
    <t xml:space="preserve">Jeju Aerospace Museum</t>
  </si>
  <si>
    <r>
      <rPr>
        <sz val="10"/>
        <rFont val="Noto Sans CJK SC"/>
        <family val="2"/>
      </rPr>
      <t xml:space="preserve">실물 항공기를 전시하는 대형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아이 동반 일정에 넣는다</t>
    </r>
    <r>
      <rPr>
        <sz val="10"/>
        <rFont val="Arial"/>
        <family val="0"/>
        <charset val="1"/>
      </rPr>
      <t xml:space="preserve">.</t>
    </r>
  </si>
  <si>
    <t xml:space="preserve">제주현대미술관</t>
  </si>
  <si>
    <t xml:space="preserve">Jeju Museum of Contemporary Art</t>
  </si>
  <si>
    <r>
      <rPr>
        <sz val="10"/>
        <rFont val="Noto Sans CJK SC"/>
        <family val="2"/>
      </rPr>
      <t xml:space="preserve">저지예술인마을 안의 미술관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주변에 공방이 모여 있다</t>
    </r>
    <r>
      <rPr>
        <sz val="10"/>
        <rFont val="Arial"/>
        <family val="0"/>
        <charset val="1"/>
      </rPr>
      <t xml:space="preserve">.</t>
    </r>
  </si>
  <si>
    <t xml:space="preserve">조계사</t>
  </si>
  <si>
    <t xml:space="preserve">Jogyesa Temple</t>
  </si>
  <si>
    <r>
      <rPr>
        <sz val="10"/>
        <rFont val="Noto Sans CJK SC"/>
        <family val="2"/>
      </rPr>
      <t xml:space="preserve">도심 한복판의 대한불교조계종 총본산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마당의 회화나무가 오래됐다</t>
    </r>
    <r>
      <rPr>
        <sz val="10"/>
        <rFont val="Arial"/>
        <family val="0"/>
        <charset val="1"/>
      </rPr>
      <t xml:space="preserve">.</t>
    </r>
  </si>
  <si>
    <t xml:space="preserve">종묘</t>
  </si>
  <si>
    <t xml:space="preserve">Jongmyo Shrine</t>
  </si>
  <si>
    <r>
      <rPr>
        <sz val="10"/>
        <rFont val="Noto Sans CJK SC"/>
        <family val="2"/>
      </rPr>
      <t xml:space="preserve">조선 왕실 신주를 모신 사당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세계유산이며 정전의 긴 지붕선이 압도적이다</t>
    </r>
    <r>
      <rPr>
        <sz val="10"/>
        <rFont val="Arial"/>
        <family val="0"/>
        <charset val="1"/>
      </rPr>
      <t xml:space="preserve">.</t>
    </r>
  </si>
  <si>
    <t xml:space="preserve">죽성리 드림성당</t>
  </si>
  <si>
    <t xml:space="preserve">Jukseong Dream Chapel</t>
  </si>
  <si>
    <r>
      <rPr>
        <sz val="10"/>
        <rFont val="Noto Sans CJK SC"/>
        <family val="2"/>
      </rPr>
      <t xml:space="preserve">드라마 세트로 지은 바닷가 성당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성당은 아니다</t>
    </r>
    <r>
      <rPr>
        <sz val="10"/>
        <rFont val="Arial"/>
        <family val="0"/>
        <charset val="1"/>
      </rPr>
      <t xml:space="preserve">.</t>
    </r>
  </si>
  <si>
    <t xml:space="preserve">중앙시장 야시장</t>
  </si>
  <si>
    <t xml:space="preserve">Jungang Market Night Market</t>
  </si>
  <si>
    <r>
      <rPr>
        <sz val="10"/>
        <rFont val="Noto Sans CJK SC"/>
        <family val="2"/>
      </rPr>
      <t xml:space="preserve">중앙시장 안에서 주말 저녁에만 서는 야시장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먹거리 노점이 통로를 채운다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</si>
  <si>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쪽샘 </t>
    </r>
    <r>
      <rPr>
        <sz val="10"/>
        <rFont val="Arial"/>
        <family val="0"/>
        <charset val="1"/>
      </rPr>
      <t xml:space="preserve">44</t>
    </r>
    <r>
      <rPr>
        <sz val="10"/>
        <rFont val="Noto Sans CJK SC"/>
        <family val="2"/>
      </rPr>
      <t xml:space="preserve">호 신라공주묘</t>
    </r>
  </si>
  <si>
    <t xml:space="preserve">Jjoksaem Tomb No. 44</t>
  </si>
  <si>
    <r>
      <rPr>
        <sz val="10"/>
        <rFont val="Noto Sans CJK SC"/>
        <family val="2"/>
      </rPr>
      <t xml:space="preserve">신라 공주의 무덤을 발굴 현장 그대로 공개한 유적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발굴관 내부는 촬영 가능</t>
    </r>
    <r>
      <rPr>
        <sz val="10"/>
        <rFont val="Arial"/>
        <family val="0"/>
        <charset val="1"/>
      </rPr>
      <t xml:space="preserve">.</t>
    </r>
  </si>
  <si>
    <t xml:space="preserve">차귀도</t>
  </si>
  <si>
    <t xml:space="preserve">Chagwido</t>
  </si>
  <si>
    <r>
      <rPr>
        <sz val="10"/>
        <rFont val="Noto Sans CJK SC"/>
        <family val="2"/>
      </rPr>
      <t xml:space="preserve">무인도 세 개가 모인 해상 경관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배로 돌거나 자구내포구에서 본다</t>
    </r>
    <r>
      <rPr>
        <sz val="10"/>
        <rFont val="Arial"/>
        <family val="0"/>
        <charset val="1"/>
      </rPr>
      <t xml:space="preserve">.</t>
    </r>
  </si>
  <si>
    <t xml:space="preserve">창경궁</t>
  </si>
  <si>
    <t xml:space="preserve">Changgyeonggung Palace</t>
  </si>
  <si>
    <r>
      <rPr>
        <sz val="10"/>
        <rFont val="Noto Sans CJK SC"/>
        <family val="2"/>
      </rPr>
      <t xml:space="preserve">창덕궁과 담을 맞댄 조선 궁궐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춘당지 주변 산책로가 조용하다</t>
    </r>
    <r>
      <rPr>
        <sz val="10"/>
        <rFont val="Arial"/>
        <family val="0"/>
        <charset val="1"/>
      </rPr>
      <t xml:space="preserve">.</t>
    </r>
  </si>
  <si>
    <t xml:space="preserve">창덕궁</t>
  </si>
  <si>
    <t xml:space="preserve">Changdeokgung Palace</t>
  </si>
  <si>
    <r>
      <rPr>
        <sz val="10"/>
        <rFont val="Noto Sans CJK SC"/>
        <family val="2"/>
      </rPr>
      <t xml:space="preserve">유네스코 세계유산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후원은 시간제 관람이라 예약이 필요하다</t>
    </r>
    <r>
      <rPr>
        <sz val="10"/>
        <rFont val="Arial"/>
        <family val="0"/>
        <charset val="1"/>
      </rPr>
      <t xml:space="preserve">.</t>
    </r>
  </si>
  <si>
    <t xml:space="preserve">천곡황금박쥐동굴</t>
  </si>
  <si>
    <t xml:space="preserve">Cheongok Cave</t>
  </si>
  <si>
    <r>
      <rPr>
        <sz val="10"/>
        <rFont val="Noto Sans CJK SC"/>
        <family val="2"/>
      </rPr>
      <t xml:space="preserve">시내 한복판 석회암 동굴</t>
    </r>
    <r>
      <rPr>
        <sz val="10"/>
        <rFont val="Arial"/>
        <family val="0"/>
        <charset val="1"/>
      </rPr>
      <t xml:space="preserve">. 4</t>
    </r>
    <r>
      <rPr>
        <sz val="10"/>
        <rFont val="Noto Sans CJK SC"/>
        <family val="2"/>
      </rPr>
      <t xml:space="preserve">억 년 전 지층에 황금박쥐가 서식한다</t>
    </r>
    <r>
      <rPr>
        <sz val="10"/>
        <rFont val="Arial"/>
        <family val="0"/>
        <charset val="1"/>
      </rPr>
      <t xml:space="preserve">.</t>
    </r>
  </si>
  <si>
    <t xml:space="preserve">천마총</t>
  </si>
  <si>
    <t xml:space="preserve">Cheonmachong</t>
  </si>
  <si>
    <r>
      <rPr>
        <sz val="10"/>
        <rFont val="Noto Sans CJK SC"/>
        <family val="2"/>
      </rPr>
      <t xml:space="preserve">내부가 공개된 유일한 신라 고분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천마도 장니와 금관이 나온 자리다</t>
    </r>
    <r>
      <rPr>
        <sz val="10"/>
        <rFont val="Arial"/>
        <family val="0"/>
        <charset val="1"/>
      </rPr>
      <t xml:space="preserve">.</t>
    </r>
  </si>
  <si>
    <t xml:space="preserve">천제연폭포</t>
  </si>
  <si>
    <t xml:space="preserve">Cheonjeyeon Falls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</si>
  <si>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단으로 떨어지는 폭포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선임교 다리에서 전체가 보인다</t>
    </r>
    <r>
      <rPr>
        <sz val="10"/>
        <rFont val="Arial"/>
        <family val="0"/>
        <charset val="1"/>
      </rPr>
      <t xml:space="preserve">.</t>
    </r>
  </si>
  <si>
    <t xml:space="preserve">천지연폭포</t>
  </si>
  <si>
    <t xml:space="preserve">Cheonjiyeon Falls</t>
  </si>
  <si>
    <r>
      <rPr>
        <sz val="10"/>
        <rFont val="Noto Sans CJK SC"/>
        <family val="2"/>
      </rPr>
      <t xml:space="preserve">서귀포 시내에서 걸어 닿는 폭포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조명이 들어온다</t>
    </r>
    <r>
      <rPr>
        <sz val="10"/>
        <rFont val="Arial"/>
        <family val="0"/>
        <charset val="1"/>
      </rPr>
      <t xml:space="preserve">.</t>
    </r>
  </si>
  <si>
    <t xml:space="preserve">첨성대</t>
  </si>
  <si>
    <t xml:space="preserve">Cheomseongdae</t>
  </si>
  <si>
    <r>
      <rPr>
        <sz val="10"/>
        <rFont val="Noto Sans CJK SC"/>
        <family val="2"/>
      </rPr>
      <t xml:space="preserve">부채꼴 돌을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단으로 쌓아 올린 신라 천문대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돌 개수와 단 수에 의미를 둔 고대 과학의 산물로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야간 조명이 들어오면 인상이 달라진다</t>
    </r>
    <r>
      <rPr>
        <sz val="10"/>
        <rFont val="Arial"/>
        <family val="0"/>
        <charset val="1"/>
      </rPr>
      <t xml:space="preserve">.</t>
    </r>
  </si>
  <si>
    <t xml:space="preserve">청계천</t>
  </si>
  <si>
    <t xml:space="preserve">Cheonggyecheon</t>
  </si>
  <si>
    <r>
      <rPr>
        <sz val="10"/>
        <rFont val="Noto Sans CJK SC"/>
        <family val="2"/>
      </rPr>
      <t xml:space="preserve">도심을 동서로 가르는 복원 하천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광장시장까지 물길을 따라 걷는다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</si>
  <si>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청담대교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자양역</t>
    </r>
  </si>
  <si>
    <t xml:space="preserve">Cheongdam Bridge &amp; Jayang Stn</t>
  </si>
  <si>
    <r>
      <rPr>
        <sz val="10"/>
        <rFont val="Noto Sans CJK SC"/>
        <family val="2"/>
      </rPr>
      <t xml:space="preserve">지하철이 한강 위를 건너는 구간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청담대교는 위층이 도로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아래층이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호선인 복층 교량이라 열차가 강을 가로지르는 화면이 그대로 재현된다</t>
    </r>
    <r>
      <rPr>
        <sz val="10"/>
        <rFont val="Arial"/>
        <family val="0"/>
        <charset val="1"/>
      </rPr>
      <t xml:space="preserve">.</t>
    </r>
  </si>
  <si>
    <t xml:space="preserve">청령포</t>
  </si>
  <si>
    <t xml:space="preserve">Cheongnyeongpo</t>
  </si>
  <si>
    <r>
      <rPr>
        <sz val="10"/>
        <rFont val="Noto Sans CJK SC"/>
        <family val="2"/>
      </rPr>
      <t xml:space="preserve">단종의 유배지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삼면이 서강으로 막히고 뒤는 절벽이라 지금도 배를 타고 건넌다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영화 초반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강을 건너 유배지로 들어가는 장면의 무대이며 수령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년이 넘은 관음송이 천연기념물로 지정돼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</si>
  <si>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초량 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계단</t>
    </r>
  </si>
  <si>
    <t xml:space="preserve">Choryang 168 Stairs</t>
  </si>
  <si>
    <r>
      <rPr>
        <sz val="10"/>
        <rFont val="Noto Sans CJK SC"/>
        <family val="2"/>
      </rPr>
      <t xml:space="preserve">산복도로와 부산항을 잇는 </t>
    </r>
    <r>
      <rPr>
        <sz val="10"/>
        <rFont val="Arial"/>
        <family val="0"/>
        <charset val="1"/>
      </rPr>
      <t xml:space="preserve">168</t>
    </r>
    <r>
      <rPr>
        <sz val="10"/>
        <rFont val="Noto Sans CJK SC"/>
        <family val="2"/>
      </rPr>
      <t xml:space="preserve">칸 계단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옆에 무료 모노레일이 오른다</t>
    </r>
    <r>
      <rPr>
        <sz val="10"/>
        <rFont val="Arial"/>
        <family val="0"/>
        <charset val="1"/>
      </rPr>
      <t xml:space="preserve">.</t>
    </r>
  </si>
  <si>
    <t xml:space="preserve">초량 이바구길</t>
  </si>
  <si>
    <t xml:space="preserve">Choryang Ibagu-gil</t>
  </si>
  <si>
    <r>
      <rPr>
        <sz val="10"/>
        <rFont val="Noto Sans CJK SC"/>
        <family val="2"/>
      </rPr>
      <t xml:space="preserve">부산역 뒤 산복도로로 오르는 계단길</t>
    </r>
    <r>
      <rPr>
        <sz val="10"/>
        <rFont val="Arial"/>
        <family val="0"/>
        <charset val="1"/>
      </rPr>
      <t xml:space="preserve">. 168</t>
    </r>
    <r>
      <rPr>
        <sz val="10"/>
        <rFont val="Noto Sans CJK SC"/>
        <family val="2"/>
      </rPr>
      <t xml:space="preserve">계단과 모노레일이 있다</t>
    </r>
    <r>
      <rPr>
        <sz val="10"/>
        <rFont val="Arial"/>
        <family val="0"/>
        <charset val="1"/>
      </rPr>
      <t xml:space="preserve">.</t>
    </r>
  </si>
  <si>
    <t xml:space="preserve">추암 촛대바위</t>
  </si>
  <si>
    <t xml:space="preserve">Chuam Candlestick Rock</t>
  </si>
  <si>
    <r>
      <rPr>
        <sz val="10"/>
        <rFont val="Noto Sans CJK SC"/>
        <family val="2"/>
      </rPr>
      <t xml:space="preserve">애국가 일출 장면의 해안 기암</t>
    </r>
    <r>
      <rPr>
        <sz val="10"/>
        <rFont val="Arial"/>
        <family val="0"/>
        <charset val="1"/>
      </rPr>
      <t xml:space="preserve">.</t>
    </r>
  </si>
  <si>
    <t xml:space="preserve">추암해변</t>
  </si>
  <si>
    <t xml:space="preserve">Chuam Beach</t>
  </si>
  <si>
    <r>
      <rPr>
        <sz val="10"/>
        <rFont val="Noto Sans CJK SC"/>
        <family val="2"/>
      </rPr>
      <t xml:space="preserve">촛대바위 앞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출렁다리와 조각공원이 함께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</si>
  <si>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추억의 달동네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귀신의집</t>
    </r>
    <r>
      <rPr>
        <sz val="10"/>
        <rFont val="Arial"/>
        <family val="0"/>
        <charset val="1"/>
      </rPr>
      <t xml:space="preserve">)</t>
    </r>
  </si>
  <si>
    <t xml:space="preserve">Memory Hill Village (Haunted House)</t>
  </si>
  <si>
    <r>
      <rPr>
        <sz val="10"/>
        <rFont val="Noto Sans CJK SC"/>
        <family val="2"/>
      </rPr>
      <t xml:space="preserve">“너 도와주러 온거야” 편의 귀신의집 촬영지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 골목을 재현한 테마 마을 안에 있다</t>
    </r>
    <r>
      <rPr>
        <sz val="10"/>
        <rFont val="Arial"/>
        <family val="0"/>
        <charset val="1"/>
      </rPr>
      <t xml:space="preserve">.</t>
    </r>
  </si>
  <si>
    <t xml:space="preserve">충주 무학시장</t>
  </si>
  <si>
    <t xml:space="preserve">Chungju Muhak Market</t>
  </si>
  <si>
    <r>
      <rPr>
        <sz val="10"/>
        <rFont val="Noto Sans CJK SC"/>
        <family val="2"/>
      </rPr>
      <t xml:space="preserve">전통시장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영상 후반 먹거리 코너가 여기서 촬영됐다</t>
    </r>
    <r>
      <rPr>
        <sz val="10"/>
        <rFont val="Arial"/>
        <family val="0"/>
        <charset val="1"/>
      </rPr>
      <t xml:space="preserve">.</t>
    </r>
  </si>
  <si>
    <t xml:space="preserve">충주 악어다리</t>
  </si>
  <si>
    <t xml:space="preserve">Chungju Crocodile Bridge</t>
  </si>
  <si>
    <r>
      <rPr>
        <sz val="10"/>
        <rFont val="Noto Sans CJK SC"/>
        <family val="2"/>
      </rPr>
      <t xml:space="preserve">수면 위를 지그재그로 건너는 부교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바람 강한 날은 출렁임이 크다</t>
    </r>
    <r>
      <rPr>
        <sz val="10"/>
        <rFont val="Arial"/>
        <family val="0"/>
        <charset val="1"/>
      </rPr>
      <t xml:space="preserve">.</t>
    </r>
  </si>
  <si>
    <t xml:space="preserve">칠불암</t>
  </si>
  <si>
    <t xml:space="preserve">Chilbulam Hermitage</t>
  </si>
  <si>
    <r>
      <rPr>
        <sz val="10"/>
        <rFont val="Noto Sans CJK SC"/>
        <family val="2"/>
      </rPr>
      <t xml:space="preserve">남산 자락의 마애불 일곱 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주차장에서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 남짓 오르막을 걸어야 닿는다</t>
    </r>
    <r>
      <rPr>
        <sz val="10"/>
        <rFont val="Arial"/>
        <family val="0"/>
        <charset val="1"/>
      </rPr>
      <t xml:space="preserve">.</t>
    </r>
  </si>
  <si>
    <t xml:space="preserve">카멜리아힐</t>
  </si>
  <si>
    <t xml:space="preserve">Camellia Hill</t>
  </si>
  <si>
    <r>
      <rPr>
        <sz val="10"/>
        <rFont val="Noto Sans CJK SC"/>
        <family val="2"/>
      </rPr>
      <t xml:space="preserve">동백 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여 종이 심긴 수목원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겨울에서 초봄이 절정이다</t>
    </r>
    <r>
      <rPr>
        <sz val="10"/>
        <rFont val="Arial"/>
        <family val="0"/>
        <charset val="1"/>
      </rPr>
      <t xml:space="preserve">.</t>
    </r>
  </si>
  <si>
    <t xml:space="preserve">코엑스 별마당도서관</t>
  </si>
  <si>
    <t xml:space="preserve">Starfield Library COEX</t>
  </si>
  <si>
    <r>
      <rPr>
        <sz val="10"/>
        <rFont val="Arial"/>
        <family val="0"/>
        <charset val="1"/>
      </rPr>
      <t xml:space="preserve">13m </t>
    </r>
    <r>
      <rPr>
        <sz val="10"/>
        <rFont val="Noto Sans CJK SC"/>
        <family val="2"/>
      </rPr>
      <t xml:space="preserve">서가가 선 실내 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삼성역 전광판을 보러 간 김에 함께 돈다</t>
    </r>
    <r>
      <rPr>
        <sz val="10"/>
        <rFont val="Arial"/>
        <family val="0"/>
        <charset val="1"/>
      </rPr>
      <t xml:space="preserve">.</t>
    </r>
  </si>
  <si>
    <t xml:space="preserve">탄금호 무지개길</t>
  </si>
  <si>
    <t xml:space="preserve">Tangeum Lake Rainbow Trail</t>
  </si>
  <si>
    <r>
      <rPr>
        <sz val="10"/>
        <rFont val="Noto Sans CJK SC"/>
        <family val="2"/>
      </rPr>
      <t xml:space="preserve">탄금호 수변 자전거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보행 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중앙탑공원과 이어진다</t>
    </r>
    <r>
      <rPr>
        <sz val="10"/>
        <rFont val="Arial"/>
        <family val="0"/>
        <charset val="1"/>
      </rPr>
      <t xml:space="preserve">.</t>
    </r>
  </si>
  <si>
    <t xml:space="preserve">테디베어박물관</t>
  </si>
  <si>
    <t xml:space="preserve">Teddy Bear Museum</t>
  </si>
  <si>
    <r>
      <rPr>
        <sz val="10"/>
        <rFont val="Noto Sans CJK SC"/>
        <family val="2"/>
      </rPr>
      <t xml:space="preserve">보문단지 안 전시관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신라 복장을 입은 곰 인형으로 왕경을 재현한 방이 있다</t>
    </r>
    <r>
      <rPr>
        <sz val="10"/>
        <rFont val="Arial"/>
        <family val="0"/>
        <charset val="1"/>
      </rPr>
      <t xml:space="preserve">.</t>
    </r>
  </si>
  <si>
    <t xml:space="preserve">통인시장</t>
  </si>
  <si>
    <t xml:space="preserve">Tongin Market</t>
  </si>
  <si>
    <r>
      <rPr>
        <sz val="10"/>
        <rFont val="Noto Sans CJK SC"/>
        <family val="2"/>
      </rPr>
      <t xml:space="preserve">엽전으로 반찬을 사는 도시락 카페로 알려진 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경복궁 서쪽이다</t>
    </r>
    <r>
      <rPr>
        <sz val="10"/>
        <rFont val="Arial"/>
        <family val="0"/>
        <charset val="1"/>
      </rPr>
      <t xml:space="preserve">.</t>
    </r>
  </si>
  <si>
    <t xml:space="preserve">파이가든</t>
  </si>
  <si>
    <t xml:space="preserve">Pie Garden</t>
  </si>
  <si>
    <r>
      <rPr>
        <sz val="10"/>
        <rFont val="Noto Sans CJK SC"/>
        <family val="2"/>
      </rPr>
      <t xml:space="preserve">둔산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파이 종류가 오후에 가장 많이 나온다</t>
    </r>
    <r>
      <rPr>
        <sz val="10"/>
        <rFont val="Arial"/>
        <family val="0"/>
        <charset val="1"/>
      </rPr>
      <t xml:space="preserve">.</t>
    </r>
  </si>
  <si>
    <t xml:space="preserve">파티세리 소신</t>
  </si>
  <si>
    <t xml:space="preserve">Patisserie Sosin</t>
  </si>
  <si>
    <r>
      <rPr>
        <sz val="10"/>
        <rFont val="Noto Sans CJK SC"/>
        <family val="2"/>
      </rPr>
      <t xml:space="preserve">빵투어 마지막 코스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소량 생산이라 늦은 시간엔 품목이 준다</t>
    </r>
    <r>
      <rPr>
        <sz val="10"/>
        <rFont val="Arial"/>
        <family val="0"/>
        <charset val="1"/>
      </rPr>
      <t xml:space="preserve">.</t>
    </r>
  </si>
  <si>
    <t xml:space="preserve">포석정</t>
  </si>
  <si>
    <t xml:space="preserve">Poseokjeong</t>
  </si>
  <si>
    <r>
      <rPr>
        <sz val="10"/>
        <rFont val="Noto Sans CJK SC"/>
        <family val="2"/>
      </rPr>
      <t xml:space="preserve">전복 모양으로 깎은 돌 수로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신라 왕실이 물을 돌려 술잔을 띄우고 시를 지은 자리다</t>
    </r>
    <r>
      <rPr>
        <sz val="10"/>
        <rFont val="Arial"/>
        <family val="0"/>
        <charset val="1"/>
      </rPr>
      <t xml:space="preserve">.</t>
    </r>
  </si>
  <si>
    <t xml:space="preserve">하늘공원</t>
  </si>
  <si>
    <t xml:space="preserve">Haneul Park</t>
  </si>
  <si>
    <r>
      <rPr>
        <sz val="10"/>
        <rFont val="Noto Sans CJK SC"/>
        <family val="2"/>
      </rPr>
      <t xml:space="preserve">매립지를 덮어 만든 언덕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 억새밭이 넓다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</si>
  <si>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하이원 리조트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동물농장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알파인코스터</t>
    </r>
    <r>
      <rPr>
        <sz val="10"/>
        <rFont val="Arial"/>
        <family val="0"/>
        <charset val="1"/>
      </rPr>
      <t xml:space="preserve">)</t>
    </r>
  </si>
  <si>
    <t xml:space="preserve">High1 Resort (Animal Farm &amp; Alpine Coaster)</t>
  </si>
  <si>
    <r>
      <rPr>
        <sz val="10"/>
        <rFont val="Noto Sans CJK SC"/>
        <family val="2"/>
      </rPr>
      <t xml:space="preserve">알파인코스터는 산 정상부에서 출발한다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동물농장은 우천 시 단축 운영</t>
    </r>
    <r>
      <rPr>
        <sz val="10"/>
        <rFont val="Arial"/>
        <family val="0"/>
        <charset val="1"/>
      </rPr>
      <t xml:space="preserve">.</t>
    </r>
  </si>
  <si>
    <t xml:space="preserve">학동 흑진주 몽돌해변</t>
  </si>
  <si>
    <t xml:space="preserve">Hakdong Pebble Beach</t>
  </si>
  <si>
    <r>
      <rPr>
        <sz val="10"/>
        <rFont val="Noto Sans CJK SC"/>
        <family val="2"/>
      </rPr>
      <t xml:space="preserve">검은 몽돌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케이블카 하부역사와 가깝다</t>
    </r>
    <r>
      <rPr>
        <sz val="10"/>
        <rFont val="Arial"/>
        <family val="0"/>
        <charset val="1"/>
      </rPr>
      <t xml:space="preserve">.</t>
    </r>
  </si>
  <si>
    <t xml:space="preserve">한라생태숲</t>
  </si>
  <si>
    <t xml:space="preserve">Hallasan Eco Forest</t>
  </si>
  <si>
    <r>
      <rPr>
        <sz val="10"/>
        <rFont val="Arial"/>
        <family val="0"/>
        <charset val="1"/>
      </rPr>
      <t xml:space="preserve">516</t>
    </r>
    <r>
      <rPr>
        <sz val="10"/>
        <rFont val="Noto Sans CJK SC"/>
        <family val="2"/>
      </rPr>
      <t xml:space="preserve">도로 옆의 생태 숲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코스가 여러 갈래로 짧게 나뉜다</t>
    </r>
    <r>
      <rPr>
        <sz val="10"/>
        <rFont val="Arial"/>
        <family val="0"/>
        <charset val="1"/>
      </rPr>
      <t xml:space="preserve">.</t>
    </r>
  </si>
  <si>
    <t xml:space="preserve">한라수목원</t>
  </si>
  <si>
    <t xml:space="preserve">Hallasan Arboretum</t>
  </si>
  <si>
    <r>
      <rPr>
        <sz val="10"/>
        <rFont val="Noto Sans CJK SC"/>
        <family val="2"/>
      </rPr>
      <t xml:space="preserve">제주시 시내에서 가장 가까운 숲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저녁에도 걷는 사람이 많다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</si>
  <si>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한반도지형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선암마을</t>
    </r>
    <r>
      <rPr>
        <sz val="10"/>
        <rFont val="Arial"/>
        <family val="0"/>
        <charset val="1"/>
      </rPr>
      <t xml:space="preserve">)</t>
    </r>
  </si>
  <si>
    <t xml:space="preserve">Hanbando Topography</t>
  </si>
  <si>
    <r>
      <rPr>
        <sz val="10"/>
        <rFont val="Noto Sans CJK SC"/>
        <family val="2"/>
      </rPr>
      <t xml:space="preserve">서강이 감아 돌며 한반도 모양을 만든 지형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촬영지는 아니지만 영월 촬영지 순례 코스에 거의 빠지지 않는다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주차장에서 전망대까지 흙길 </t>
    </r>
    <r>
      <rPr>
        <sz val="10"/>
        <rFont val="Arial"/>
        <family val="0"/>
        <charset val="1"/>
      </rPr>
      <t xml:space="preserve">800m.</t>
    </r>
  </si>
  <si>
    <t xml:space="preserve">한밭수목원</t>
  </si>
  <si>
    <t xml:space="preserve">Hanbat Arboretum</t>
  </si>
  <si>
    <r>
      <rPr>
        <sz val="10"/>
        <rFont val="Noto Sans CJK SC"/>
        <family val="2"/>
      </rPr>
      <t xml:space="preserve">도심 속 대형 수목원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빵투어 사이 휴식 코스</t>
    </r>
    <r>
      <rPr>
        <sz val="10"/>
        <rFont val="Arial"/>
        <family val="0"/>
        <charset val="1"/>
      </rPr>
      <t xml:space="preserve">.</t>
    </r>
  </si>
  <si>
    <t xml:space="preserve">한섬해변</t>
  </si>
  <si>
    <t xml:space="preserve">Hanseom Beach</t>
  </si>
  <si>
    <r>
      <rPr>
        <sz val="10"/>
        <rFont val="Noto Sans CJK SC"/>
        <family val="2"/>
      </rPr>
      <t xml:space="preserve">감추사와 이어지는 조용한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해파랑길 구간으로 산책하기 좋다</t>
    </r>
    <r>
      <rPr>
        <sz val="10"/>
        <rFont val="Arial"/>
        <family val="0"/>
        <charset val="1"/>
      </rPr>
      <t xml:space="preserve">.</t>
    </r>
  </si>
  <si>
    <t xml:space="preserve">합정동 상권</t>
  </si>
  <si>
    <t xml:space="preserve">Hapjeong-dong Area</t>
  </si>
  <si>
    <r>
      <rPr>
        <sz val="10"/>
        <rFont val="Noto Sans CJK SC"/>
        <family val="2"/>
      </rPr>
      <t xml:space="preserve">카페와 소품점이 몰린 골목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홍대와 망원 사이를 걸어서 잇는다</t>
    </r>
    <r>
      <rPr>
        <sz val="10"/>
        <rFont val="Arial"/>
        <family val="0"/>
        <charset val="1"/>
      </rPr>
      <t xml:space="preserve">.</t>
    </r>
  </si>
  <si>
    <t xml:space="preserve">항파두리 항몽유적지</t>
  </si>
  <si>
    <t xml:space="preserve">Hangpaduri Fortress</t>
  </si>
  <si>
    <r>
      <rPr>
        <sz val="10"/>
        <rFont val="Noto Sans CJK SC"/>
        <family val="2"/>
      </rPr>
      <t xml:space="preserve">삼별초가 마지막으로 항전한 토성 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유채와 코스모스를 심는다</t>
    </r>
    <r>
      <rPr>
        <sz val="10"/>
        <rFont val="Arial"/>
        <family val="0"/>
        <charset val="1"/>
      </rPr>
      <t xml:space="preserve">.</t>
    </r>
  </si>
  <si>
    <t xml:space="preserve">해금강</t>
  </si>
  <si>
    <t xml:space="preserve">Haegeumgang</t>
  </si>
  <si>
    <r>
      <rPr>
        <sz val="10"/>
        <rFont val="Noto Sans CJK SC"/>
        <family val="2"/>
      </rPr>
      <t xml:space="preserve">해상 기암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유람선에서만 볼 수 있는 십자동굴 구간이 영상 후반부에 나온다</t>
    </r>
    <r>
      <rPr>
        <sz val="10"/>
        <rFont val="Arial"/>
        <family val="0"/>
        <charset val="1"/>
      </rPr>
      <t xml:space="preserve">.</t>
    </r>
  </si>
  <si>
    <t xml:space="preserve">해녀박물관</t>
  </si>
  <si>
    <t xml:space="preserve">Haenyeo Museum</t>
  </si>
  <si>
    <r>
      <rPr>
        <sz val="10"/>
        <rFont val="Noto Sans CJK SC"/>
        <family val="2"/>
      </rPr>
      <t xml:space="preserve">해녀의 일과 물질 도구를 모은 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드라마 속 바다 노동의 배경을 이해하는 데 도움이 된다</t>
    </r>
    <r>
      <rPr>
        <sz val="10"/>
        <rFont val="Arial"/>
        <family val="0"/>
        <charset val="1"/>
      </rPr>
      <t xml:space="preserve">.</t>
    </r>
  </si>
  <si>
    <t xml:space="preserve">해동용궁사</t>
  </si>
  <si>
    <t xml:space="preserve">Haedong Yonggungsa</t>
  </si>
  <si>
    <r>
      <rPr>
        <sz val="10"/>
        <rFont val="Noto Sans CJK SC"/>
        <family val="2"/>
      </rPr>
      <t xml:space="preserve">바다 절벽에 앉은 사찰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파도가 법당 아래까지 닿는다</t>
    </r>
    <r>
      <rPr>
        <sz val="10"/>
        <rFont val="Arial"/>
        <family val="0"/>
        <charset val="1"/>
      </rPr>
      <t xml:space="preserve">.</t>
    </r>
  </si>
  <si>
    <t xml:space="preserve">행리단길</t>
  </si>
  <si>
    <t xml:space="preserve">Haengridan-gil</t>
  </si>
  <si>
    <r>
      <rPr>
        <sz val="10"/>
        <rFont val="Noto Sans CJK SC"/>
        <family val="2"/>
      </rPr>
      <t xml:space="preserve">화성 성벽 바로 안쪽 골목 상권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관람 후 저녁 코스로 붙이기 좋다</t>
    </r>
    <r>
      <rPr>
        <sz val="10"/>
        <rFont val="Arial"/>
        <family val="0"/>
        <charset val="1"/>
      </rPr>
      <t xml:space="preserve">.</t>
    </r>
  </si>
  <si>
    <t xml:space="preserve">허심청</t>
  </si>
  <si>
    <t xml:space="preserve">Hurshimchung Spa</t>
  </si>
  <si>
    <r>
      <rPr>
        <sz val="10"/>
        <rFont val="Noto Sans CJK SC"/>
        <family val="2"/>
      </rPr>
      <t xml:space="preserve">동래온천 수원을 쓰는 대형 온천탕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노천탕과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여 개 탕이 있다</t>
    </r>
    <r>
      <rPr>
        <sz val="10"/>
        <rFont val="Arial"/>
        <family val="0"/>
        <charset val="1"/>
      </rPr>
      <t xml:space="preserve">.</t>
    </r>
  </si>
  <si>
    <t xml:space="preserve">협재 비양도</t>
  </si>
  <si>
    <t xml:space="preserve">Biyangdo Island</t>
  </si>
  <si>
    <r>
      <rPr>
        <sz val="10"/>
        <rFont val="Noto Sans CJK SC"/>
        <family val="2"/>
      </rPr>
      <t xml:space="preserve">협재 앞바다의 작은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바퀴 한 시간이면 돈다</t>
    </r>
    <r>
      <rPr>
        <sz val="10"/>
        <rFont val="Arial"/>
        <family val="0"/>
        <charset val="1"/>
      </rPr>
      <t xml:space="preserve">.</t>
    </r>
  </si>
  <si>
    <t xml:space="preserve">혜화동 대학로</t>
  </si>
  <si>
    <t xml:space="preserve">Daehangno, Hyehwa-dong</t>
  </si>
  <si>
    <r>
      <rPr>
        <sz val="10"/>
        <rFont val="Noto Sans CJK SC"/>
        <family val="2"/>
      </rPr>
      <t xml:space="preserve">소극장 수십 곳이 모인 연극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마로니에공원을 중심으로 퍼져 있다</t>
    </r>
    <r>
      <rPr>
        <sz val="10"/>
        <rFont val="Arial"/>
        <family val="0"/>
        <charset val="1"/>
      </rPr>
      <t xml:space="preserve">.</t>
    </r>
  </si>
  <si>
    <t xml:space="preserve">혼인지</t>
  </si>
  <si>
    <t xml:space="preserve">Honinji</t>
  </si>
  <si>
    <r>
      <rPr>
        <sz val="10"/>
        <rFont val="Noto Sans CJK SC"/>
        <family val="2"/>
      </rPr>
      <t xml:space="preserve">탐라 삼신인이 혼례를 올렸다는 못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수국철에 특히 붐빈다</t>
    </r>
    <r>
      <rPr>
        <sz val="10"/>
        <rFont val="Arial"/>
        <family val="0"/>
        <charset val="1"/>
      </rPr>
      <t xml:space="preserve">.</t>
    </r>
  </si>
  <si>
    <t xml:space="preserve">홍대거리</t>
  </si>
  <si>
    <t xml:space="preserve">Hongdae Street</t>
  </si>
  <si>
    <r>
      <rPr>
        <sz val="10"/>
        <rFont val="Noto Sans CJK SC"/>
        <family val="2"/>
      </rPr>
      <t xml:space="preserve">거리 공연이 상시로 열리는 대학가 상권</t>
    </r>
    <r>
      <rPr>
        <sz val="10"/>
        <rFont val="Arial"/>
        <family val="0"/>
        <charset val="1"/>
      </rPr>
      <t xml:space="preserve">.</t>
    </r>
  </si>
  <si>
    <t xml:space="preserve">화홍문</t>
  </si>
  <si>
    <t xml:space="preserve">Hwahongmun</t>
  </si>
  <si>
    <r>
      <rPr>
        <sz val="10"/>
        <rFont val="Noto Sans CJK SC"/>
        <family val="2"/>
      </rPr>
      <t xml:space="preserve">수원화성 북수문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수문 일곱 칸 위로 누각이 올라앉은 구조로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영상에서 방화수류정으로 이어지는 구간에 등장한다</t>
    </r>
    <r>
      <rPr>
        <sz val="10"/>
        <rFont val="Arial"/>
        <family val="0"/>
        <charset val="1"/>
      </rPr>
      <t xml:space="preserve">.</t>
    </r>
  </si>
  <si>
    <t xml:space="preserve">황룡사지</t>
  </si>
  <si>
    <t xml:space="preserve">Hwangnyongsa Temple Site</t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</si>
  <si>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층 목탑이 서 있던 신라 최대 사찰 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지금은 주초석만 남아 규모를 짐작하게 한다</t>
    </r>
    <r>
      <rPr>
        <sz val="10"/>
        <rFont val="Arial"/>
        <family val="0"/>
        <charset val="1"/>
      </rPr>
      <t xml:space="preserve">.</t>
    </r>
  </si>
  <si>
    <t xml:space="preserve">황리단길</t>
  </si>
  <si>
    <t xml:space="preserve">Hwangnidan-gil</t>
  </si>
  <si>
    <r>
      <rPr>
        <sz val="10"/>
        <rFont val="Noto Sans CJK SC"/>
        <family val="2"/>
      </rPr>
      <t xml:space="preserve">한옥 상점가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멤버들이 들른 디저트 가게 세 곳이 도보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안에 모여 있다</t>
    </r>
    <r>
      <rPr>
        <sz val="10"/>
        <rFont val="Arial"/>
        <family val="0"/>
        <charset val="1"/>
      </rPr>
      <t xml:space="preserve">.</t>
    </r>
  </si>
  <si>
    <t xml:space="preserve">효우당</t>
  </si>
  <si>
    <t xml:space="preserve">Hyowoodang</t>
  </si>
  <si>
    <r>
      <rPr>
        <sz val="10"/>
        <rFont val="Noto Sans CJK SC"/>
        <family val="2"/>
      </rPr>
      <t xml:space="preserve">한옥 스테이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영상 도입부의 마당 컷이 촬영된 곳으로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아침 다도 체험이 함께 운영된다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</si>
  <si>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흥국사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황령산 전망대</t>
    </r>
  </si>
  <si>
    <t xml:space="preserve">Hwangnyeongsan Lookout</t>
  </si>
  <si>
    <r>
      <rPr>
        <sz val="10"/>
        <rFont val="Noto Sans CJK SC"/>
        <family val="2"/>
      </rPr>
      <t xml:space="preserve">부산 시내 야경이 가장 넓게 보이는 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차로 정상 부근까지 오른다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</si>
  <si>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흥인지문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한양도성</t>
    </r>
  </si>
  <si>
    <t xml:space="preserve">Heunginjimun &amp; City Wall</t>
  </si>
  <si>
    <r>
      <rPr>
        <sz val="10"/>
        <rFont val="Noto Sans CJK SC"/>
        <family val="2"/>
      </rPr>
      <t xml:space="preserve">낙산 성곽길의 남쪽 들머리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동대문에서 걸어 올라가면 낙산공원까지 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분이다</t>
    </r>
    <r>
      <rPr>
        <sz val="10"/>
        <rFont val="Arial"/>
        <family val="0"/>
        <charset val="1"/>
      </rPr>
      <t xml:space="preserve">.</t>
    </r>
  </si>
  <si>
    <t xml:space="preserve">힐튼 경주</t>
  </si>
  <si>
    <t xml:space="preserve">Hilton Gyeongju</t>
  </si>
  <si>
    <r>
      <rPr>
        <sz val="10"/>
        <rFont val="Noto Sans CJK SC"/>
        <family val="2"/>
      </rPr>
      <t xml:space="preserve">보문호에 면한 호텔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신라밀레니엄파크와 같은 부지에 있어 걸어서 오갈 수 있다</t>
    </r>
    <r>
      <rPr>
        <sz val="10"/>
        <rFont val="Arial"/>
        <family val="0"/>
        <charset val="1"/>
      </rPr>
      <t xml:space="preserve">.</t>
    </r>
  </si>
  <si>
    <t xml:space="preserve">광주</t>
  </si>
  <si>
    <r>
      <rPr>
        <sz val="10"/>
        <rFont val="Arial"/>
        <family val="0"/>
        <charset val="1"/>
      </rPr>
      <t xml:space="preserve">5·18 </t>
    </r>
    <r>
      <rPr>
        <sz val="10"/>
        <rFont val="Noto Sans CJK SC"/>
        <family val="2"/>
      </rPr>
      <t xml:space="preserve">민주광장</t>
    </r>
  </si>
  <si>
    <t xml:space="preserve">May 18 Democracy Square</t>
  </si>
  <si>
    <r>
      <rPr>
        <sz val="10"/>
        <rFont val="Arial"/>
        <family val="0"/>
        <charset val="1"/>
      </rPr>
      <t xml:space="preserve">1980</t>
    </r>
    <r>
      <rPr>
        <sz val="10"/>
        <rFont val="Noto Sans CJK SC"/>
        <family val="2"/>
      </rPr>
      <t xml:space="preserve">년 항쟁의 중심 광장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분수대가 남아 있다</t>
    </r>
    <r>
      <rPr>
        <sz val="10"/>
        <rFont val="Arial"/>
        <family val="0"/>
        <charset val="1"/>
      </rPr>
      <t xml:space="preserve">.</t>
    </r>
  </si>
  <si>
    <t xml:space="preserve">가야읍 숙소</t>
  </si>
  <si>
    <t xml:space="preserve">Gaya-eup stays</t>
  </si>
  <si>
    <t xml:space="preserve">김해</t>
  </si>
  <si>
    <t xml:space="preserve">가야테마파크</t>
  </si>
  <si>
    <t xml:space="preserve">Gaya Theme Park</t>
  </si>
  <si>
    <r>
      <rPr>
        <sz val="10"/>
        <rFont val="Noto Sans CJK SC"/>
        <family val="2"/>
      </rPr>
      <t xml:space="preserve">가야 왕궁을 재현한 테마파크</t>
    </r>
    <r>
      <rPr>
        <sz val="10"/>
        <rFont val="Arial"/>
        <family val="0"/>
        <charset val="1"/>
      </rPr>
      <t xml:space="preserve">.</t>
    </r>
  </si>
  <si>
    <t xml:space="preserve">가천암수바위</t>
  </si>
  <si>
    <t xml:space="preserve">Gacheon Twin Rocks</t>
  </si>
  <si>
    <r>
      <rPr>
        <sz val="10"/>
        <rFont val="Noto Sans CJK SC"/>
        <family val="2"/>
      </rPr>
      <t xml:space="preserve">다랭이마을 아래 민속 신앙의 바위 한 쌍</t>
    </r>
    <r>
      <rPr>
        <sz val="10"/>
        <rFont val="Arial"/>
        <family val="0"/>
        <charset val="1"/>
      </rPr>
      <t xml:space="preserve">.</t>
    </r>
  </si>
  <si>
    <t xml:space="preserve">천안</t>
  </si>
  <si>
    <t xml:space="preserve">각원사</t>
  </si>
  <si>
    <t xml:space="preserve">Gagwonsa Temple</t>
  </si>
  <si>
    <r>
      <rPr>
        <sz val="10"/>
        <rFont val="Noto Sans CJK SC"/>
        <family val="2"/>
      </rPr>
      <t xml:space="preserve">태조산 자락의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청동 좌불이 크게 앉아 있다</t>
    </r>
    <r>
      <rPr>
        <sz val="10"/>
        <rFont val="Arial"/>
        <family val="0"/>
        <charset val="1"/>
      </rPr>
      <t xml:space="preserve">.</t>
    </r>
  </si>
  <si>
    <t xml:space="preserve">서산</t>
  </si>
  <si>
    <t xml:space="preserve">간월암</t>
  </si>
  <si>
    <t xml:space="preserve">Ganwolam Hermitage</t>
  </si>
  <si>
    <r>
      <rPr>
        <sz val="10"/>
        <rFont val="Noto Sans CJK SC"/>
        <family val="2"/>
      </rPr>
      <t xml:space="preserve">물이 빠지면 길이 열리는 바다 위 암자</t>
    </r>
    <r>
      <rPr>
        <sz val="10"/>
        <rFont val="Arial"/>
        <family val="0"/>
        <charset val="1"/>
      </rPr>
      <t xml:space="preserve">.</t>
    </r>
  </si>
  <si>
    <t xml:space="preserve">간월재</t>
  </si>
  <si>
    <t xml:space="preserve">Ganwoljae Pass</t>
  </si>
  <si>
    <r>
      <rPr>
        <sz val="10"/>
        <rFont val="Noto Sans CJK SC"/>
        <family val="2"/>
      </rPr>
      <t xml:space="preserve">영남알프스 능선의 대표 억새 평원</t>
    </r>
    <r>
      <rPr>
        <sz val="10"/>
        <rFont val="Arial"/>
        <family val="0"/>
        <charset val="1"/>
      </rPr>
      <t xml:space="preserve">.</t>
    </r>
  </si>
  <si>
    <t xml:space="preserve">간절곶</t>
  </si>
  <si>
    <t xml:space="preserve">Ganjeolgot</t>
  </si>
  <si>
    <r>
      <rPr>
        <sz val="10"/>
        <rFont val="Noto Sans CJK SC"/>
        <family val="2"/>
      </rPr>
      <t xml:space="preserve">한반도에서 해가 가장 먼저 뜨는 곶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</si>
  <si>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갈말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동송 시내 숙소</t>
    </r>
  </si>
  <si>
    <t xml:space="preserve">Galmal &amp; Dongsong stays</t>
  </si>
  <si>
    <t xml:space="preserve">감귤박물관</t>
  </si>
  <si>
    <t xml:space="preserve">Citrus Museum</t>
  </si>
  <si>
    <t xml:space="preserve">실내</t>
  </si>
  <si>
    <r>
      <rPr>
        <sz val="10"/>
        <rFont val="Noto Sans CJK SC"/>
        <family val="2"/>
      </rPr>
      <t xml:space="preserve">제주 감귤의 역사와 품종 전시관</t>
    </r>
    <r>
      <rPr>
        <sz val="10"/>
        <rFont val="Arial"/>
        <family val="0"/>
        <charset val="1"/>
      </rPr>
      <t xml:space="preserve">.</t>
    </r>
  </si>
  <si>
    <t xml:space="preserve">거창</t>
  </si>
  <si>
    <t xml:space="preserve">감악산 아스타 꽃밭</t>
  </si>
  <si>
    <t xml:space="preserve">Gamaksan Aster Fields</t>
  </si>
  <si>
    <r>
      <rPr>
        <sz val="10"/>
        <rFont val="Noto Sans CJK SC"/>
        <family val="2"/>
      </rPr>
      <t xml:space="preserve">가을이면 보랏빛 아스터가 덮는 능선</t>
    </r>
    <r>
      <rPr>
        <sz val="10"/>
        <rFont val="Arial"/>
        <family val="0"/>
        <charset val="1"/>
      </rPr>
      <t xml:space="preserve">.</t>
    </r>
  </si>
  <si>
    <t xml:space="preserve">파주</t>
  </si>
  <si>
    <t xml:space="preserve">감악산 출렁다리</t>
  </si>
  <si>
    <t xml:space="preserve">Gamaksan Suspension Bridge</t>
  </si>
  <si>
    <r>
      <rPr>
        <sz val="10"/>
        <rFont val="Noto Sans CJK SC"/>
        <family val="2"/>
      </rPr>
      <t xml:space="preserve">산 계곡을 건너는 </t>
    </r>
    <r>
      <rPr>
        <sz val="10"/>
        <rFont val="Arial"/>
        <family val="0"/>
        <charset val="1"/>
      </rPr>
      <t xml:space="preserve">150m </t>
    </r>
    <r>
      <rPr>
        <sz val="10"/>
        <rFont val="Noto Sans CJK SC"/>
        <family val="2"/>
      </rPr>
      <t xml:space="preserve">흔들다리</t>
    </r>
    <r>
      <rPr>
        <sz val="10"/>
        <rFont val="Arial"/>
        <family val="0"/>
        <charset val="1"/>
      </rPr>
      <t xml:space="preserve">.</t>
    </r>
  </si>
  <si>
    <t xml:space="preserve">갓바위</t>
  </si>
  <si>
    <t xml:space="preserve">Gatbawi Rock</t>
  </si>
  <si>
    <r>
      <rPr>
        <sz val="10"/>
        <rFont val="Noto Sans CJK SC"/>
        <family val="2"/>
      </rPr>
      <t xml:space="preserve">풍화로 갓 모양이 된 천연기념물 바위</t>
    </r>
    <r>
      <rPr>
        <sz val="10"/>
        <rFont val="Arial"/>
        <family val="0"/>
        <charset val="1"/>
      </rPr>
      <t xml:space="preserve">.</t>
    </r>
  </si>
  <si>
    <t xml:space="preserve">강구안 시내 숙소</t>
  </si>
  <si>
    <t xml:space="preserve">Gangguan town stays</t>
  </si>
  <si>
    <t xml:space="preserve">강구항</t>
  </si>
  <si>
    <t xml:space="preserve">Ganggu Port</t>
  </si>
  <si>
    <r>
      <rPr>
        <sz val="10"/>
        <rFont val="Noto Sans CJK SC"/>
        <family val="2"/>
      </rPr>
      <t xml:space="preserve">대게로 알려진 항구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게 거리가 이어진다</t>
    </r>
    <r>
      <rPr>
        <sz val="10"/>
        <rFont val="Arial"/>
        <family val="0"/>
        <charset val="1"/>
      </rPr>
      <t xml:space="preserve">.</t>
    </r>
  </si>
  <si>
    <t xml:space="preserve">강구항 권역 숙소</t>
  </si>
  <si>
    <t xml:space="preserve">Ganggu port stays</t>
  </si>
  <si>
    <t xml:space="preserve">강동 몽돌해변</t>
  </si>
  <si>
    <t xml:space="preserve">Gangdong Pebble Beach</t>
  </si>
  <si>
    <r>
      <rPr>
        <sz val="10"/>
        <rFont val="Noto Sans CJK SC"/>
        <family val="2"/>
      </rPr>
      <t xml:space="preserve">자갈이 구르는 소리로 알려진 해변</t>
    </r>
    <r>
      <rPr>
        <sz val="10"/>
        <rFont val="Arial"/>
        <family val="0"/>
        <charset val="1"/>
      </rPr>
      <t xml:space="preserve">.</t>
    </r>
  </si>
  <si>
    <t xml:space="preserve">강릉중앙시장</t>
  </si>
  <si>
    <t xml:space="preserve">Gangneung Jungang Market</t>
  </si>
  <si>
    <r>
      <rPr>
        <sz val="10"/>
        <rFont val="Noto Sans CJK SC"/>
        <family val="2"/>
      </rPr>
      <t xml:space="preserve">닭강정과 수제어묵으로 붐비는 시내 시장</t>
    </r>
    <r>
      <rPr>
        <sz val="10"/>
        <rFont val="Arial"/>
        <family val="0"/>
        <charset val="1"/>
      </rPr>
      <t xml:space="preserve">.</t>
    </r>
  </si>
  <si>
    <t xml:space="preserve">강릉커피박물관</t>
  </si>
  <si>
    <t xml:space="preserve">Gangneung Coffee Museum</t>
  </si>
  <si>
    <r>
      <rPr>
        <sz val="10"/>
        <rFont val="Noto Sans CJK SC"/>
        <family val="2"/>
      </rPr>
      <t xml:space="preserve">커피 도시 강릉의 역사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기구 전시관</t>
    </r>
    <r>
      <rPr>
        <sz val="10"/>
        <rFont val="Arial"/>
        <family val="0"/>
        <charset val="1"/>
      </rPr>
      <t xml:space="preserve">.</t>
    </r>
  </si>
  <si>
    <t xml:space="preserve">강촌레일파크</t>
  </si>
  <si>
    <t xml:space="preserve">Gangchon Rail Park</t>
  </si>
  <si>
    <r>
      <rPr>
        <sz val="10"/>
        <rFont val="Noto Sans CJK SC"/>
        <family val="2"/>
      </rPr>
      <t xml:space="preserve">폐선을 달리는 레일바이크</t>
    </r>
    <r>
      <rPr>
        <sz val="10"/>
        <rFont val="Arial"/>
        <family val="0"/>
        <charset val="1"/>
      </rPr>
      <t xml:space="preserve">.</t>
    </r>
  </si>
  <si>
    <t xml:space="preserve">강화 고인돌 유적</t>
  </si>
  <si>
    <t xml:space="preserve">Ganghwa Dolmen Site</t>
  </si>
  <si>
    <r>
      <rPr>
        <sz val="10"/>
        <rFont val="Noto Sans CJK SC"/>
        <family val="2"/>
      </rPr>
      <t xml:space="preserve">청동기 고인돌군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</si>
  <si>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강화 마니산</t>
  </si>
  <si>
    <t xml:space="preserve">Manisan</t>
  </si>
  <si>
    <r>
      <rPr>
        <sz val="10"/>
        <rFont val="Noto Sans CJK SC"/>
        <family val="2"/>
      </rPr>
      <t xml:space="preserve">단군이 제를 올렸다는 참성단이 있는 산</t>
    </r>
    <r>
      <rPr>
        <sz val="10"/>
        <rFont val="Arial"/>
        <family val="0"/>
        <charset val="1"/>
      </rPr>
      <t xml:space="preserve">.</t>
    </r>
  </si>
  <si>
    <t xml:space="preserve">강화 전등사</t>
  </si>
  <si>
    <t xml:space="preserve">Jeondeungsa Temple</t>
  </si>
  <si>
    <r>
      <rPr>
        <sz val="10"/>
        <rFont val="Noto Sans CJK SC"/>
        <family val="2"/>
      </rPr>
      <t xml:space="preserve">삼랑성 안에 자리한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한국에서 가장 오래된 사찰로 꼽힌다</t>
    </r>
    <r>
      <rPr>
        <sz val="10"/>
        <rFont val="Arial"/>
        <family val="0"/>
        <charset val="1"/>
      </rPr>
      <t xml:space="preserve">.</t>
    </r>
  </si>
  <si>
    <t xml:space="preserve">고령</t>
  </si>
  <si>
    <t xml:space="preserve">개실마을</t>
  </si>
  <si>
    <t xml:space="preserve">Gaesil Village</t>
  </si>
  <si>
    <r>
      <rPr>
        <sz val="10"/>
        <rFont val="Noto Sans CJK SC"/>
        <family val="2"/>
      </rPr>
      <t xml:space="preserve">점필재 종가가 남은 한옥 마을</t>
    </r>
    <r>
      <rPr>
        <sz val="10"/>
        <rFont val="Arial"/>
        <family val="0"/>
        <charset val="1"/>
      </rPr>
      <t xml:space="preserve">.</t>
    </r>
  </si>
  <si>
    <t xml:space="preserve">개심사</t>
  </si>
  <si>
    <t xml:space="preserve">Gaesimsa Temple</t>
  </si>
  <si>
    <r>
      <rPr>
        <sz val="10"/>
        <rFont val="Noto Sans CJK SC"/>
        <family val="2"/>
      </rPr>
      <t xml:space="preserve">휜 기둥과 왕벚꽃으로 알려진 절</t>
    </r>
    <r>
      <rPr>
        <sz val="10"/>
        <rFont val="Arial"/>
        <family val="0"/>
        <charset val="1"/>
      </rPr>
      <t xml:space="preserve">.</t>
    </r>
  </si>
  <si>
    <t xml:space="preserve">함양</t>
  </si>
  <si>
    <t xml:space="preserve">개평한옥마을</t>
  </si>
  <si>
    <t xml:space="preserve">Gaepyeong Hanok Village</t>
  </si>
  <si>
    <r>
      <rPr>
        <sz val="10"/>
        <rFont val="Noto Sans CJK SC"/>
        <family val="2"/>
      </rPr>
      <t xml:space="preserve">고택이 모인 선비 마을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</si>
  <si>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개항장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차이나타운 스테이</t>
    </r>
  </si>
  <si>
    <t xml:space="preserve">Open Port &amp; Chinatown stays</t>
  </si>
  <si>
    <t xml:space="preserve">보령</t>
  </si>
  <si>
    <t xml:space="preserve">개화예술공원</t>
  </si>
  <si>
    <t xml:space="preserve">Gaehwa Art Park</t>
  </si>
  <si>
    <r>
      <rPr>
        <sz val="10"/>
        <rFont val="Noto Sans CJK SC"/>
        <family val="2"/>
      </rPr>
      <t xml:space="preserve">조각과 시비를 둔 야외 예술공원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</si>
  <si>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거문도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백도</t>
    </r>
  </si>
  <si>
    <t xml:space="preserve">Geomundo &amp; Baekdo</t>
  </si>
  <si>
    <r>
      <rPr>
        <sz val="10"/>
        <rFont val="Noto Sans CJK SC"/>
        <family val="2"/>
      </rPr>
      <t xml:space="preserve">남해 먼바다의 등대섬과 기암 군도</t>
    </r>
    <r>
      <rPr>
        <sz val="10"/>
        <rFont val="Arial"/>
        <family val="0"/>
        <charset val="1"/>
      </rPr>
      <t xml:space="preserve">.</t>
    </r>
  </si>
  <si>
    <t xml:space="preserve">거문오름</t>
  </si>
  <si>
    <t xml:space="preserve">Geomunoreum</t>
  </si>
  <si>
    <r>
      <rPr>
        <sz val="10"/>
        <rFont val="Noto Sans CJK SC"/>
        <family val="2"/>
      </rPr>
      <t xml:space="preserve">만장굴을 만든 용암의 발원지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세계자연유산이며 사전 예약이 필요하다</t>
    </r>
    <r>
      <rPr>
        <sz val="10"/>
        <rFont val="Arial"/>
        <family val="0"/>
        <charset val="1"/>
      </rPr>
      <t xml:space="preserve">.</t>
    </r>
  </si>
  <si>
    <t xml:space="preserve">거창 창포원</t>
  </si>
  <si>
    <t xml:space="preserve">Geochang Iris Garden</t>
  </si>
  <si>
    <r>
      <rPr>
        <sz val="10"/>
        <rFont val="Noto Sans CJK SC"/>
        <family val="2"/>
      </rPr>
      <t xml:space="preserve">저수지를 낀 수변 화훼 정원</t>
    </r>
    <r>
      <rPr>
        <sz val="10"/>
        <rFont val="Arial"/>
        <family val="0"/>
        <charset val="1"/>
      </rPr>
      <t xml:space="preserve">.</t>
    </r>
  </si>
  <si>
    <t xml:space="preserve">거창박물관</t>
  </si>
  <si>
    <t xml:space="preserve">Geochang Museum</t>
  </si>
  <si>
    <r>
      <rPr>
        <sz val="10"/>
        <rFont val="Noto Sans CJK SC"/>
        <family val="2"/>
      </rPr>
      <t xml:space="preserve">가야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조선기 거창 유물을 모은 지역 박물관</t>
    </r>
    <r>
      <rPr>
        <sz val="10"/>
        <rFont val="Arial"/>
        <family val="0"/>
        <charset val="1"/>
      </rPr>
      <t xml:space="preserve">.</t>
    </r>
  </si>
  <si>
    <t xml:space="preserve">거창사건추모공원</t>
  </si>
  <si>
    <t xml:space="preserve">Geochang Incident Memorial Park</t>
  </si>
  <si>
    <r>
      <rPr>
        <sz val="10"/>
        <rFont val="Noto Sans CJK SC"/>
        <family val="2"/>
      </rPr>
      <t xml:space="preserve">한국전쟁기 민간인 희생을 기리는 공원</t>
    </r>
    <r>
      <rPr>
        <sz val="10"/>
        <rFont val="Arial"/>
        <family val="0"/>
        <charset val="1"/>
      </rPr>
      <t xml:space="preserve">.</t>
    </r>
  </si>
  <si>
    <t xml:space="preserve">태백</t>
  </si>
  <si>
    <t xml:space="preserve">검룡소</t>
  </si>
  <si>
    <t xml:space="preserve">Geomnyongso Spring</t>
  </si>
  <si>
    <r>
      <rPr>
        <sz val="10"/>
        <rFont val="Noto Sans CJK SC"/>
        <family val="2"/>
      </rPr>
      <t xml:space="preserve">한강이 시작되는 샘</t>
    </r>
    <r>
      <rPr>
        <sz val="10"/>
        <rFont val="Arial"/>
        <family val="0"/>
        <charset val="1"/>
      </rPr>
      <t xml:space="preserve">.</t>
    </r>
  </si>
  <si>
    <t xml:space="preserve">격포항 권역 숙소</t>
  </si>
  <si>
    <t xml:space="preserve">Gyeokpo port stays</t>
  </si>
  <si>
    <t xml:space="preserve">용인</t>
  </si>
  <si>
    <t xml:space="preserve">경기도박물관</t>
  </si>
  <si>
    <t xml:space="preserve">Gyeonggi Provincial Museum</t>
  </si>
  <si>
    <r>
      <rPr>
        <sz val="10"/>
        <rFont val="Noto Sans CJK SC"/>
        <family val="2"/>
      </rPr>
      <t xml:space="preserve">경기 지역 역사와 유물을 모은 박물관</t>
    </r>
    <r>
      <rPr>
        <sz val="10"/>
        <rFont val="Arial"/>
        <family val="0"/>
        <charset val="1"/>
      </rPr>
      <t xml:space="preserve">.</t>
    </r>
  </si>
  <si>
    <t xml:space="preserve">전주</t>
  </si>
  <si>
    <t xml:space="preserve">경기전</t>
  </si>
  <si>
    <t xml:space="preserve">Gyeonggijeon Shrine</t>
  </si>
  <si>
    <r>
      <rPr>
        <sz val="10"/>
        <rFont val="Noto Sans CJK SC"/>
        <family val="2"/>
      </rPr>
      <t xml:space="preserve">태조 이성계의 어진을 모신 사당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대숲길이 이어진다</t>
    </r>
    <r>
      <rPr>
        <sz val="10"/>
        <rFont val="Arial"/>
        <family val="0"/>
        <charset val="1"/>
      </rPr>
      <t xml:space="preserve">.</t>
    </r>
  </si>
  <si>
    <t xml:space="preserve">진주</t>
  </si>
  <si>
    <t xml:space="preserve">경남수목원</t>
  </si>
  <si>
    <t xml:space="preserve">Gyeongnam Arboretum</t>
  </si>
  <si>
    <r>
      <rPr>
        <sz val="10"/>
        <rFont val="Noto Sans CJK SC"/>
        <family val="2"/>
      </rPr>
      <t xml:space="preserve">도내 최대 규모의 수목원과 산림박물관</t>
    </r>
    <r>
      <rPr>
        <sz val="10"/>
        <rFont val="Arial"/>
        <family val="0"/>
        <charset val="1"/>
      </rPr>
      <t xml:space="preserve">.</t>
    </r>
  </si>
  <si>
    <t xml:space="preserve">경암동 철길마을</t>
  </si>
  <si>
    <t xml:space="preserve">Gyeongam-dong Rail Village</t>
  </si>
  <si>
    <r>
      <rPr>
        <sz val="10"/>
        <rFont val="Noto Sans CJK SC"/>
        <family val="2"/>
      </rPr>
      <t xml:space="preserve">집 사이로 철길이 지나던 마을</t>
    </r>
    <r>
      <rPr>
        <sz val="10"/>
        <rFont val="Arial"/>
        <family val="0"/>
        <charset val="1"/>
      </rPr>
      <t xml:space="preserve">.</t>
    </r>
  </si>
  <si>
    <t xml:space="preserve">상주</t>
  </si>
  <si>
    <t xml:space="preserve">경천대</t>
  </si>
  <si>
    <t xml:space="preserve">Gyeongcheondae</t>
  </si>
  <si>
    <r>
      <rPr>
        <sz val="10"/>
        <rFont val="Noto Sans CJK SC"/>
        <family val="2"/>
      </rPr>
      <t xml:space="preserve">낙동강 절벽 위의 전망대</t>
    </r>
    <r>
      <rPr>
        <sz val="10"/>
        <rFont val="Arial"/>
        <family val="0"/>
        <charset val="1"/>
      </rPr>
      <t xml:space="preserve">.</t>
    </r>
  </si>
  <si>
    <t xml:space="preserve">경포해변</t>
  </si>
  <si>
    <t xml:space="preserve">Gyeongpo Beach</t>
  </si>
  <si>
    <r>
      <rPr>
        <sz val="10"/>
        <rFont val="Noto Sans CJK SC"/>
        <family val="2"/>
      </rPr>
      <t xml:space="preserve">동해안 대표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소나무숲과 경포호가 뒤에 있다</t>
    </r>
    <r>
      <rPr>
        <sz val="10"/>
        <rFont val="Arial"/>
        <family val="0"/>
        <charset val="1"/>
      </rPr>
      <t xml:space="preserve">.</t>
    </r>
  </si>
  <si>
    <t xml:space="preserve">경포해변 리조트</t>
  </si>
  <si>
    <t xml:space="preserve">Gyeongpo Beach resorts</t>
  </si>
  <si>
    <t xml:space="preserve">경화역 공원</t>
  </si>
  <si>
    <t xml:space="preserve">Gyeonghwa Station Park</t>
  </si>
  <si>
    <r>
      <rPr>
        <sz val="10"/>
        <rFont val="Noto Sans CJK SC"/>
        <family val="2"/>
      </rPr>
      <t xml:space="preserve">폐선 철길을 따라 벚꽃이 이어지는 공원</t>
    </r>
    <r>
      <rPr>
        <sz val="10"/>
        <rFont val="Arial"/>
        <family val="0"/>
        <charset val="1"/>
      </rPr>
      <t xml:space="preserve">.</t>
    </r>
  </si>
  <si>
    <t xml:space="preserve">공주</t>
  </si>
  <si>
    <t xml:space="preserve">계룡산 갑사</t>
  </si>
  <si>
    <t xml:space="preserve">Gapsa Temple</t>
  </si>
  <si>
    <r>
      <rPr>
        <sz val="10"/>
        <rFont val="Noto Sans CJK SC"/>
        <family val="2"/>
      </rPr>
      <t xml:space="preserve">계룡산 서쪽의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 단풍길로 알려져 있다</t>
    </r>
    <r>
      <rPr>
        <sz val="10"/>
        <rFont val="Arial"/>
        <family val="0"/>
        <charset val="1"/>
      </rPr>
      <t xml:space="preserve">.</t>
    </r>
  </si>
  <si>
    <t xml:space="preserve">계룡산 동학사</t>
  </si>
  <si>
    <t xml:space="preserve">Donghaksa Temple</t>
  </si>
  <si>
    <r>
      <rPr>
        <sz val="10"/>
        <rFont val="Noto Sans CJK SC"/>
        <family val="2"/>
      </rPr>
      <t xml:space="preserve">계룡산 동쪽 골짜기의 비구니 사찰</t>
    </r>
    <r>
      <rPr>
        <sz val="10"/>
        <rFont val="Arial"/>
        <family val="0"/>
        <charset val="1"/>
      </rPr>
      <t xml:space="preserve">.</t>
    </r>
  </si>
  <si>
    <t xml:space="preserve">계룡산 신원사</t>
  </si>
  <si>
    <t xml:space="preserve">Sinwonsa Temple</t>
  </si>
  <si>
    <r>
      <rPr>
        <sz val="10"/>
        <rFont val="Noto Sans CJK SC"/>
        <family val="2"/>
      </rPr>
      <t xml:space="preserve">중악단 제단이 남은 계룡산 남쪽 절</t>
    </r>
    <r>
      <rPr>
        <sz val="10"/>
        <rFont val="Arial"/>
        <family val="0"/>
        <charset val="1"/>
      </rPr>
      <t xml:space="preserve">.</t>
    </r>
  </si>
  <si>
    <t xml:space="preserve">계족산 황톳길</t>
  </si>
  <si>
    <t xml:space="preserve">Gyejoksan Red Clay Trail</t>
  </si>
  <si>
    <r>
      <rPr>
        <sz val="10"/>
        <rFont val="Noto Sans CJK SC"/>
        <family val="2"/>
      </rPr>
      <t xml:space="preserve">맨발로 걷는 </t>
    </r>
    <r>
      <rPr>
        <sz val="10"/>
        <rFont val="Arial"/>
        <family val="0"/>
        <charset val="1"/>
      </rPr>
      <t xml:space="preserve">14.5km </t>
    </r>
    <r>
      <rPr>
        <sz val="10"/>
        <rFont val="Noto Sans CJK SC"/>
        <family val="2"/>
      </rPr>
      <t xml:space="preserve">황톳길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숲길이 완만하다</t>
    </r>
    <r>
      <rPr>
        <sz val="10"/>
        <rFont val="Arial"/>
        <family val="0"/>
        <charset val="1"/>
      </rPr>
      <t xml:space="preserve">.</t>
    </r>
  </si>
  <si>
    <t xml:space="preserve">고견사</t>
  </si>
  <si>
    <t xml:space="preserve">Gogyeonsa Temple</t>
  </si>
  <si>
    <r>
      <rPr>
        <sz val="10"/>
        <rFont val="Noto Sans CJK SC"/>
        <family val="2"/>
      </rPr>
      <t xml:space="preserve">의상봉 아래 폭포를 낀 산사</t>
    </r>
    <r>
      <rPr>
        <sz val="10"/>
        <rFont val="Arial"/>
        <family val="0"/>
        <charset val="1"/>
      </rPr>
      <t xml:space="preserve">.</t>
    </r>
  </si>
  <si>
    <t xml:space="preserve">고마나루</t>
  </si>
  <si>
    <t xml:space="preserve">Gomanaru</t>
  </si>
  <si>
    <r>
      <rPr>
        <sz val="10"/>
        <rFont val="Noto Sans CJK SC"/>
        <family val="2"/>
      </rPr>
      <t xml:space="preserve">곰 전설이 남은 금강 나루터 솔숲</t>
    </r>
    <r>
      <rPr>
        <sz val="10"/>
        <rFont val="Arial"/>
        <family val="0"/>
        <charset val="1"/>
      </rPr>
      <t xml:space="preserve">.</t>
    </r>
  </si>
  <si>
    <t xml:space="preserve">고복자연공원</t>
  </si>
  <si>
    <t xml:space="preserve">Gobok Nature Park</t>
  </si>
  <si>
    <r>
      <rPr>
        <sz val="10"/>
        <rFont val="Noto Sans CJK SC"/>
        <family val="2"/>
      </rPr>
      <t xml:space="preserve">저수지를 두른 산책 공원</t>
    </r>
    <r>
      <rPr>
        <sz val="10"/>
        <rFont val="Arial"/>
        <family val="0"/>
        <charset val="1"/>
      </rPr>
      <t xml:space="preserve">.</t>
    </r>
  </si>
  <si>
    <t xml:space="preserve">안동</t>
  </si>
  <si>
    <t xml:space="preserve">고산정</t>
  </si>
  <si>
    <t xml:space="preserve">Gosanjeong Pavilion</t>
  </si>
  <si>
    <r>
      <rPr>
        <sz val="10"/>
        <rFont val="Noto Sans CJK SC"/>
        <family val="2"/>
      </rPr>
      <t xml:space="preserve">절벽 아래 강가에 선 조선 정자</t>
    </r>
    <r>
      <rPr>
        <sz val="10"/>
        <rFont val="Arial"/>
        <family val="0"/>
        <charset val="1"/>
      </rPr>
      <t xml:space="preserve">.</t>
    </r>
  </si>
  <si>
    <t xml:space="preserve">철원</t>
  </si>
  <si>
    <t xml:space="preserve">고석정</t>
  </si>
  <si>
    <t xml:space="preserve">Goseokjeong</t>
  </si>
  <si>
    <r>
      <rPr>
        <sz val="10"/>
        <rFont val="Noto Sans CJK SC"/>
        <family val="2"/>
      </rPr>
      <t xml:space="preserve">한탄강 협곡의 기암과 정자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래프팅 출발점이다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</si>
  <si>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고성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강원</t>
    </r>
    <r>
      <rPr>
        <sz val="10"/>
        <rFont val="Arial"/>
        <family val="0"/>
        <charset val="1"/>
      </rPr>
      <t xml:space="preserve">)</t>
    </r>
  </si>
  <si>
    <t xml:space="preserve">고성 통일전망대</t>
  </si>
  <si>
    <t xml:space="preserve">Goseong Unification Observatory</t>
  </si>
  <si>
    <r>
      <rPr>
        <sz val="10"/>
        <rFont val="Noto Sans CJK SC"/>
        <family val="2"/>
      </rPr>
      <t xml:space="preserve">금강산과 해금강이 보이는 최북단 전망대</t>
    </r>
    <r>
      <rPr>
        <sz val="10"/>
        <rFont val="Arial"/>
        <family val="0"/>
        <charset val="1"/>
      </rPr>
      <t xml:space="preserve">.</t>
    </r>
  </si>
  <si>
    <t xml:space="preserve">고소동 천사벽화골목</t>
  </si>
  <si>
    <t xml:space="preserve">Goso-dong Mural Alley</t>
  </si>
  <si>
    <r>
      <rPr>
        <sz val="10"/>
        <rFont val="Arial"/>
        <family val="0"/>
        <charset val="1"/>
      </rPr>
      <t xml:space="preserve">1004</t>
    </r>
    <r>
      <rPr>
        <sz val="10"/>
        <rFont val="Noto Sans CJK SC"/>
        <family val="2"/>
      </rPr>
      <t xml:space="preserve">개 벽화가 이어지는 언덕 골목</t>
    </r>
    <r>
      <rPr>
        <sz val="10"/>
        <rFont val="Arial"/>
        <family val="0"/>
        <charset val="1"/>
      </rPr>
      <t xml:space="preserve">.</t>
    </r>
  </si>
  <si>
    <t xml:space="preserve">단양</t>
  </si>
  <si>
    <t xml:space="preserve">고수동굴</t>
  </si>
  <si>
    <t xml:space="preserve">Gosu Cave</t>
  </si>
  <si>
    <r>
      <rPr>
        <sz val="10"/>
        <rFont val="Noto Sans CJK SC"/>
        <family val="2"/>
      </rPr>
      <t xml:space="preserve">종유석이 빽빽한 석회동굴</t>
    </r>
    <r>
      <rPr>
        <sz val="10"/>
        <rFont val="Arial"/>
        <family val="0"/>
        <charset val="1"/>
      </rPr>
      <t xml:space="preserve">.</t>
    </r>
  </si>
  <si>
    <t xml:space="preserve">고양</t>
  </si>
  <si>
    <t xml:space="preserve">고양 행주산성</t>
  </si>
  <si>
    <t xml:space="preserve">Haengju Fortress</t>
  </si>
  <si>
    <r>
      <rPr>
        <sz val="10"/>
        <rFont val="Noto Sans CJK SC"/>
        <family val="2"/>
      </rPr>
      <t xml:space="preserve">행주대첩의 토성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한강이 내려다보인다</t>
    </r>
    <r>
      <rPr>
        <sz val="10"/>
        <rFont val="Arial"/>
        <family val="0"/>
        <charset val="1"/>
      </rPr>
      <t xml:space="preserve">.</t>
    </r>
  </si>
  <si>
    <t xml:space="preserve">청주</t>
  </si>
  <si>
    <t xml:space="preserve">고인쇄박물관</t>
  </si>
  <si>
    <t xml:space="preserve">Early Printing Museum</t>
  </si>
  <si>
    <r>
      <rPr>
        <sz val="10"/>
        <rFont val="Noto Sans CJK SC"/>
        <family val="2"/>
      </rPr>
      <t xml:space="preserve">직지를 찍은 흥덕사 터의 박물관</t>
    </r>
    <r>
      <rPr>
        <sz val="10"/>
        <rFont val="Arial"/>
        <family val="0"/>
        <charset val="1"/>
      </rPr>
      <t xml:space="preserve">.</t>
    </r>
  </si>
  <si>
    <t xml:space="preserve">고창</t>
  </si>
  <si>
    <t xml:space="preserve">고창 고인돌 유적</t>
  </si>
  <si>
    <t xml:space="preserve">Gochang Dolmen Site</t>
  </si>
  <si>
    <r>
      <rPr>
        <sz val="10"/>
        <rFont val="Noto Sans CJK SC"/>
        <family val="2"/>
      </rPr>
      <t xml:space="preserve">수백 기가 모인 고인돌군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</si>
  <si>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고창읍성</t>
  </si>
  <si>
    <t xml:space="preserve">Gochang Fortress</t>
  </si>
  <si>
    <r>
      <rPr>
        <sz val="10"/>
        <rFont val="Noto Sans CJK SC"/>
        <family val="2"/>
      </rPr>
      <t xml:space="preserve">조선 읍성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 밟기 풍습으로 알려져 있다</t>
    </r>
    <r>
      <rPr>
        <sz val="10"/>
        <rFont val="Arial"/>
        <family val="0"/>
        <charset val="1"/>
      </rPr>
      <t xml:space="preserve">.</t>
    </r>
  </si>
  <si>
    <t xml:space="preserve">고척스카이돔</t>
  </si>
  <si>
    <t xml:space="preserve">Gocheok Sky Dome</t>
  </si>
  <si>
    <r>
      <rPr>
        <sz val="10"/>
        <rFont val="Noto Sans CJK SC"/>
        <family val="2"/>
      </rPr>
      <t xml:space="preserve">국내 유일의 돔 야구장</t>
    </r>
    <r>
      <rPr>
        <sz val="10"/>
        <rFont val="Arial"/>
        <family val="0"/>
        <charset val="1"/>
      </rPr>
      <t xml:space="preserve">.</t>
    </r>
  </si>
  <si>
    <t xml:space="preserve">고하도 용머리</t>
  </si>
  <si>
    <t xml:space="preserve">Gohado Yongmeori</t>
  </si>
  <si>
    <r>
      <rPr>
        <sz val="10"/>
        <rFont val="Noto Sans CJK SC"/>
        <family val="2"/>
      </rPr>
      <t xml:space="preserve">해상 데크길과 전망대가 있는 섬 끝</t>
    </r>
    <r>
      <rPr>
        <sz val="10"/>
        <rFont val="Arial"/>
        <family val="0"/>
        <charset val="1"/>
      </rPr>
      <t xml:space="preserve">.</t>
    </r>
  </si>
  <si>
    <t xml:space="preserve">고현동 비즈니스호텔</t>
  </si>
  <si>
    <t xml:space="preserve">Gohyeon-dong business hotels</t>
  </si>
  <si>
    <t xml:space="preserve">경기광주</t>
  </si>
  <si>
    <t xml:space="preserve">곤지암도자공원</t>
  </si>
  <si>
    <t xml:space="preserve">Gonjiam Ceramic Park</t>
  </si>
  <si>
    <r>
      <rPr>
        <sz val="10"/>
        <rFont val="Noto Sans CJK SC"/>
        <family val="2"/>
      </rPr>
      <t xml:space="preserve">조선 백자의 맥을 잇는 도자 공원</t>
    </r>
    <r>
      <rPr>
        <sz val="10"/>
        <rFont val="Arial"/>
        <family val="0"/>
        <charset val="1"/>
      </rPr>
      <t xml:space="preserve">.</t>
    </r>
  </si>
  <si>
    <t xml:space="preserve">경주</t>
  </si>
  <si>
    <t xml:space="preserve">골굴사</t>
  </si>
  <si>
    <t xml:space="preserve">Golgulsa Temple</t>
  </si>
  <si>
    <r>
      <rPr>
        <sz val="10"/>
        <rFont val="Noto Sans CJK SC"/>
        <family val="2"/>
      </rPr>
      <t xml:space="preserve">바위굴에 새긴 마애불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선무도로 알려져 있다</t>
    </r>
    <r>
      <rPr>
        <sz val="10"/>
        <rFont val="Arial"/>
        <family val="0"/>
        <charset val="1"/>
      </rPr>
      <t xml:space="preserve">.</t>
    </r>
  </si>
  <si>
    <t xml:space="preserve">부안</t>
  </si>
  <si>
    <t xml:space="preserve">곰소염전</t>
  </si>
  <si>
    <t xml:space="preserve">Gomso Salt Farm</t>
  </si>
  <si>
    <r>
      <rPr>
        <sz val="10"/>
        <rFont val="Noto Sans CJK SC"/>
        <family val="2"/>
      </rPr>
      <t xml:space="preserve">천일염과 젓갈로 알려진 염전</t>
    </r>
    <r>
      <rPr>
        <sz val="10"/>
        <rFont val="Arial"/>
        <family val="0"/>
        <charset val="1"/>
      </rPr>
      <t xml:space="preserve">.</t>
    </r>
  </si>
  <si>
    <t xml:space="preserve">공산성</t>
  </si>
  <si>
    <t xml:space="preserve">Gongsanseong Fortress</t>
  </si>
  <si>
    <r>
      <rPr>
        <sz val="10"/>
        <rFont val="Noto Sans CJK SC"/>
        <family val="2"/>
      </rPr>
      <t xml:space="preserve">백제 웅진기의 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백제역사유적지구다</t>
    </r>
    <r>
      <rPr>
        <sz val="10"/>
        <rFont val="Arial"/>
        <family val="0"/>
        <charset val="1"/>
      </rPr>
      <t xml:space="preserve">.</t>
    </r>
  </si>
  <si>
    <t xml:space="preserve">아산</t>
  </si>
  <si>
    <t xml:space="preserve">공세리성당</t>
  </si>
  <si>
    <t xml:space="preserve">Gongseri Catholic Church</t>
  </si>
  <si>
    <r>
      <rPr>
        <sz val="10"/>
        <rFont val="Noto Sans CJK SC"/>
        <family val="2"/>
      </rPr>
      <t xml:space="preserve">고목이 둘러싼 </t>
    </r>
    <r>
      <rPr>
        <sz val="10"/>
        <rFont val="Arial"/>
        <family val="0"/>
        <charset val="1"/>
      </rPr>
      <t xml:space="preserve">1922</t>
    </r>
    <r>
      <rPr>
        <sz val="10"/>
        <rFont val="Noto Sans CJK SC"/>
        <family val="2"/>
      </rPr>
      <t xml:space="preserve">년 벽돌 성당</t>
    </r>
    <r>
      <rPr>
        <sz val="10"/>
        <rFont val="Arial"/>
        <family val="0"/>
        <charset val="1"/>
      </rPr>
      <t xml:space="preserve">.</t>
    </r>
  </si>
  <si>
    <t xml:space="preserve">공주 산성시장</t>
  </si>
  <si>
    <t xml:space="preserve">Gongju Sanseong Market</t>
  </si>
  <si>
    <r>
      <rPr>
        <sz val="10"/>
        <rFont val="Noto Sans CJK SC"/>
        <family val="2"/>
      </rPr>
      <t xml:space="preserve">공산성 앞 전통시장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밤에 야시장이 선다</t>
    </r>
    <r>
      <rPr>
        <sz val="10"/>
        <rFont val="Arial"/>
        <family val="0"/>
        <charset val="1"/>
      </rPr>
      <t xml:space="preserve">.</t>
    </r>
  </si>
  <si>
    <t xml:space="preserve">공주 석장리박물관</t>
  </si>
  <si>
    <t xml:space="preserve">Seokjang-ri Museum</t>
  </si>
  <si>
    <r>
      <rPr>
        <sz val="10"/>
        <rFont val="Noto Sans CJK SC"/>
        <family val="2"/>
      </rPr>
      <t xml:space="preserve">한반도 구석기 유적 위에 선 박물관</t>
    </r>
    <r>
      <rPr>
        <sz val="10"/>
        <rFont val="Arial"/>
        <family val="0"/>
        <charset val="1"/>
      </rPr>
      <t xml:space="preserve">.</t>
    </r>
  </si>
  <si>
    <t xml:space="preserve">공주 시내 숙소</t>
  </si>
  <si>
    <t xml:space="preserve">Gongju town stays</t>
  </si>
  <si>
    <t xml:space="preserve">공주 유구색동수국정원</t>
  </si>
  <si>
    <t xml:space="preserve">Yugu Hydrangea Garden</t>
  </si>
  <si>
    <r>
      <rPr>
        <sz val="10"/>
        <rFont val="Noto Sans CJK SC"/>
        <family val="2"/>
      </rPr>
      <t xml:space="preserve">여름이면 수국이 덮이는 하천변 정원</t>
    </r>
    <r>
      <rPr>
        <sz val="10"/>
        <rFont val="Arial"/>
        <family val="0"/>
        <charset val="1"/>
      </rPr>
      <t xml:space="preserve">.</t>
    </r>
  </si>
  <si>
    <t xml:space="preserve">공주 한옥마을</t>
  </si>
  <si>
    <t xml:space="preserve">Gongju Hanok Village</t>
  </si>
  <si>
    <r>
      <rPr>
        <sz val="10"/>
        <rFont val="Noto Sans CJK SC"/>
        <family val="2"/>
      </rPr>
      <t xml:space="preserve">왕릉원 곁의 한옥 숙박 단지</t>
    </r>
    <r>
      <rPr>
        <sz val="10"/>
        <rFont val="Arial"/>
        <family val="0"/>
        <charset val="1"/>
      </rPr>
      <t xml:space="preserve">.</t>
    </r>
  </si>
  <si>
    <t xml:space="preserve">공주 황새바위 순교성지</t>
  </si>
  <si>
    <t xml:space="preserve">Hwangsaebawi Martyrs Shrine</t>
  </si>
  <si>
    <r>
      <rPr>
        <sz val="10"/>
        <rFont val="Noto Sans CJK SC"/>
        <family val="2"/>
      </rPr>
      <t xml:space="preserve">금강이 내려다보이는 천주교 순교 성지</t>
    </r>
    <r>
      <rPr>
        <sz val="10"/>
        <rFont val="Arial"/>
        <family val="0"/>
        <charset val="1"/>
      </rPr>
      <t xml:space="preserve">.</t>
    </r>
  </si>
  <si>
    <t xml:space="preserve">담양</t>
  </si>
  <si>
    <t xml:space="preserve">관방제림</t>
  </si>
  <si>
    <t xml:space="preserve">Gwanbangjerim</t>
  </si>
  <si>
    <r>
      <rPr>
        <sz val="10"/>
        <rFont val="Noto Sans CJK SC"/>
        <family val="2"/>
      </rPr>
      <t xml:space="preserve">제방을 따라 늘어선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년 노거수 숲</t>
    </r>
    <r>
      <rPr>
        <sz val="10"/>
        <rFont val="Arial"/>
        <family val="0"/>
        <charset val="1"/>
      </rPr>
      <t xml:space="preserve">.</t>
    </r>
  </si>
  <si>
    <t xml:space="preserve">관음도</t>
  </si>
  <si>
    <t xml:space="preserve">Gwaneumdo</t>
  </si>
  <si>
    <r>
      <rPr>
        <sz val="10"/>
        <rFont val="Noto Sans CJK SC"/>
        <family val="2"/>
      </rPr>
      <t xml:space="preserve">연도교로 건너는 무인도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해안 절벽을 걷는다</t>
    </r>
    <r>
      <rPr>
        <sz val="10"/>
        <rFont val="Arial"/>
        <family val="0"/>
        <charset val="1"/>
      </rPr>
      <t xml:space="preserve">.</t>
    </r>
  </si>
  <si>
    <t xml:space="preserve">관촉사</t>
  </si>
  <si>
    <t xml:space="preserve">Gwanchoksa Temple</t>
  </si>
  <si>
    <r>
      <rPr>
        <sz val="10"/>
        <rFont val="Noto Sans CJK SC"/>
        <family val="2"/>
      </rPr>
      <t xml:space="preserve">거대한 은진미륵 석불이 선 절</t>
    </r>
    <r>
      <rPr>
        <sz val="10"/>
        <rFont val="Arial"/>
        <family val="0"/>
        <charset val="1"/>
      </rPr>
      <t xml:space="preserve">.</t>
    </r>
  </si>
  <si>
    <t xml:space="preserve">광교 갤러리아</t>
  </si>
  <si>
    <t xml:space="preserve">Galleria Gwanggyo</t>
  </si>
  <si>
    <r>
      <rPr>
        <sz val="10"/>
        <rFont val="Arial"/>
        <family val="0"/>
        <charset val="1"/>
      </rPr>
      <t xml:space="preserve">OMA</t>
    </r>
    <r>
      <rPr>
        <sz val="10"/>
        <rFont val="Noto Sans CJK SC"/>
        <family val="2"/>
      </rPr>
      <t xml:space="preserve">가 설계한 백화점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유리 띠가 건물을 감는다</t>
    </r>
    <r>
      <rPr>
        <sz val="10"/>
        <rFont val="Arial"/>
        <family val="0"/>
        <charset val="1"/>
      </rPr>
      <t xml:space="preserve">.</t>
    </r>
  </si>
  <si>
    <t xml:space="preserve">광교산</t>
  </si>
  <si>
    <t xml:space="preserve">Gwanggyosan</t>
  </si>
  <si>
    <r>
      <rPr>
        <sz val="10"/>
        <rFont val="Noto Sans CJK SC"/>
        <family val="2"/>
      </rPr>
      <t xml:space="preserve">수원 북쪽의 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형제봉 능선을 걷는다</t>
    </r>
    <r>
      <rPr>
        <sz val="10"/>
        <rFont val="Arial"/>
        <family val="0"/>
        <charset val="1"/>
      </rPr>
      <t xml:space="preserve">.</t>
    </r>
  </si>
  <si>
    <t xml:space="preserve">광덕사</t>
  </si>
  <si>
    <t xml:space="preserve">Gwangdeoksa Temple</t>
  </si>
  <si>
    <r>
      <rPr>
        <sz val="10"/>
        <rFont val="Noto Sans CJK SC"/>
        <family val="2"/>
      </rPr>
      <t xml:space="preserve">호두나무 시배지로 알려진 절</t>
    </r>
    <r>
      <rPr>
        <sz val="10"/>
        <rFont val="Arial"/>
        <family val="0"/>
        <charset val="1"/>
      </rPr>
      <t xml:space="preserve">.</t>
    </r>
  </si>
  <si>
    <t xml:space="preserve">광안리 오션뷰 스테이</t>
  </si>
  <si>
    <t xml:space="preserve">Gwangalli ocean-view stays</t>
  </si>
  <si>
    <t xml:space="preserve">광암해수욕장</t>
  </si>
  <si>
    <t xml:space="preserve">Gwangam Beach</t>
  </si>
  <si>
    <r>
      <rPr>
        <sz val="10"/>
        <rFont val="Noto Sans CJK SC"/>
        <family val="2"/>
      </rPr>
      <t xml:space="preserve">진동만의 조용한 백사장</t>
    </r>
    <r>
      <rPr>
        <sz val="10"/>
        <rFont val="Arial"/>
        <family val="0"/>
        <charset val="1"/>
      </rPr>
      <t xml:space="preserve">.</t>
    </r>
  </si>
  <si>
    <t xml:space="preserve">광주송정역 권역 숙소</t>
  </si>
  <si>
    <t xml:space="preserve">Songjeong Station stays</t>
  </si>
  <si>
    <t xml:space="preserve">광주시립미술관</t>
  </si>
  <si>
    <t xml:space="preserve">Gwangju Museum of Art</t>
  </si>
  <si>
    <r>
      <rPr>
        <sz val="10"/>
        <rFont val="Noto Sans CJK SC"/>
        <family val="2"/>
      </rPr>
      <t xml:space="preserve">비엔날레와 함께 지역 미술을 다루는 시립관</t>
    </r>
    <r>
      <rPr>
        <sz val="10"/>
        <rFont val="Arial"/>
        <family val="0"/>
        <charset val="1"/>
      </rPr>
      <t xml:space="preserve">.</t>
    </r>
  </si>
  <si>
    <t xml:space="preserve">남원</t>
  </si>
  <si>
    <t xml:space="preserve">광한루원</t>
  </si>
  <si>
    <t xml:space="preserve">Gwanghallu Garden</t>
  </si>
  <si>
    <r>
      <rPr>
        <sz val="10"/>
        <rFont val="Noto Sans CJK SC"/>
        <family val="2"/>
      </rPr>
      <t xml:space="preserve">춘향전의 무대가 된 조선 정원</t>
    </r>
    <r>
      <rPr>
        <sz val="10"/>
        <rFont val="Arial"/>
        <family val="0"/>
        <charset val="1"/>
      </rPr>
      <t xml:space="preserve">.</t>
    </r>
  </si>
  <si>
    <t xml:space="preserve">창녕</t>
  </si>
  <si>
    <t xml:space="preserve">교동과 송현동 고분군</t>
  </si>
  <si>
    <t xml:space="preserve">Gyo-dong &amp; Songhyeon-dong Tombs</t>
  </si>
  <si>
    <r>
      <rPr>
        <sz val="10"/>
        <rFont val="Noto Sans CJK SC"/>
        <family val="2"/>
      </rPr>
      <t xml:space="preserve">비화가야의 고분군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</si>
  <si>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교동도 대룡시장</t>
  </si>
  <si>
    <t xml:space="preserve">Daeryong Market</t>
  </si>
  <si>
    <r>
      <rPr>
        <sz val="10"/>
        <rFont val="Noto Sans CJK SC"/>
        <family val="2"/>
      </rPr>
      <t xml:space="preserve">실향민이 세운 </t>
    </r>
    <r>
      <rPr>
        <sz val="10"/>
        <rFont val="Arial"/>
        <family val="0"/>
        <charset val="1"/>
      </rPr>
      <t xml:space="preserve">1960</t>
    </r>
    <r>
      <rPr>
        <sz val="10"/>
        <rFont val="Noto Sans CJK SC"/>
        <family val="2"/>
      </rPr>
      <t xml:space="preserve">년대 골목시장</t>
    </r>
    <r>
      <rPr>
        <sz val="10"/>
        <rFont val="Arial"/>
        <family val="0"/>
        <charset val="1"/>
      </rPr>
      <t xml:space="preserve">.</t>
    </r>
  </si>
  <si>
    <t xml:space="preserve">구곡폭포</t>
  </si>
  <si>
    <t xml:space="preserve">Gugok Falls</t>
  </si>
  <si>
    <r>
      <rPr>
        <sz val="10"/>
        <rFont val="Noto Sans CJK SC"/>
        <family val="2"/>
      </rPr>
      <t xml:space="preserve">아홉 굽이를 돌아 떨어지는 폭포</t>
    </r>
    <r>
      <rPr>
        <sz val="10"/>
        <rFont val="Arial"/>
        <family val="0"/>
        <charset val="1"/>
      </rPr>
      <t xml:space="preserve">.</t>
    </r>
  </si>
  <si>
    <t xml:space="preserve">구룡포 일본인 가옥거리</t>
  </si>
  <si>
    <t xml:space="preserve">Guryongpo Japanese Houses</t>
  </si>
  <si>
    <r>
      <rPr>
        <sz val="10"/>
        <rFont val="Noto Sans CJK SC"/>
        <family val="2"/>
      </rPr>
      <t xml:space="preserve">어업 이주민이 남긴 목조 가옥 골목</t>
    </r>
    <r>
      <rPr>
        <sz val="10"/>
        <rFont val="Arial"/>
        <family val="0"/>
        <charset val="1"/>
      </rPr>
      <t xml:space="preserve">.</t>
    </r>
  </si>
  <si>
    <t xml:space="preserve">구문소</t>
  </si>
  <si>
    <t xml:space="preserve">Gumunso</t>
  </si>
  <si>
    <r>
      <rPr>
        <sz val="10"/>
        <rFont val="Noto Sans CJK SC"/>
        <family val="2"/>
      </rPr>
      <t xml:space="preserve">물이 바위를 뚫어 만든 석문과 고생대 지층</t>
    </r>
    <r>
      <rPr>
        <sz val="10"/>
        <rFont val="Arial"/>
        <family val="0"/>
        <charset val="1"/>
      </rPr>
      <t xml:space="preserve">.</t>
    </r>
  </si>
  <si>
    <t xml:space="preserve">구미역 권역 호텔</t>
  </si>
  <si>
    <t xml:space="preserve">Gumi Station hotels</t>
  </si>
  <si>
    <t xml:space="preserve">정읍</t>
  </si>
  <si>
    <t xml:space="preserve">구절초지방정원</t>
  </si>
  <si>
    <t xml:space="preserve">Gujeolcho Garden</t>
  </si>
  <si>
    <r>
      <rPr>
        <sz val="10"/>
        <rFont val="Noto Sans CJK SC"/>
        <family val="2"/>
      </rPr>
      <t xml:space="preserve">가을 구절초가 덮는 솔숲 정원</t>
    </r>
    <r>
      <rPr>
        <sz val="10"/>
        <rFont val="Arial"/>
        <family val="0"/>
        <charset val="1"/>
      </rPr>
      <t xml:space="preserve">.</t>
    </r>
  </si>
  <si>
    <t xml:space="preserve">국가정원 권역 호텔</t>
  </si>
  <si>
    <t xml:space="preserve">National Garden hotels</t>
  </si>
  <si>
    <r>
      <rPr>
        <sz val="10"/>
        <rFont val="Noto Sans CJK SC"/>
        <family val="2"/>
      </rPr>
      <t xml:space="preserve">국립 </t>
    </r>
    <r>
      <rPr>
        <sz val="10"/>
        <rFont val="Arial"/>
        <family val="0"/>
        <charset val="1"/>
      </rPr>
      <t xml:space="preserve">5·18 </t>
    </r>
    <r>
      <rPr>
        <sz val="10"/>
        <rFont val="Noto Sans CJK SC"/>
        <family val="2"/>
      </rPr>
      <t xml:space="preserve">민주묘지</t>
    </r>
  </si>
  <si>
    <t xml:space="preserve">May 18 National Cemetery</t>
  </si>
  <si>
    <r>
      <rPr>
        <sz val="10"/>
        <rFont val="Arial"/>
        <family val="0"/>
        <charset val="1"/>
      </rPr>
      <t xml:space="preserve">1980</t>
    </r>
    <r>
      <rPr>
        <sz val="10"/>
        <rFont val="Noto Sans CJK SC"/>
        <family val="2"/>
      </rPr>
      <t xml:space="preserve">년 희생자를 모신 국립묘지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</si>
  <si>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국립</t>
    </r>
    <r>
      <rPr>
        <sz val="10"/>
        <rFont val="Arial"/>
        <family val="0"/>
        <charset val="1"/>
      </rPr>
      <t xml:space="preserve">3·15</t>
    </r>
    <r>
      <rPr>
        <sz val="10"/>
        <rFont val="Noto Sans CJK SC"/>
        <family val="2"/>
      </rPr>
      <t xml:space="preserve">민주묘지</t>
    </r>
  </si>
  <si>
    <t xml:space="preserve">March 15 National Cemetery</t>
  </si>
  <si>
    <r>
      <rPr>
        <sz val="10"/>
        <rFont val="Arial"/>
        <family val="0"/>
        <charset val="1"/>
      </rPr>
      <t xml:space="preserve">3·15 </t>
    </r>
    <r>
      <rPr>
        <sz val="10"/>
        <rFont val="Noto Sans CJK SC"/>
        <family val="2"/>
      </rPr>
      <t xml:space="preserve">의거 희생자를 모신 국립묘지</t>
    </r>
    <r>
      <rPr>
        <sz val="10"/>
        <rFont val="Arial"/>
        <family val="0"/>
        <charset val="1"/>
      </rPr>
      <t xml:space="preserve">.</t>
    </r>
  </si>
  <si>
    <t xml:space="preserve">국립공주박물관</t>
  </si>
  <si>
    <t xml:space="preserve">Gongju National Museum</t>
  </si>
  <si>
    <r>
      <rPr>
        <sz val="10"/>
        <rFont val="Noto Sans CJK SC"/>
        <family val="2"/>
      </rPr>
      <t xml:space="preserve">무령왕릉 출토품을 모은 국립박물관</t>
    </r>
    <r>
      <rPr>
        <sz val="10"/>
        <rFont val="Arial"/>
        <family val="0"/>
        <charset val="1"/>
      </rPr>
      <t xml:space="preserve">.</t>
    </r>
  </si>
  <si>
    <t xml:space="preserve">국립김해박물관</t>
  </si>
  <si>
    <t xml:space="preserve">Gimhae National Museum</t>
  </si>
  <si>
    <r>
      <rPr>
        <sz val="10"/>
        <rFont val="Noto Sans CJK SC"/>
        <family val="2"/>
      </rPr>
      <t xml:space="preserve">가야사 전반을 다루는 국립박물관</t>
    </r>
    <r>
      <rPr>
        <sz val="10"/>
        <rFont val="Arial"/>
        <family val="0"/>
        <charset val="1"/>
      </rPr>
      <t xml:space="preserve">.</t>
    </r>
  </si>
  <si>
    <t xml:space="preserve">대구</t>
  </si>
  <si>
    <t xml:space="preserve">국립대구박물관</t>
  </si>
  <si>
    <t xml:space="preserve">Daegu National Museum</t>
  </si>
  <si>
    <r>
      <rPr>
        <sz val="10"/>
        <rFont val="Noto Sans CJK SC"/>
        <family val="2"/>
      </rPr>
      <t xml:space="preserve">대구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경북 유물을 모은 국립박물관</t>
    </r>
    <r>
      <rPr>
        <sz val="10"/>
        <rFont val="Arial"/>
        <family val="0"/>
        <charset val="1"/>
      </rPr>
      <t xml:space="preserve">.</t>
    </r>
  </si>
  <si>
    <t xml:space="preserve">부여</t>
  </si>
  <si>
    <t xml:space="preserve">국립부여박물관</t>
  </si>
  <si>
    <t xml:space="preserve">Buyeo National Museum</t>
  </si>
  <si>
    <r>
      <rPr>
        <sz val="10"/>
        <rFont val="Noto Sans CJK SC"/>
        <family val="2"/>
      </rPr>
      <t xml:space="preserve">금동대향로를 소장한 국립박물관</t>
    </r>
    <r>
      <rPr>
        <sz val="10"/>
        <rFont val="Arial"/>
        <family val="0"/>
        <charset val="1"/>
      </rPr>
      <t xml:space="preserve">.</t>
    </r>
  </si>
  <si>
    <t xml:space="preserve">국립생태원</t>
  </si>
  <si>
    <t xml:space="preserve">National Institute of Ecology</t>
  </si>
  <si>
    <r>
      <rPr>
        <sz val="10"/>
        <rFont val="Noto Sans CJK SC"/>
        <family val="2"/>
      </rPr>
      <t xml:space="preserve">다섯 기후대를 재현한 생태 전시관</t>
    </r>
    <r>
      <rPr>
        <sz val="10"/>
        <rFont val="Arial"/>
        <family val="0"/>
        <charset val="1"/>
      </rPr>
      <t xml:space="preserve">.</t>
    </r>
  </si>
  <si>
    <t xml:space="preserve">국립생태원 권역 숙소</t>
  </si>
  <si>
    <t xml:space="preserve">Ecology Institute area stays</t>
  </si>
  <si>
    <t xml:space="preserve">국립세종수목원</t>
  </si>
  <si>
    <t xml:space="preserve">Sejong National Arboretum</t>
  </si>
  <si>
    <r>
      <rPr>
        <sz val="10"/>
        <rFont val="Noto Sans CJK SC"/>
        <family val="2"/>
      </rPr>
      <t xml:space="preserve">사계절 온실을 갖춘 도심형 국립수목원</t>
    </r>
    <r>
      <rPr>
        <sz val="10"/>
        <rFont val="Arial"/>
        <family val="0"/>
        <charset val="1"/>
      </rPr>
      <t xml:space="preserve">.</t>
    </r>
  </si>
  <si>
    <t xml:space="preserve">포천</t>
  </si>
  <si>
    <t xml:space="preserve">국립수목원 광릉숲</t>
  </si>
  <si>
    <t xml:space="preserve">Gwangneung Forest</t>
  </si>
  <si>
    <r>
      <rPr>
        <sz val="10"/>
        <rFont val="Noto Sans CJK SC"/>
        <family val="2"/>
      </rPr>
      <t xml:space="preserve">조선 왕릉림에서 이어진 유네스코 생물권보전지역</t>
    </r>
    <r>
      <rPr>
        <sz val="10"/>
        <rFont val="Arial"/>
        <family val="0"/>
        <charset val="1"/>
      </rPr>
      <t xml:space="preserve">.</t>
    </r>
  </si>
  <si>
    <t xml:space="preserve">국립아시아문화전당</t>
  </si>
  <si>
    <t xml:space="preserve">Asia Culture Center</t>
  </si>
  <si>
    <r>
      <rPr>
        <sz val="10"/>
        <rFont val="Noto Sans CJK SC"/>
        <family val="2"/>
      </rPr>
      <t xml:space="preserve">옛 전남도청 자리에 지은 복합 문화시설</t>
    </r>
    <r>
      <rPr>
        <sz val="10"/>
        <rFont val="Arial"/>
        <family val="0"/>
        <charset val="1"/>
      </rPr>
      <t xml:space="preserve">.</t>
    </r>
  </si>
  <si>
    <t xml:space="preserve">국립중앙과학관</t>
  </si>
  <si>
    <t xml:space="preserve">National Science Museum</t>
  </si>
  <si>
    <r>
      <rPr>
        <sz val="10"/>
        <rFont val="Noto Sans CJK SC"/>
        <family val="2"/>
      </rPr>
      <t xml:space="preserve">천체관과 자연사관이 함께 있는 국립 과학관</t>
    </r>
    <r>
      <rPr>
        <sz val="10"/>
        <rFont val="Arial"/>
        <family val="0"/>
        <charset val="1"/>
      </rPr>
      <t xml:space="preserve">.</t>
    </r>
  </si>
  <si>
    <t xml:space="preserve">국립진주박물관</t>
  </si>
  <si>
    <t xml:space="preserve">Jinju National Museum</t>
  </si>
  <si>
    <r>
      <rPr>
        <sz val="10"/>
        <rFont val="Noto Sans CJK SC"/>
        <family val="2"/>
      </rPr>
      <t xml:space="preserve">임진왜란사를 다룬 국립박물관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 안에 있다</t>
    </r>
    <r>
      <rPr>
        <sz val="10"/>
        <rFont val="Arial"/>
        <family val="0"/>
        <charset val="1"/>
      </rPr>
      <t xml:space="preserve">.</t>
    </r>
  </si>
  <si>
    <t xml:space="preserve">국립항공박물관</t>
  </si>
  <si>
    <t xml:space="preserve">National Aviation Museum</t>
  </si>
  <si>
    <r>
      <rPr>
        <sz val="10"/>
        <rFont val="Noto Sans CJK SC"/>
        <family val="2"/>
      </rPr>
      <t xml:space="preserve">김포공항 옆 항공 역사 박물관</t>
    </r>
    <r>
      <rPr>
        <sz val="10"/>
        <rFont val="Arial"/>
        <family val="0"/>
        <charset val="1"/>
      </rPr>
      <t xml:space="preserve">.</t>
    </r>
  </si>
  <si>
    <t xml:space="preserve">국립해양유물전시관</t>
  </si>
  <si>
    <r>
      <rPr>
        <sz val="10"/>
        <rFont val="Noto Sans CJK SC"/>
        <family val="2"/>
      </rPr>
      <t xml:space="preserve">신안 해저 유물과 고선박을 전시한다</t>
    </r>
    <r>
      <rPr>
        <sz val="10"/>
        <rFont val="Arial"/>
        <family val="0"/>
        <charset val="1"/>
      </rPr>
      <t xml:space="preserve">.</t>
    </r>
  </si>
  <si>
    <t xml:space="preserve">군산 근대역사박물관</t>
  </si>
  <si>
    <t xml:space="preserve">Gunsan Modern History Museum</t>
  </si>
  <si>
    <r>
      <rPr>
        <sz val="10"/>
        <rFont val="Noto Sans CJK SC"/>
        <family val="2"/>
      </rPr>
      <t xml:space="preserve">개항과 수탈의 역사를 다룬 박물관</t>
    </r>
    <r>
      <rPr>
        <sz val="10"/>
        <rFont val="Arial"/>
        <family val="0"/>
        <charset val="1"/>
      </rPr>
      <t xml:space="preserve">.</t>
    </r>
  </si>
  <si>
    <t xml:space="preserve">궁남지</t>
  </si>
  <si>
    <t xml:space="preserve">Gungnamji Pond</t>
  </si>
  <si>
    <r>
      <rPr>
        <sz val="10"/>
        <rFont val="Noto Sans CJK SC"/>
        <family val="2"/>
      </rPr>
      <t xml:space="preserve">백제의 인공 연못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 연꽃이 덮는다</t>
    </r>
    <r>
      <rPr>
        <sz val="10"/>
        <rFont val="Arial"/>
        <family val="0"/>
        <charset val="1"/>
      </rPr>
      <t xml:space="preserve">.</t>
    </r>
  </si>
  <si>
    <t xml:space="preserve">근대역사거리 숙소</t>
  </si>
  <si>
    <t xml:space="preserve">Old Town stays</t>
  </si>
  <si>
    <t xml:space="preserve">익산</t>
  </si>
  <si>
    <t xml:space="preserve">금마저수지</t>
  </si>
  <si>
    <t xml:space="preserve">Geumma Reservoir</t>
  </si>
  <si>
    <r>
      <rPr>
        <sz val="10"/>
        <rFont val="Noto Sans CJK SC"/>
        <family val="2"/>
      </rPr>
      <t xml:space="preserve">미륵사지 가까운 저수지 둘레길</t>
    </r>
    <r>
      <rPr>
        <sz val="10"/>
        <rFont val="Arial"/>
        <family val="0"/>
        <charset val="1"/>
      </rPr>
      <t xml:space="preserve">.</t>
    </r>
  </si>
  <si>
    <t xml:space="preserve">금산 정상</t>
  </si>
  <si>
    <t xml:space="preserve">Geumsan Summit</t>
  </si>
  <si>
    <r>
      <rPr>
        <sz val="10"/>
        <rFont val="Noto Sans CJK SC"/>
        <family val="2"/>
      </rPr>
      <t xml:space="preserve">보리암 위로 이어지는 기암 봉우리</t>
    </r>
    <r>
      <rPr>
        <sz val="10"/>
        <rFont val="Arial"/>
        <family val="0"/>
        <charset val="1"/>
      </rPr>
      <t xml:space="preserve">.</t>
    </r>
  </si>
  <si>
    <t xml:space="preserve">구미</t>
  </si>
  <si>
    <t xml:space="preserve">금오산 도립공원</t>
  </si>
  <si>
    <t xml:space="preserve">Geumosan Provincial Park</t>
  </si>
  <si>
    <r>
      <rPr>
        <sz val="10"/>
        <rFont val="Noto Sans CJK SC"/>
        <family val="2"/>
      </rPr>
      <t xml:space="preserve">대혜폭포와 약사암이 있는 산</t>
    </r>
    <r>
      <rPr>
        <sz val="10"/>
        <rFont val="Arial"/>
        <family val="0"/>
        <charset val="1"/>
      </rPr>
      <t xml:space="preserve">.</t>
    </r>
  </si>
  <si>
    <t xml:space="preserve">금원산자연휴양림</t>
  </si>
  <si>
    <t xml:space="preserve">Geumwonsan Forest</t>
  </si>
  <si>
    <r>
      <rPr>
        <sz val="10"/>
        <rFont val="Noto Sans CJK SC"/>
        <family val="2"/>
      </rPr>
      <t xml:space="preserve">계곡을 낀 산림휴양림</t>
    </r>
    <r>
      <rPr>
        <sz val="10"/>
        <rFont val="Arial"/>
        <family val="0"/>
        <charset val="1"/>
      </rPr>
      <t xml:space="preserve">.</t>
    </r>
  </si>
  <si>
    <t xml:space="preserve">기림사</t>
  </si>
  <si>
    <t xml:space="preserve">Girimsa Temple</t>
  </si>
  <si>
    <r>
      <rPr>
        <sz val="10"/>
        <rFont val="Noto Sans CJK SC"/>
        <family val="2"/>
      </rPr>
      <t xml:space="preserve">함월산 자락의 신라 고찰</t>
    </r>
    <r>
      <rPr>
        <sz val="10"/>
        <rFont val="Arial"/>
        <family val="0"/>
        <charset val="1"/>
      </rPr>
      <t xml:space="preserve">.</t>
    </r>
  </si>
  <si>
    <t xml:space="preserve">길상사</t>
  </si>
  <si>
    <t xml:space="preserve">Gilsangsa Temple</t>
  </si>
  <si>
    <r>
      <rPr>
        <sz val="10"/>
        <rFont val="Noto Sans CJK SC"/>
        <family val="2"/>
      </rPr>
      <t xml:space="preserve">요정 자리를 절로 고친 성북동의 도량</t>
    </r>
    <r>
      <rPr>
        <sz val="10"/>
        <rFont val="Arial"/>
        <family val="0"/>
        <charset val="1"/>
      </rPr>
      <t xml:space="preserve">.</t>
    </r>
  </si>
  <si>
    <t xml:space="preserve">김광석다시그리기길</t>
  </si>
  <si>
    <t xml:space="preserve">Kim Kwang-seok Road</t>
  </si>
  <si>
    <r>
      <rPr>
        <sz val="10"/>
        <rFont val="Noto Sans CJK SC"/>
        <family val="2"/>
      </rPr>
      <t xml:space="preserve">가수 김광석을 기린 벽화 골목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방천시장과 붙어 있다</t>
    </r>
    <r>
      <rPr>
        <sz val="10"/>
        <rFont val="Arial"/>
        <family val="0"/>
        <charset val="1"/>
      </rPr>
      <t xml:space="preserve">.</t>
    </r>
  </si>
  <si>
    <t xml:space="preserve">김녕 미로공원</t>
  </si>
  <si>
    <t xml:space="preserve">Gimnyeong Maze Park</t>
  </si>
  <si>
    <r>
      <rPr>
        <sz val="10"/>
        <rFont val="Noto Sans CJK SC"/>
        <family val="2"/>
      </rPr>
      <t xml:space="preserve">랜디 서바이벌 정원 미로</t>
    </r>
    <r>
      <rPr>
        <sz val="10"/>
        <rFont val="Arial"/>
        <family val="0"/>
        <charset val="1"/>
      </rPr>
      <t xml:space="preserve">.</t>
    </r>
  </si>
  <si>
    <t xml:space="preserve">김유정문학촌</t>
  </si>
  <si>
    <t xml:space="preserve">Kim Yu-jeong Literary Village</t>
  </si>
  <si>
    <r>
      <rPr>
        <sz val="10"/>
        <rFont val="Noto Sans CJK SC"/>
        <family val="2"/>
      </rPr>
      <t xml:space="preserve">소설가 김유정의 생가를 복원한 마을</t>
    </r>
    <r>
      <rPr>
        <sz val="10"/>
        <rFont val="Arial"/>
        <family val="0"/>
        <charset val="1"/>
      </rPr>
      <t xml:space="preserve">.</t>
    </r>
  </si>
  <si>
    <t xml:space="preserve">김해 수릉원</t>
  </si>
  <si>
    <t xml:space="preserve">Suneungwon Garden</t>
  </si>
  <si>
    <r>
      <rPr>
        <sz val="10"/>
        <rFont val="Noto Sans CJK SC"/>
        <family val="2"/>
      </rPr>
      <t xml:space="preserve">수로왕릉과 박물관을 잇는 숲 정원</t>
    </r>
    <r>
      <rPr>
        <sz val="10"/>
        <rFont val="Arial"/>
        <family val="0"/>
        <charset val="1"/>
      </rPr>
      <t xml:space="preserve">.</t>
    </r>
  </si>
  <si>
    <t xml:space="preserve">김해 시내 호텔</t>
  </si>
  <si>
    <t xml:space="preserve">Gimhae city hotels</t>
  </si>
  <si>
    <t xml:space="preserve">김해 연지공원</t>
  </si>
  <si>
    <t xml:space="preserve">Yeonji Park</t>
  </si>
  <si>
    <r>
      <rPr>
        <sz val="10"/>
        <rFont val="Noto Sans CJK SC"/>
        <family val="2"/>
      </rPr>
      <t xml:space="preserve">연못을 둘러싼 시내 산책 공원</t>
    </r>
    <r>
      <rPr>
        <sz val="10"/>
        <rFont val="Arial"/>
        <family val="0"/>
        <charset val="1"/>
      </rPr>
      <t xml:space="preserve">.</t>
    </r>
  </si>
  <si>
    <t xml:space="preserve">김해롯데워터파크</t>
  </si>
  <si>
    <t xml:space="preserve">Gimhae Lotte Water Park</t>
  </si>
  <si>
    <r>
      <rPr>
        <sz val="10"/>
        <rFont val="Noto Sans CJK SC"/>
        <family val="2"/>
      </rPr>
      <t xml:space="preserve">장유의 대형 워터파크</t>
    </r>
    <r>
      <rPr>
        <sz val="10"/>
        <rFont val="Arial"/>
        <family val="0"/>
        <charset val="1"/>
      </rPr>
      <t xml:space="preserve">.</t>
    </r>
  </si>
  <si>
    <t xml:space="preserve">김해천문대</t>
  </si>
  <si>
    <t xml:space="preserve">Gimhae Astronomical Observatory</t>
  </si>
  <si>
    <r>
      <rPr>
        <sz val="10"/>
        <rFont val="Noto Sans CJK SC"/>
        <family val="2"/>
      </rPr>
      <t xml:space="preserve">분성산 정상의 천문대와 전망대</t>
    </r>
    <r>
      <rPr>
        <sz val="10"/>
        <rFont val="Arial"/>
        <family val="0"/>
        <charset val="1"/>
      </rPr>
      <t xml:space="preserve">.</t>
    </r>
  </si>
  <si>
    <t xml:space="preserve">김해한옥체험관</t>
  </si>
  <si>
    <t xml:space="preserve">Gimhae Hanok Experience Hall</t>
  </si>
  <si>
    <r>
      <rPr>
        <sz val="10"/>
        <rFont val="Noto Sans CJK SC"/>
        <family val="2"/>
      </rPr>
      <t xml:space="preserve">봉황동 유적 옆의 한옥 숙박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체험 시설</t>
    </r>
    <r>
      <rPr>
        <sz val="10"/>
        <rFont val="Arial"/>
        <family val="0"/>
        <charset val="1"/>
      </rPr>
      <t xml:space="preserve">.</t>
    </r>
  </si>
  <si>
    <t xml:space="preserve">꽃지해수욕장</t>
  </si>
  <si>
    <t xml:space="preserve">Kkotji Beach</t>
  </si>
  <si>
    <r>
      <rPr>
        <sz val="10"/>
        <rFont val="Noto Sans CJK SC"/>
        <family val="2"/>
      </rPr>
      <t xml:space="preserve">할미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할아비 바위 사이로 해가 지는 해변</t>
    </r>
    <r>
      <rPr>
        <sz val="10"/>
        <rFont val="Arial"/>
        <family val="0"/>
        <charset val="1"/>
      </rPr>
      <t xml:space="preserve">.</t>
    </r>
  </si>
  <si>
    <t xml:space="preserve">나리분지</t>
  </si>
  <si>
    <t xml:space="preserve">Nari Basin</t>
  </si>
  <si>
    <r>
      <rPr>
        <sz val="10"/>
        <rFont val="Noto Sans CJK SC"/>
        <family val="2"/>
      </rPr>
      <t xml:space="preserve">울릉도 유일의 평지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화산 분화구 바닥이다</t>
    </r>
    <r>
      <rPr>
        <sz val="10"/>
        <rFont val="Arial"/>
        <family val="0"/>
        <charset val="1"/>
      </rPr>
      <t xml:space="preserve">.</t>
    </r>
  </si>
  <si>
    <t xml:space="preserve">낙동강 레일파크</t>
  </si>
  <si>
    <t xml:space="preserve">Nakdonggang Rail Park</t>
  </si>
  <si>
    <r>
      <rPr>
        <sz val="10"/>
        <rFont val="Noto Sans CJK SC"/>
        <family val="2"/>
      </rPr>
      <t xml:space="preserve">폐선 위를 달리는 레일바이크와 와인동굴</t>
    </r>
    <r>
      <rPr>
        <sz val="10"/>
        <rFont val="Arial"/>
        <family val="0"/>
        <charset val="1"/>
      </rPr>
      <t xml:space="preserve">.</t>
    </r>
  </si>
  <si>
    <t xml:space="preserve">낙동강체육공원</t>
  </si>
  <si>
    <t xml:space="preserve">Nakdonggang Sports Park</t>
  </si>
  <si>
    <r>
      <rPr>
        <sz val="10"/>
        <rFont val="Noto Sans CJK SC"/>
        <family val="2"/>
      </rPr>
      <t xml:space="preserve">강변 둔치의 체육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산책 공원</t>
    </r>
    <r>
      <rPr>
        <sz val="10"/>
        <rFont val="Arial"/>
        <family val="0"/>
        <charset val="1"/>
      </rPr>
      <t xml:space="preserve">.</t>
    </r>
  </si>
  <si>
    <t xml:space="preserve">양양</t>
  </si>
  <si>
    <t xml:space="preserve">낙산사</t>
  </si>
  <si>
    <t xml:space="preserve">Naksansa Temple</t>
  </si>
  <si>
    <r>
      <rPr>
        <sz val="10"/>
        <rFont val="Noto Sans CJK SC"/>
        <family val="2"/>
      </rPr>
      <t xml:space="preserve">동해를 마주한 관음성지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해수관음상이 서 있다</t>
    </r>
    <r>
      <rPr>
        <sz val="10"/>
        <rFont val="Arial"/>
        <family val="0"/>
        <charset val="1"/>
      </rPr>
      <t xml:space="preserve">.</t>
    </r>
  </si>
  <si>
    <t xml:space="preserve">순천</t>
  </si>
  <si>
    <t xml:space="preserve">낙안읍성</t>
  </si>
  <si>
    <t xml:space="preserve">Naganeupseong Folk Village</t>
  </si>
  <si>
    <r>
      <rPr>
        <sz val="10"/>
        <rFont val="Noto Sans CJK SC"/>
        <family val="2"/>
      </rPr>
      <t xml:space="preserve">조선 읍성이 마을째 남은 곳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아직 주민이 산다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</si>
  <si>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낙화암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고란사</t>
    </r>
  </si>
  <si>
    <t xml:space="preserve">Nakhwaam &amp; Goransa</t>
  </si>
  <si>
    <r>
      <rPr>
        <sz val="10"/>
        <rFont val="Noto Sans CJK SC"/>
        <family val="2"/>
      </rPr>
      <t xml:space="preserve">백마강을 내려다보는 절벽과 강가 암자</t>
    </r>
    <r>
      <rPr>
        <sz val="10"/>
        <rFont val="Arial"/>
        <family val="0"/>
        <charset val="1"/>
      </rPr>
      <t xml:space="preserve">.</t>
    </r>
  </si>
  <si>
    <t xml:space="preserve">남계서원</t>
  </si>
  <si>
    <t xml:space="preserve">Namgye Seowon</t>
  </si>
  <si>
    <r>
      <rPr>
        <sz val="10"/>
        <rFont val="Noto Sans CJK SC"/>
        <family val="2"/>
      </rPr>
      <t xml:space="preserve">정여창을 모신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</si>
  <si>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홍성</t>
  </si>
  <si>
    <t xml:space="preserve">남당항</t>
  </si>
  <si>
    <t xml:space="preserve">Namdang Port</t>
  </si>
  <si>
    <r>
      <rPr>
        <sz val="10"/>
        <rFont val="Noto Sans CJK SC"/>
        <family val="2"/>
      </rPr>
      <t xml:space="preserve">새조개와 대하로 알려진 항구</t>
    </r>
    <r>
      <rPr>
        <sz val="10"/>
        <rFont val="Arial"/>
        <family val="0"/>
        <charset val="1"/>
      </rPr>
      <t xml:space="preserve">.</t>
    </r>
  </si>
  <si>
    <t xml:space="preserve">남당항 권역 숙소</t>
  </si>
  <si>
    <t xml:space="preserve">Namdang port stays</t>
  </si>
  <si>
    <t xml:space="preserve">남부시장</t>
  </si>
  <si>
    <t xml:space="preserve">Nambu Market</t>
  </si>
  <si>
    <r>
      <rPr>
        <sz val="10"/>
        <rFont val="Noto Sans CJK SC"/>
        <family val="2"/>
      </rPr>
      <t xml:space="preserve">콩나물국밥과 청년몰로 알려진 전주 대표 시장</t>
    </r>
    <r>
      <rPr>
        <sz val="10"/>
        <rFont val="Arial"/>
        <family val="0"/>
        <charset val="1"/>
      </rPr>
      <t xml:space="preserve">.</t>
    </r>
  </si>
  <si>
    <t xml:space="preserve">남산 삼릉</t>
  </si>
  <si>
    <t xml:space="preserve">Namsan Samneung</t>
  </si>
  <si>
    <r>
      <rPr>
        <sz val="10"/>
        <rFont val="Noto Sans CJK SC"/>
        <family val="2"/>
      </rPr>
      <t xml:space="preserve">솔숲에 든 신라 왕릉 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남산 마애불로 오른다</t>
    </r>
    <r>
      <rPr>
        <sz val="10"/>
        <rFont val="Arial"/>
        <family val="0"/>
        <charset val="1"/>
      </rPr>
      <t xml:space="preserve">.</t>
    </r>
  </si>
  <si>
    <t xml:space="preserve">남애항</t>
  </si>
  <si>
    <t xml:space="preserve">Namae Port</t>
  </si>
  <si>
    <r>
      <rPr>
        <sz val="10"/>
        <rFont val="Noto Sans CJK SC"/>
        <family val="2"/>
      </rPr>
      <t xml:space="preserve">강원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미항으로 꼽히는 작은 항구</t>
    </r>
    <r>
      <rPr>
        <sz val="10"/>
        <rFont val="Arial"/>
        <family val="0"/>
        <charset val="1"/>
      </rPr>
      <t xml:space="preserve">.</t>
    </r>
  </si>
  <si>
    <t xml:space="preserve">남원 시내 숙소</t>
  </si>
  <si>
    <t xml:space="preserve">Namwon town stays</t>
  </si>
  <si>
    <t xml:space="preserve">남원 예촌</t>
  </si>
  <si>
    <t xml:space="preserve">Namwon Yechon</t>
  </si>
  <si>
    <r>
      <rPr>
        <sz val="10"/>
        <rFont val="Noto Sans CJK SC"/>
        <family val="2"/>
      </rPr>
      <t xml:space="preserve">광한루 옆 한옥 체험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식당 마을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</si>
  <si>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남이섬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강촌 리조트</t>
    </r>
  </si>
  <si>
    <t xml:space="preserve">Nami Island &amp; Gangchon resorts</t>
  </si>
  <si>
    <r>
      <rPr>
        <sz val="10"/>
        <rFont val="Noto Sans CJK SC"/>
        <family val="2"/>
      </rPr>
      <t xml:space="preserve">남포동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광복로 숙소</t>
    </r>
  </si>
  <si>
    <t xml:space="preserve">Nampo-dong stays</t>
  </si>
  <si>
    <t xml:space="preserve">남한산성</t>
  </si>
  <si>
    <t xml:space="preserve">Namhansanseong</t>
  </si>
  <si>
    <r>
      <rPr>
        <sz val="10"/>
        <rFont val="Noto Sans CJK SC"/>
        <family val="2"/>
      </rPr>
      <t xml:space="preserve">조선의 산성 도읍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</si>
  <si>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남한산성 권역 숙소</t>
  </si>
  <si>
    <t xml:space="preserve">Namhansanseong area stays</t>
  </si>
  <si>
    <t xml:space="preserve">남해 편백자연휴양림</t>
  </si>
  <si>
    <t xml:space="preserve">Namhae Cypress Forest</t>
  </si>
  <si>
    <r>
      <rPr>
        <sz val="10"/>
        <rFont val="Noto Sans CJK SC"/>
        <family val="2"/>
      </rPr>
      <t xml:space="preserve">편백숲 사이로 산책로가 난 국립휴양림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</si>
  <si>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남해대교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노량</t>
    </r>
  </si>
  <si>
    <t xml:space="preserve">Namhae Bridge &amp; Noryang</t>
  </si>
  <si>
    <r>
      <rPr>
        <sz val="10"/>
        <rFont val="Noto Sans CJK SC"/>
        <family val="2"/>
      </rPr>
      <t xml:space="preserve">섬과 육지를 잇는 붉은 현수교와 옛 나루</t>
    </r>
    <r>
      <rPr>
        <sz val="10"/>
        <rFont val="Arial"/>
        <family val="0"/>
        <charset val="1"/>
      </rPr>
      <t xml:space="preserve">.</t>
    </r>
  </si>
  <si>
    <t xml:space="preserve">인제</t>
  </si>
  <si>
    <t xml:space="preserve">내린천 래프팅</t>
  </si>
  <si>
    <t xml:space="preserve">Naerincheon Rafting</t>
  </si>
  <si>
    <r>
      <rPr>
        <sz val="10"/>
        <rFont val="Noto Sans CJK SC"/>
        <family val="2"/>
      </rPr>
      <t xml:space="preserve">급류로 이름난 래프팅 구간</t>
    </r>
    <r>
      <rPr>
        <sz val="10"/>
        <rFont val="Arial"/>
        <family val="0"/>
        <charset val="1"/>
      </rPr>
      <t xml:space="preserve">.</t>
    </r>
  </si>
  <si>
    <t xml:space="preserve">내소사</t>
  </si>
  <si>
    <t xml:space="preserve">Naesosa Temple</t>
  </si>
  <si>
    <r>
      <rPr>
        <sz val="10"/>
        <rFont val="Noto Sans CJK SC"/>
        <family val="2"/>
      </rPr>
      <t xml:space="preserve">전나무 숲길로 드는 변산의 절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</si>
  <si>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내연산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폭포</t>
    </r>
  </si>
  <si>
    <t xml:space="preserve">Naeyeonsan Twelve Falls</t>
  </si>
  <si>
    <r>
      <rPr>
        <sz val="10"/>
        <rFont val="Noto Sans CJK SC"/>
        <family val="2"/>
      </rPr>
      <t xml:space="preserve">보경사 위로 폭포가 이어지는 계곡길</t>
    </r>
    <r>
      <rPr>
        <sz val="10"/>
        <rFont val="Arial"/>
        <family val="0"/>
        <charset val="1"/>
      </rPr>
      <t xml:space="preserve">.</t>
    </r>
  </si>
  <si>
    <t xml:space="preserve">내연산 보경사</t>
  </si>
  <si>
    <t xml:space="preserve">Bogyeongsa Temple</t>
  </si>
  <si>
    <r>
      <rPr>
        <sz val="10"/>
        <rFont val="Noto Sans CJK SC"/>
        <family val="2"/>
      </rPr>
      <t xml:space="preserve">열두 폭포 골짜기로 드는 절</t>
    </r>
    <r>
      <rPr>
        <sz val="10"/>
        <rFont val="Arial"/>
        <family val="0"/>
        <charset val="1"/>
      </rPr>
      <t xml:space="preserve">.</t>
    </r>
  </si>
  <si>
    <t xml:space="preserve">내장산 국립공원</t>
  </si>
  <si>
    <t xml:space="preserve">Naejangsan National Park</t>
  </si>
  <si>
    <r>
      <rPr>
        <sz val="10"/>
        <rFont val="Noto Sans CJK SC"/>
        <family val="2"/>
      </rPr>
      <t xml:space="preserve">단풍으로 이름난 국립공원</t>
    </r>
    <r>
      <rPr>
        <sz val="10"/>
        <rFont val="Arial"/>
        <family val="0"/>
        <charset val="1"/>
      </rPr>
      <t xml:space="preserve">.</t>
    </r>
  </si>
  <si>
    <t xml:space="preserve">내장산 권역 숙소</t>
  </si>
  <si>
    <t xml:space="preserve">Naejangsan area stays</t>
  </si>
  <si>
    <t xml:space="preserve">논골담길</t>
  </si>
  <si>
    <t xml:space="preserve">Nongol Damgil</t>
  </si>
  <si>
    <r>
      <rPr>
        <sz val="10"/>
        <rFont val="Noto Sans CJK SC"/>
        <family val="2"/>
      </rPr>
      <t xml:space="preserve">묵호항 언덕의 벽화 골목</t>
    </r>
    <r>
      <rPr>
        <sz val="10"/>
        <rFont val="Arial"/>
        <family val="0"/>
        <charset val="1"/>
      </rPr>
      <t xml:space="preserve">.</t>
    </r>
  </si>
  <si>
    <t xml:space="preserve">농암종택</t>
  </si>
  <si>
    <t xml:space="preserve">Nongam Head House</t>
  </si>
  <si>
    <r>
      <rPr>
        <sz val="10"/>
        <rFont val="Noto Sans CJK SC"/>
        <family val="2"/>
      </rPr>
      <t xml:space="preserve">낙동강 굽이에 앉은 고택과 한옥 숙박</t>
    </r>
    <r>
      <rPr>
        <sz val="10"/>
        <rFont val="Arial"/>
        <family val="0"/>
        <charset val="1"/>
      </rPr>
      <t xml:space="preserve">.</t>
    </r>
  </si>
  <si>
    <t xml:space="preserve">제천</t>
  </si>
  <si>
    <t xml:space="preserve">능강계곡</t>
  </si>
  <si>
    <t xml:space="preserve">Neunggang Valley</t>
  </si>
  <si>
    <r>
      <rPr>
        <sz val="10"/>
        <rFont val="Noto Sans CJK SC"/>
        <family val="2"/>
      </rPr>
      <t xml:space="preserve">금수산 자락의 맑은 계곡</t>
    </r>
    <r>
      <rPr>
        <sz val="10"/>
        <rFont val="Arial"/>
        <family val="0"/>
        <charset val="1"/>
      </rPr>
      <t xml:space="preserve">.</t>
    </r>
  </si>
  <si>
    <t xml:space="preserve">능산리 고분군</t>
  </si>
  <si>
    <t xml:space="preserve">Neungsan-ri Royal Tombs</t>
  </si>
  <si>
    <r>
      <rPr>
        <sz val="10"/>
        <rFont val="Noto Sans CJK SC"/>
        <family val="2"/>
      </rPr>
      <t xml:space="preserve">사비기 백제 왕릉이 모인 구릉</t>
    </r>
    <r>
      <rPr>
        <sz val="10"/>
        <rFont val="Arial"/>
        <family val="0"/>
        <charset val="1"/>
      </rPr>
      <t xml:space="preserve">.</t>
    </r>
  </si>
  <si>
    <t xml:space="preserve">다대포해수욕장</t>
  </si>
  <si>
    <t xml:space="preserve">Dadaepo Beach</t>
  </si>
  <si>
    <r>
      <rPr>
        <sz val="10"/>
        <rFont val="Noto Sans CJK SC"/>
        <family val="2"/>
      </rPr>
      <t xml:space="preserve">낙동강 하구의 얕은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꿈의낙조분수가 있다</t>
    </r>
    <r>
      <rPr>
        <sz val="10"/>
        <rFont val="Arial"/>
        <family val="0"/>
        <charset val="1"/>
      </rPr>
      <t xml:space="preserve">.</t>
    </r>
  </si>
  <si>
    <t xml:space="preserve">다랭이마을</t>
  </si>
  <si>
    <t xml:space="preserve">Darangee Village</t>
  </si>
  <si>
    <r>
      <rPr>
        <sz val="10"/>
        <rFont val="Noto Sans CJK SC"/>
        <family val="2"/>
      </rPr>
      <t xml:space="preserve">비탈을 깎아 만든 계단식 논 마을</t>
    </r>
    <r>
      <rPr>
        <sz val="10"/>
        <rFont val="Arial"/>
        <family val="0"/>
        <charset val="1"/>
      </rPr>
      <t xml:space="preserve">.</t>
    </r>
  </si>
  <si>
    <t xml:space="preserve">남양주</t>
  </si>
  <si>
    <t xml:space="preserve">다산유적지</t>
  </si>
  <si>
    <t xml:space="preserve">Dasan Historic Site</t>
  </si>
  <si>
    <r>
      <rPr>
        <sz val="10"/>
        <rFont val="Noto Sans CJK SC"/>
        <family val="2"/>
      </rPr>
      <t xml:space="preserve">정약용의 생가와 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기념관</t>
    </r>
    <r>
      <rPr>
        <sz val="10"/>
        <rFont val="Arial"/>
        <family val="0"/>
        <charset val="1"/>
      </rPr>
      <t xml:space="preserve">.</t>
    </r>
  </si>
  <si>
    <t xml:space="preserve">다호리 고분군</t>
  </si>
  <si>
    <t xml:space="preserve">Dahori Tombs</t>
  </si>
  <si>
    <r>
      <rPr>
        <sz val="10"/>
        <rFont val="Noto Sans CJK SC"/>
        <family val="2"/>
      </rPr>
      <t xml:space="preserve">변한 시기 목관묘가 나온 유적</t>
    </r>
    <r>
      <rPr>
        <sz val="10"/>
        <rFont val="Arial"/>
        <family val="0"/>
        <charset val="1"/>
      </rPr>
      <t xml:space="preserve">.</t>
    </r>
  </si>
  <si>
    <t xml:space="preserve">문경</t>
  </si>
  <si>
    <t xml:space="preserve">단산모노레일</t>
  </si>
  <si>
    <t xml:space="preserve">Dansan Monorail</t>
  </si>
  <si>
    <r>
      <rPr>
        <sz val="10"/>
        <rFont val="Noto Sans CJK SC"/>
        <family val="2"/>
      </rPr>
      <t xml:space="preserve">단산 정상까지 오르는 국내 최장 모노레일</t>
    </r>
    <r>
      <rPr>
        <sz val="10"/>
        <rFont val="Arial"/>
        <family val="0"/>
        <charset val="1"/>
      </rPr>
      <t xml:space="preserve">.</t>
    </r>
  </si>
  <si>
    <t xml:space="preserve">단양 구경시장</t>
  </si>
  <si>
    <t xml:space="preserve">Danyang Gugyeong Market</t>
  </si>
  <si>
    <r>
      <rPr>
        <sz val="10"/>
        <rFont val="Noto Sans CJK SC"/>
        <family val="2"/>
      </rPr>
      <t xml:space="preserve">마늘 요리로 알려진 강변 시장</t>
    </r>
    <r>
      <rPr>
        <sz val="10"/>
        <rFont val="Arial"/>
        <family val="0"/>
        <charset val="1"/>
      </rPr>
      <t xml:space="preserve">.</t>
    </r>
  </si>
  <si>
    <t xml:space="preserve">단양읍 시내 숙소</t>
  </si>
  <si>
    <t xml:space="preserve">Danyang town stays</t>
  </si>
  <si>
    <t xml:space="preserve">달아공원</t>
  </si>
  <si>
    <t xml:space="preserve">Dara Park</t>
  </si>
  <si>
    <r>
      <rPr>
        <sz val="10"/>
        <rFont val="Noto Sans CJK SC"/>
        <family val="2"/>
      </rPr>
      <t xml:space="preserve">다도해 일몰로 알려진 전망 공원</t>
    </r>
    <r>
      <rPr>
        <sz val="10"/>
        <rFont val="Arial"/>
        <family val="0"/>
        <charset val="1"/>
      </rPr>
      <t xml:space="preserve">.</t>
    </r>
  </si>
  <si>
    <t xml:space="preserve">담양호 용마루길</t>
  </si>
  <si>
    <t xml:space="preserve">Damyangho Lakeside Walk</t>
  </si>
  <si>
    <r>
      <rPr>
        <sz val="10"/>
        <rFont val="Noto Sans CJK SC"/>
        <family val="2"/>
      </rPr>
      <t xml:space="preserve">호수 위로 놓인 수변 데크 산책길</t>
    </r>
    <r>
      <rPr>
        <sz val="10"/>
        <rFont val="Arial"/>
        <family val="0"/>
        <charset val="1"/>
      </rPr>
      <t xml:space="preserve">.</t>
    </r>
  </si>
  <si>
    <t xml:space="preserve">고성</t>
  </si>
  <si>
    <t xml:space="preserve">당항포관광지</t>
  </si>
  <si>
    <t xml:space="preserve">Danghangpo Site</t>
  </si>
  <si>
    <r>
      <rPr>
        <sz val="10"/>
        <rFont val="Noto Sans CJK SC"/>
        <family val="2"/>
      </rPr>
      <t xml:space="preserve">이순신 승전지에 조성한 관광지</t>
    </r>
    <r>
      <rPr>
        <sz val="10"/>
        <rFont val="Arial"/>
        <family val="0"/>
        <charset val="1"/>
      </rPr>
      <t xml:space="preserve">.</t>
    </r>
  </si>
  <si>
    <t xml:space="preserve">대가야 권역 숙소</t>
  </si>
  <si>
    <t xml:space="preserve">Daegaya area stays</t>
  </si>
  <si>
    <t xml:space="preserve">대가야박물관</t>
  </si>
  <si>
    <t xml:space="preserve">Daegaya Museum</t>
  </si>
  <si>
    <r>
      <rPr>
        <sz val="10"/>
        <rFont val="Noto Sans CJK SC"/>
        <family val="2"/>
      </rPr>
      <t xml:space="preserve">대가야 유물과 왕릉전시관</t>
    </r>
    <r>
      <rPr>
        <sz val="10"/>
        <rFont val="Arial"/>
        <family val="0"/>
        <charset val="1"/>
      </rPr>
      <t xml:space="preserve">.</t>
    </r>
  </si>
  <si>
    <t xml:space="preserve">대관령 리조트</t>
  </si>
  <si>
    <t xml:space="preserve">Daegwallyeong resorts</t>
  </si>
  <si>
    <t xml:space="preserve">평창</t>
  </si>
  <si>
    <t xml:space="preserve">대관령 삼양목장</t>
  </si>
  <si>
    <t xml:space="preserve">Samyang Ranch</t>
  </si>
  <si>
    <r>
      <rPr>
        <sz val="10"/>
        <rFont val="Noto Sans CJK SC"/>
        <family val="2"/>
      </rPr>
      <t xml:space="preserve">풍력발전기가 선 초원 목장</t>
    </r>
    <r>
      <rPr>
        <sz val="10"/>
        <rFont val="Arial"/>
        <family val="0"/>
        <charset val="1"/>
      </rPr>
      <t xml:space="preserve">.</t>
    </r>
  </si>
  <si>
    <t xml:space="preserve">대관령 양떼목장</t>
  </si>
  <si>
    <t xml:space="preserve">Daegwallyeong Sheep Farm</t>
  </si>
  <si>
    <r>
      <rPr>
        <sz val="10"/>
        <rFont val="Noto Sans CJK SC"/>
        <family val="2"/>
      </rPr>
      <t xml:space="preserve">능선을 걷는 초지 목장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양에게 먹이를 준다</t>
    </r>
    <r>
      <rPr>
        <sz val="10"/>
        <rFont val="Arial"/>
        <family val="0"/>
        <charset val="1"/>
      </rPr>
      <t xml:space="preserve">.</t>
    </r>
  </si>
  <si>
    <t xml:space="preserve">대구 근대골목</t>
  </si>
  <si>
    <t xml:space="preserve">Modern History Alley</t>
  </si>
  <si>
    <r>
      <rPr>
        <sz val="10"/>
        <rFont val="Noto Sans CJK SC"/>
        <family val="2"/>
      </rPr>
      <t xml:space="preserve">청라언덕과 계산성당을 잇는 근대 골목 코스</t>
    </r>
    <r>
      <rPr>
        <sz val="10"/>
        <rFont val="Arial"/>
        <family val="0"/>
        <charset val="1"/>
      </rPr>
      <t xml:space="preserve">.</t>
    </r>
  </si>
  <si>
    <t xml:space="preserve">삼척</t>
  </si>
  <si>
    <r>
      <rPr>
        <sz val="10"/>
        <rFont val="Noto Sans CJK SC"/>
        <family val="2"/>
      </rPr>
      <t xml:space="preserve">대금굴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환선굴</t>
    </r>
  </si>
  <si>
    <t xml:space="preserve">Daegeumgul &amp; Hwanseongul</t>
  </si>
  <si>
    <r>
      <rPr>
        <sz val="10"/>
        <rFont val="Noto Sans CJK SC"/>
        <family val="2"/>
      </rPr>
      <t xml:space="preserve">국내 최대 석회동굴 지대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모노레일로 든다</t>
    </r>
    <r>
      <rPr>
        <sz val="10"/>
        <rFont val="Arial"/>
        <family val="0"/>
        <charset val="1"/>
      </rPr>
      <t xml:space="preserve">.</t>
    </r>
  </si>
  <si>
    <t xml:space="preserve">대백제역사공원</t>
  </si>
  <si>
    <t xml:space="preserve">Baekje Reenactment Park</t>
  </si>
  <si>
    <r>
      <rPr>
        <sz val="10"/>
        <rFont val="Noto Sans CJK SC"/>
        <family val="2"/>
      </rPr>
      <t xml:space="preserve">백제문화단지 옆 야외 재현 공간</t>
    </r>
    <r>
      <rPr>
        <sz val="10"/>
        <rFont val="Arial"/>
        <family val="0"/>
        <charset val="1"/>
      </rPr>
      <t xml:space="preserve">.</t>
    </r>
  </si>
  <si>
    <t xml:space="preserve">대성동 고분군</t>
  </si>
  <si>
    <t xml:space="preserve">Daeseong-dong Tombs</t>
  </si>
  <si>
    <r>
      <rPr>
        <sz val="10"/>
        <rFont val="Noto Sans CJK SC"/>
        <family val="2"/>
      </rPr>
      <t xml:space="preserve">금관가야 지배층 무덤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가야고분군이다</t>
    </r>
    <r>
      <rPr>
        <sz val="10"/>
        <rFont val="Arial"/>
        <family val="0"/>
        <charset val="1"/>
      </rPr>
      <t xml:space="preserve">.</t>
    </r>
  </si>
  <si>
    <t xml:space="preserve">대왕암공원</t>
  </si>
  <si>
    <t xml:space="preserve">Daewangam Park</t>
  </si>
  <si>
    <r>
      <rPr>
        <sz val="10"/>
        <rFont val="Noto Sans CJK SC"/>
        <family val="2"/>
      </rPr>
      <t xml:space="preserve">해안 기암과 송림을 걷는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출렁다리가 있다</t>
    </r>
    <r>
      <rPr>
        <sz val="10"/>
        <rFont val="Arial"/>
        <family val="0"/>
        <charset val="1"/>
      </rPr>
      <t xml:space="preserve">.</t>
    </r>
  </si>
  <si>
    <t xml:space="preserve">대인예술시장</t>
  </si>
  <si>
    <t xml:space="preserve">Daein Art Market</t>
  </si>
  <si>
    <r>
      <rPr>
        <sz val="10"/>
        <rFont val="Noto Sans CJK SC"/>
        <family val="2"/>
      </rPr>
      <t xml:space="preserve">예술가가 들어와 되살아난 시장</t>
    </r>
    <r>
      <rPr>
        <sz val="10"/>
        <rFont val="Arial"/>
        <family val="0"/>
        <charset val="1"/>
      </rPr>
      <t xml:space="preserve">.</t>
    </r>
  </si>
  <si>
    <t xml:space="preserve">합천</t>
  </si>
  <si>
    <t xml:space="preserve">대장경테마파크</t>
  </si>
  <si>
    <t xml:space="preserve">Tripitaka Theme Park</t>
  </si>
  <si>
    <r>
      <rPr>
        <sz val="10"/>
        <rFont val="Noto Sans CJK SC"/>
        <family val="2"/>
      </rPr>
      <t xml:space="preserve">대장경 판각 과정을 전시로 푼 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</si>
  <si>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대전역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중앙로 호텔</t>
    </r>
  </si>
  <si>
    <t xml:space="preserve">Daejeon Stn &amp; Jungang-ro hotels</t>
  </si>
  <si>
    <t xml:space="preserve">대천해변 리조트</t>
  </si>
  <si>
    <t xml:space="preserve">Daecheon Beach resorts</t>
  </si>
  <si>
    <t xml:space="preserve">대천해수욕장</t>
  </si>
  <si>
    <t xml:space="preserve">Daecheon Beach</t>
  </si>
  <si>
    <r>
      <rPr>
        <sz val="10"/>
        <rFont val="Noto Sans CJK SC"/>
        <family val="2"/>
      </rPr>
      <t xml:space="preserve">서해 대표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머드축제가 열린다</t>
    </r>
    <r>
      <rPr>
        <sz val="10"/>
        <rFont val="Arial"/>
        <family val="0"/>
        <charset val="1"/>
      </rPr>
      <t xml:space="preserve">.</t>
    </r>
  </si>
  <si>
    <t xml:space="preserve">대청호 오백리길</t>
  </si>
  <si>
    <t xml:space="preserve">Daecheongho 500-ri Trail</t>
  </si>
  <si>
    <r>
      <rPr>
        <sz val="10"/>
        <rFont val="Noto Sans CJK SC"/>
        <family val="2"/>
      </rPr>
      <t xml:space="preserve">대청호를 따라 도는 둘레길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추동 습지 구간이 대표적이다</t>
    </r>
    <r>
      <rPr>
        <sz val="10"/>
        <rFont val="Arial"/>
        <family val="0"/>
        <charset val="1"/>
      </rPr>
      <t xml:space="preserve">.</t>
    </r>
  </si>
  <si>
    <t xml:space="preserve">속초</t>
  </si>
  <si>
    <t xml:space="preserve">대포항</t>
  </si>
  <si>
    <t xml:space="preserve">Daepo Port</t>
  </si>
  <si>
    <r>
      <rPr>
        <sz val="10"/>
        <rFont val="Noto Sans CJK SC"/>
        <family val="2"/>
      </rPr>
      <t xml:space="preserve">활어회와 튀김이 유명한 항구</t>
    </r>
    <r>
      <rPr>
        <sz val="10"/>
        <rFont val="Arial"/>
        <family val="0"/>
        <charset val="1"/>
      </rPr>
      <t xml:space="preserve">.</t>
    </r>
  </si>
  <si>
    <t xml:space="preserve">보성</t>
  </si>
  <si>
    <t xml:space="preserve">대한다원 녹차밭</t>
  </si>
  <si>
    <t xml:space="preserve">Daehan Tea Plantation</t>
  </si>
  <si>
    <r>
      <rPr>
        <sz val="10"/>
        <rFont val="Noto Sans CJK SC"/>
        <family val="2"/>
      </rPr>
      <t xml:space="preserve">계단식 차밭과 삼나무길</t>
    </r>
    <r>
      <rPr>
        <sz val="10"/>
        <rFont val="Arial"/>
        <family val="0"/>
        <charset val="1"/>
      </rPr>
      <t xml:space="preserve">.</t>
    </r>
  </si>
  <si>
    <t xml:space="preserve">대흥사</t>
  </si>
  <si>
    <t xml:space="preserve">Daeheungsa Temple</t>
  </si>
  <si>
    <r>
      <rPr>
        <sz val="10"/>
        <rFont val="Noto Sans CJK SC"/>
        <family val="2"/>
      </rPr>
      <t xml:space="preserve">두륜산 자락의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산사에 든다</t>
    </r>
    <r>
      <rPr>
        <sz val="10"/>
        <rFont val="Arial"/>
        <family val="0"/>
        <charset val="1"/>
      </rPr>
      <t xml:space="preserve">.</t>
    </r>
  </si>
  <si>
    <t xml:space="preserve">대흥사 권역 숙소</t>
  </si>
  <si>
    <t xml:space="preserve">Daeheungsa area stays</t>
  </si>
  <si>
    <t xml:space="preserve">더현대 서울</t>
  </si>
  <si>
    <t xml:space="preserve">The Hyundai Seoul</t>
  </si>
  <si>
    <r>
      <rPr>
        <sz val="10"/>
        <rFont val="Noto Sans CJK SC"/>
        <family val="2"/>
      </rPr>
      <t xml:space="preserve">실내 정원을 둔 여의도 백화점</t>
    </r>
    <r>
      <rPr>
        <sz val="10"/>
        <rFont val="Arial"/>
        <family val="0"/>
        <charset val="1"/>
      </rPr>
      <t xml:space="preserve">.</t>
    </r>
  </si>
  <si>
    <t xml:space="preserve">울진</t>
  </si>
  <si>
    <t xml:space="preserve">덕구온천</t>
  </si>
  <si>
    <t xml:space="preserve">Deokgu Hot Spring</t>
  </si>
  <si>
    <r>
      <rPr>
        <sz val="10"/>
        <rFont val="Noto Sans CJK SC"/>
        <family val="2"/>
      </rPr>
      <t xml:space="preserve">자연 용출 온천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원탕까지 계곡길이 난다</t>
    </r>
    <r>
      <rPr>
        <sz val="10"/>
        <rFont val="Arial"/>
        <family val="0"/>
        <charset val="1"/>
      </rPr>
      <t xml:space="preserve">.</t>
    </r>
  </si>
  <si>
    <t xml:space="preserve">덕구온천 리조트</t>
  </si>
  <si>
    <t xml:space="preserve">Deokgu Hot Spring resorts</t>
  </si>
  <si>
    <t xml:space="preserve">무주</t>
  </si>
  <si>
    <t xml:space="preserve">덕유산 국립공원</t>
  </si>
  <si>
    <t xml:space="preserve">Deogyusan National Park</t>
  </si>
  <si>
    <r>
      <rPr>
        <sz val="10"/>
        <rFont val="Noto Sans CJK SC"/>
        <family val="2"/>
      </rPr>
      <t xml:space="preserve">향적봉 설경으로 알려진 국립공원</t>
    </r>
    <r>
      <rPr>
        <sz val="10"/>
        <rFont val="Arial"/>
        <family val="0"/>
        <charset val="1"/>
      </rPr>
      <t xml:space="preserve">.</t>
    </r>
  </si>
  <si>
    <t xml:space="preserve">덕유산 리조트</t>
  </si>
  <si>
    <t xml:space="preserve">Deogyusan resorts</t>
  </si>
  <si>
    <t xml:space="preserve">덕진공원</t>
  </si>
  <si>
    <t xml:space="preserve">Deokjin Park</t>
  </si>
  <si>
    <r>
      <rPr>
        <sz val="10"/>
        <rFont val="Noto Sans CJK SC"/>
        <family val="2"/>
      </rPr>
      <t xml:space="preserve">연꽃으로 이름난 호수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여름에 연지가 가득 찬다</t>
    </r>
    <r>
      <rPr>
        <sz val="10"/>
        <rFont val="Arial"/>
        <family val="0"/>
        <charset val="1"/>
      </rPr>
      <t xml:space="preserve">.</t>
    </r>
  </si>
  <si>
    <t xml:space="preserve">덕진채련</t>
  </si>
  <si>
    <t xml:space="preserve">Deokjin Lotus Pond</t>
  </si>
  <si>
    <r>
      <rPr>
        <sz val="10"/>
        <rFont val="Noto Sans CJK SC"/>
        <family val="2"/>
      </rPr>
      <t xml:space="preserve">덕진공원 연지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여름 연꽃으로 알려져 있다</t>
    </r>
    <r>
      <rPr>
        <sz val="10"/>
        <rFont val="Arial"/>
        <family val="0"/>
        <charset val="1"/>
      </rPr>
      <t xml:space="preserve">.</t>
    </r>
  </si>
  <si>
    <t xml:space="preserve">도남관광지 리조트</t>
  </si>
  <si>
    <t xml:space="preserve">Donam resort area</t>
  </si>
  <si>
    <t xml:space="preserve">도담삼봉</t>
  </si>
  <si>
    <t xml:space="preserve">Dodamsambong</t>
  </si>
  <si>
    <r>
      <rPr>
        <sz val="10"/>
        <rFont val="Noto Sans CJK SC"/>
        <family val="2"/>
      </rPr>
      <t xml:space="preserve">남한강 물 위에 솟은 세 봉우리</t>
    </r>
    <r>
      <rPr>
        <sz val="10"/>
        <rFont val="Arial"/>
        <family val="0"/>
        <charset val="1"/>
      </rPr>
      <t xml:space="preserve">.</t>
    </r>
  </si>
  <si>
    <t xml:space="preserve">도동항</t>
  </si>
  <si>
    <t xml:space="preserve">Dodong Port</t>
  </si>
  <si>
    <r>
      <rPr>
        <sz val="10"/>
        <rFont val="Noto Sans CJK SC"/>
        <family val="2"/>
      </rPr>
      <t xml:space="preserve">육지 배가 드는 울릉도의 관문 항구</t>
    </r>
    <r>
      <rPr>
        <sz val="10"/>
        <rFont val="Arial"/>
        <family val="0"/>
        <charset val="1"/>
      </rPr>
      <t xml:space="preserve">.</t>
    </r>
  </si>
  <si>
    <t xml:space="preserve">도동항 권역 숙소</t>
  </si>
  <si>
    <t xml:space="preserve">Dodong Port stays</t>
  </si>
  <si>
    <t xml:space="preserve">도두동 무지개해안도로</t>
  </si>
  <si>
    <t xml:space="preserve">Dodu Rainbow Coastal Road</t>
  </si>
  <si>
    <r>
      <rPr>
        <sz val="10"/>
        <rFont val="Noto Sans CJK SC"/>
        <family val="2"/>
      </rPr>
      <t xml:space="preserve">무지개색 방호벽이 이어지는 해안도로</t>
    </r>
    <r>
      <rPr>
        <sz val="10"/>
        <rFont val="Arial"/>
        <family val="0"/>
        <charset val="1"/>
      </rPr>
      <t xml:space="preserve">.</t>
    </r>
  </si>
  <si>
    <t xml:space="preserve">도산서원</t>
  </si>
  <si>
    <t xml:space="preserve">Dosan Seowon</t>
  </si>
  <si>
    <r>
      <rPr>
        <sz val="10"/>
        <rFont val="Noto Sans CJK SC"/>
        <family val="2"/>
      </rPr>
      <t xml:space="preserve">퇴계 이황이 세운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</si>
  <si>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도피안사</t>
  </si>
  <si>
    <t xml:space="preserve">Dopiansa Temple</t>
  </si>
  <si>
    <r>
      <rPr>
        <sz val="10"/>
        <rFont val="Noto Sans CJK SC"/>
        <family val="2"/>
      </rPr>
      <t xml:space="preserve">신라 철조비로자나불좌상이 남은 평지 사찰</t>
    </r>
    <r>
      <rPr>
        <sz val="10"/>
        <rFont val="Arial"/>
        <family val="0"/>
        <charset val="1"/>
      </rPr>
      <t xml:space="preserve">.</t>
    </r>
  </si>
  <si>
    <t xml:space="preserve">독도</t>
  </si>
  <si>
    <t xml:space="preserve">Dokdo</t>
  </si>
  <si>
    <r>
      <rPr>
        <sz val="10"/>
        <rFont val="Noto Sans CJK SC"/>
        <family val="2"/>
      </rPr>
      <t xml:space="preserve">울릉에서 배로 닿는 동해 최동단 섬</t>
    </r>
    <r>
      <rPr>
        <sz val="10"/>
        <rFont val="Arial"/>
        <family val="0"/>
        <charset val="1"/>
      </rPr>
      <t xml:space="preserve">.</t>
    </r>
  </si>
  <si>
    <t xml:space="preserve">독도박물관</t>
  </si>
  <si>
    <t xml:space="preserve">Dokdo Museum</t>
  </si>
  <si>
    <r>
      <rPr>
        <sz val="10"/>
        <rFont val="Noto Sans CJK SC"/>
        <family val="2"/>
      </rPr>
      <t xml:space="preserve">독도 관련 사료를 모은 박물관</t>
    </r>
    <r>
      <rPr>
        <sz val="10"/>
        <rFont val="Arial"/>
        <family val="0"/>
        <charset val="1"/>
      </rPr>
      <t xml:space="preserve">.</t>
    </r>
  </si>
  <si>
    <t xml:space="preserve">독도전망대</t>
  </si>
  <si>
    <t xml:space="preserve">Dokdo Observatory</t>
  </si>
  <si>
    <r>
      <rPr>
        <sz val="10"/>
        <rFont val="Noto Sans CJK SC"/>
        <family val="2"/>
      </rPr>
      <t xml:space="preserve">맑은 날 독도가 보이는 전망대</t>
    </r>
    <r>
      <rPr>
        <sz val="10"/>
        <rFont val="Arial"/>
        <family val="0"/>
        <charset val="1"/>
      </rPr>
      <t xml:space="preserve">.</t>
    </r>
  </si>
  <si>
    <t xml:space="preserve">독립기념관</t>
  </si>
  <si>
    <t xml:space="preserve">Independence Hall of Korea</t>
  </si>
  <si>
    <r>
      <rPr>
        <sz val="10"/>
        <rFont val="Noto Sans CJK SC"/>
        <family val="2"/>
      </rPr>
      <t xml:space="preserve">독립운동사를 다룬 국립 기념관</t>
    </r>
    <r>
      <rPr>
        <sz val="10"/>
        <rFont val="Arial"/>
        <family val="0"/>
        <charset val="1"/>
      </rPr>
      <t xml:space="preserve">.</t>
    </r>
  </si>
  <si>
    <t xml:space="preserve">독일마을 펜션</t>
  </si>
  <si>
    <t xml:space="preserve">German Village pensions</t>
  </si>
  <si>
    <t xml:space="preserve">돈암서원</t>
  </si>
  <si>
    <t xml:space="preserve">Donam Seowon</t>
  </si>
  <si>
    <r>
      <rPr>
        <sz val="10"/>
        <rFont val="Noto Sans CJK SC"/>
        <family val="2"/>
      </rPr>
      <t xml:space="preserve">김장생을 모신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</si>
  <si>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돌산 펜션</t>
  </si>
  <si>
    <t xml:space="preserve">Dolsan pensions</t>
  </si>
  <si>
    <t xml:space="preserve">돌산공원</t>
  </si>
  <si>
    <t xml:space="preserve">Dolsan Park</t>
  </si>
  <si>
    <r>
      <rPr>
        <sz val="10"/>
        <rFont val="Noto Sans CJK SC"/>
        <family val="2"/>
      </rPr>
      <t xml:space="preserve">거북선대교와 여수항 야경이 내려다보이는 공원</t>
    </r>
    <r>
      <rPr>
        <sz val="10"/>
        <rFont val="Arial"/>
        <family val="0"/>
        <charset val="1"/>
      </rPr>
      <t xml:space="preserve">.</t>
    </r>
  </si>
  <si>
    <t xml:space="preserve">동강시스타 리조트</t>
  </si>
  <si>
    <t xml:space="preserve">Donggang Sistar Resort</t>
  </si>
  <si>
    <t xml:space="preserve">동고산성</t>
  </si>
  <si>
    <t xml:space="preserve">Donggosanseong</t>
  </si>
  <si>
    <r>
      <rPr>
        <sz val="10"/>
        <rFont val="Noto Sans CJK SC"/>
        <family val="2"/>
      </rPr>
      <t xml:space="preserve">후백제 견훤의 도성으로 전하는 산성</t>
    </r>
    <r>
      <rPr>
        <sz val="10"/>
        <rFont val="Arial"/>
        <family val="0"/>
        <charset val="1"/>
      </rPr>
      <t xml:space="preserve">.</t>
    </r>
  </si>
  <si>
    <t xml:space="preserve">동대구역 권역 호텔</t>
  </si>
  <si>
    <t xml:space="preserve">Dongdaegu Station hotels</t>
  </si>
  <si>
    <t xml:space="preserve">동성로</t>
  </si>
  <si>
    <t xml:space="preserve">Dongseong-ro</t>
  </si>
  <si>
    <r>
      <rPr>
        <sz val="10"/>
        <rFont val="Noto Sans CJK SC"/>
        <family val="2"/>
      </rPr>
      <t xml:space="preserve">대구 도심 최대 번화가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대구역과 반월당 사이를 걷는다</t>
    </r>
    <r>
      <rPr>
        <sz val="10"/>
        <rFont val="Arial"/>
        <family val="0"/>
        <charset val="1"/>
      </rPr>
      <t xml:space="preserve">.</t>
    </r>
  </si>
  <si>
    <t xml:space="preserve">동피랑벽화마을</t>
  </si>
  <si>
    <t xml:space="preserve">Dongpirang Mural Village</t>
  </si>
  <si>
    <r>
      <rPr>
        <sz val="10"/>
        <rFont val="Noto Sans CJK SC"/>
        <family val="2"/>
      </rPr>
      <t xml:space="preserve">강구안이 내려다보이는 언덕 벽화마을</t>
    </r>
    <r>
      <rPr>
        <sz val="10"/>
        <rFont val="Arial"/>
        <family val="0"/>
        <charset val="1"/>
      </rPr>
      <t xml:space="preserve">.</t>
    </r>
  </si>
  <si>
    <t xml:space="preserve">돝섬해상유원지</t>
  </si>
  <si>
    <t xml:space="preserve">Dotseom Island Park</t>
  </si>
  <si>
    <r>
      <rPr>
        <sz val="10"/>
        <rFont val="Noto Sans CJK SC"/>
        <family val="2"/>
      </rPr>
      <t xml:space="preserve">배로 건너는 섬 유원지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마산만이 둘러싼다</t>
    </r>
    <r>
      <rPr>
        <sz val="10"/>
        <rFont val="Arial"/>
        <family val="0"/>
        <charset val="1"/>
      </rPr>
      <t xml:space="preserve">.</t>
    </r>
  </si>
  <si>
    <t xml:space="preserve">양평</t>
  </si>
  <si>
    <t xml:space="preserve">두물머리</t>
  </si>
  <si>
    <t xml:space="preserve">Dumulmeori</t>
  </si>
  <si>
    <r>
      <rPr>
        <sz val="10"/>
        <rFont val="Noto Sans CJK SC"/>
        <family val="2"/>
      </rPr>
      <t xml:space="preserve">북한강과 남한강이 만나는 자리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느티나무가 서 있다</t>
    </r>
    <r>
      <rPr>
        <sz val="10"/>
        <rFont val="Arial"/>
        <family val="0"/>
        <charset val="1"/>
      </rPr>
      <t xml:space="preserve">.</t>
    </r>
  </si>
  <si>
    <t xml:space="preserve">두물머리 권역 펜션</t>
  </si>
  <si>
    <t xml:space="preserve">Dumulmeori pensions</t>
  </si>
  <si>
    <r>
      <rPr>
        <sz val="10"/>
        <rFont val="Noto Sans CJK SC"/>
        <family val="2"/>
      </rPr>
      <t xml:space="preserve">둔산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유성 호텔</t>
    </r>
  </si>
  <si>
    <t xml:space="preserve">Dunsan &amp; Yuseong hotels</t>
  </si>
  <si>
    <t xml:space="preserve">등기산스카이워크</t>
  </si>
  <si>
    <t xml:space="preserve">Deunggisan Skywalk</t>
  </si>
  <si>
    <r>
      <rPr>
        <sz val="10"/>
        <rFont val="Noto Sans CJK SC"/>
        <family val="2"/>
      </rPr>
      <t xml:space="preserve">후포항 앞바다로 뻗은 유리 전망대</t>
    </r>
    <r>
      <rPr>
        <sz val="10"/>
        <rFont val="Arial"/>
        <family val="0"/>
        <charset val="1"/>
      </rPr>
      <t xml:space="preserve">.</t>
    </r>
  </si>
  <si>
    <t xml:space="preserve">땅끝마을</t>
  </si>
  <si>
    <t xml:space="preserve">Land\u2019s End Village</t>
  </si>
  <si>
    <r>
      <rPr>
        <sz val="10"/>
        <rFont val="Noto Sans CJK SC"/>
        <family val="2"/>
      </rPr>
      <t xml:space="preserve">한반도 남쪽 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전망대와 모노레일이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</si>
  <si>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레일바이크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구절리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아우라지</t>
    </r>
    <r>
      <rPr>
        <sz val="10"/>
        <rFont val="Arial"/>
        <family val="0"/>
        <charset val="1"/>
      </rPr>
      <t xml:space="preserve">)</t>
    </r>
  </si>
  <si>
    <t xml:space="preserve">Jeongseon Rail Bike</t>
  </si>
  <si>
    <r>
      <rPr>
        <sz val="10"/>
        <rFont val="Noto Sans CJK SC"/>
        <family val="2"/>
      </rPr>
      <t xml:space="preserve">폐선 철길 </t>
    </r>
    <r>
      <rPr>
        <sz val="10"/>
        <rFont val="Arial"/>
        <family val="0"/>
        <charset val="1"/>
      </rPr>
      <t xml:space="preserve">7.2km</t>
    </r>
    <r>
      <rPr>
        <sz val="10"/>
        <rFont val="Noto Sans CJK SC"/>
        <family val="2"/>
      </rPr>
      <t xml:space="preserve">를 내려가는 레일바이크</t>
    </r>
    <r>
      <rPr>
        <sz val="10"/>
        <rFont val="Arial"/>
        <family val="0"/>
        <charset val="1"/>
      </rPr>
      <t xml:space="preserve">.</t>
    </r>
  </si>
  <si>
    <t xml:space="preserve">렛츠런팜 원당</t>
  </si>
  <si>
    <t xml:space="preserve">Wondang Horse Ranch</t>
  </si>
  <si>
    <r>
      <rPr>
        <sz val="10"/>
        <rFont val="Noto Sans CJK SC"/>
        <family val="2"/>
      </rPr>
      <t xml:space="preserve">말과 메타세쿼이아 길이 있는 목장</t>
    </r>
    <r>
      <rPr>
        <sz val="10"/>
        <rFont val="Arial"/>
        <family val="0"/>
        <charset val="1"/>
      </rPr>
      <t xml:space="preserve">.</t>
    </r>
  </si>
  <si>
    <t xml:space="preserve">마곡사</t>
  </si>
  <si>
    <t xml:space="preserve">Magoksa Temple</t>
  </si>
  <si>
    <r>
      <rPr>
        <sz val="10"/>
        <rFont val="Noto Sans CJK SC"/>
        <family val="2"/>
      </rPr>
      <t xml:space="preserve">태화산 계곡의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산사에 든다</t>
    </r>
    <r>
      <rPr>
        <sz val="10"/>
        <rFont val="Arial"/>
        <family val="0"/>
        <charset val="1"/>
      </rPr>
      <t xml:space="preserve">.</t>
    </r>
  </si>
  <si>
    <t xml:space="preserve">마곡사 솔바람길</t>
  </si>
  <si>
    <t xml:space="preserve">Magoksa Pine Trail</t>
  </si>
  <si>
    <r>
      <rPr>
        <sz val="10"/>
        <rFont val="Noto Sans CJK SC"/>
        <family val="2"/>
      </rPr>
      <t xml:space="preserve">마곡사를 둘러싼 소나무 숲 산책길</t>
    </r>
    <r>
      <rPr>
        <sz val="10"/>
        <rFont val="Arial"/>
        <family val="0"/>
        <charset val="1"/>
      </rPr>
      <t xml:space="preserve">.</t>
    </r>
  </si>
  <si>
    <t xml:space="preserve">마금산온천</t>
  </si>
  <si>
    <t xml:space="preserve">Magumsan Hot Springs</t>
  </si>
  <si>
    <r>
      <rPr>
        <sz val="10"/>
        <rFont val="Noto Sans CJK SC"/>
        <family val="2"/>
      </rPr>
      <t xml:space="preserve">낙동강 가까운 알칼리 온천 마을</t>
    </r>
    <r>
      <rPr>
        <sz val="10"/>
        <rFont val="Arial"/>
        <family val="0"/>
        <charset val="1"/>
      </rPr>
      <t xml:space="preserve">.</t>
    </r>
  </si>
  <si>
    <t xml:space="preserve">마산해양드라마세트장</t>
  </si>
  <si>
    <t xml:space="preserve">Masan Drama Set</t>
  </si>
  <si>
    <r>
      <rPr>
        <sz val="10"/>
        <rFont val="Noto Sans CJK SC"/>
        <family val="2"/>
      </rPr>
      <t xml:space="preserve">삼국지 촬영을 위해 지은 바닷가 세트장</t>
    </r>
    <r>
      <rPr>
        <sz val="10"/>
        <rFont val="Arial"/>
        <family val="0"/>
        <charset val="1"/>
      </rPr>
      <t xml:space="preserve">.</t>
    </r>
  </si>
  <si>
    <t xml:space="preserve">마장호수 흔들다리</t>
  </si>
  <si>
    <t xml:space="preserve">Majang Lake Bridge</t>
  </si>
  <si>
    <r>
      <rPr>
        <sz val="10"/>
        <rFont val="Noto Sans CJK SC"/>
        <family val="2"/>
      </rPr>
      <t xml:space="preserve">호수를 건너는 </t>
    </r>
    <r>
      <rPr>
        <sz val="10"/>
        <rFont val="Arial"/>
        <family val="0"/>
        <charset val="1"/>
      </rPr>
      <t xml:space="preserve">220m </t>
    </r>
    <r>
      <rPr>
        <sz val="10"/>
        <rFont val="Noto Sans CJK SC"/>
        <family val="2"/>
      </rPr>
      <t xml:space="preserve">흔들다리</t>
    </r>
    <r>
      <rPr>
        <sz val="10"/>
        <rFont val="Arial"/>
        <family val="0"/>
        <charset val="1"/>
      </rPr>
      <t xml:space="preserve">.</t>
    </r>
  </si>
  <si>
    <t xml:space="preserve">만리포 해변 숙소</t>
  </si>
  <si>
    <t xml:space="preserve">Mallipo Beach stays</t>
  </si>
  <si>
    <t xml:space="preserve">만리포해수욕장</t>
  </si>
  <si>
    <t xml:space="preserve">Mallipo Beach</t>
  </si>
  <si>
    <r>
      <rPr>
        <sz val="10"/>
        <rFont val="Noto Sans CJK SC"/>
        <family val="2"/>
      </rPr>
      <t xml:space="preserve">서해안의 넓은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서핑 스폿이 있다</t>
    </r>
    <r>
      <rPr>
        <sz val="10"/>
        <rFont val="Arial"/>
        <family val="0"/>
        <charset val="1"/>
      </rPr>
      <t xml:space="preserve">.</t>
    </r>
  </si>
  <si>
    <t xml:space="preserve">만성리 검은모래해변</t>
  </si>
  <si>
    <t xml:space="preserve">Manseong-ri Black Sand Beach</t>
  </si>
  <si>
    <r>
      <rPr>
        <sz val="10"/>
        <rFont val="Noto Sans CJK SC"/>
        <family val="2"/>
      </rPr>
      <t xml:space="preserve">검은 모래로 알려진 해변</t>
    </r>
    <r>
      <rPr>
        <sz val="10"/>
        <rFont val="Arial"/>
        <family val="0"/>
        <charset val="1"/>
      </rPr>
      <t xml:space="preserve">.</t>
    </r>
  </si>
  <si>
    <t xml:space="preserve">만장굴</t>
  </si>
  <si>
    <t xml:space="preserve">Manjanggul Cave</t>
  </si>
  <si>
    <r>
      <rPr>
        <sz val="10"/>
        <rFont val="Noto Sans CJK SC"/>
        <family val="2"/>
      </rPr>
      <t xml:space="preserve">세계자연유산 용암동굴</t>
    </r>
    <r>
      <rPr>
        <sz val="10"/>
        <rFont val="Arial"/>
        <family val="0"/>
        <charset val="1"/>
      </rPr>
      <t xml:space="preserve">. 1km </t>
    </r>
    <r>
      <rPr>
        <sz val="10"/>
        <rFont val="Noto Sans CJK SC"/>
        <family val="2"/>
      </rPr>
      <t xml:space="preserve">구간을 걸어 들어가며 기온이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도 안팎으로 유지된다</t>
    </r>
    <r>
      <rPr>
        <sz val="10"/>
        <rFont val="Arial"/>
        <family val="0"/>
        <charset val="1"/>
      </rPr>
      <t xml:space="preserve">.</t>
    </r>
  </si>
  <si>
    <t xml:space="preserve">만천하스카이워크</t>
  </si>
  <si>
    <t xml:space="preserve">Mancheonha Skywalk</t>
  </si>
  <si>
    <r>
      <rPr>
        <sz val="10"/>
        <rFont val="Noto Sans CJK SC"/>
        <family val="2"/>
      </rPr>
      <t xml:space="preserve">강을 내려다보는 유리 전망대와 짚와이어</t>
    </r>
    <r>
      <rPr>
        <sz val="10"/>
        <rFont val="Arial"/>
        <family val="0"/>
        <charset val="1"/>
      </rPr>
      <t xml:space="preserve">.</t>
    </r>
  </si>
  <si>
    <t xml:space="preserve">만해 한용운 생가지</t>
  </si>
  <si>
    <t xml:space="preserve">Han Yong-un Birthplace</t>
  </si>
  <si>
    <r>
      <rPr>
        <sz val="10"/>
        <rFont val="Noto Sans CJK SC"/>
        <family val="2"/>
      </rPr>
      <t xml:space="preserve">시인이자 독립운동가의 초가 생가와 사당</t>
    </r>
    <r>
      <rPr>
        <sz val="10"/>
        <rFont val="Arial"/>
        <family val="0"/>
        <charset val="1"/>
      </rPr>
      <t xml:space="preserve">.</t>
    </r>
  </si>
  <si>
    <t xml:space="preserve">만휴정</t>
  </si>
  <si>
    <t xml:space="preserve">Manhyujeong</t>
  </si>
  <si>
    <r>
      <rPr>
        <sz val="10"/>
        <rFont val="Noto Sans CJK SC"/>
        <family val="2"/>
      </rPr>
      <t xml:space="preserve">계곡 위 외나무다리로 건너는 정자</t>
    </r>
    <r>
      <rPr>
        <sz val="10"/>
        <rFont val="Arial"/>
        <family val="0"/>
        <charset val="1"/>
      </rPr>
      <t xml:space="preserve">.</t>
    </r>
  </si>
  <si>
    <t xml:space="preserve">함안</t>
  </si>
  <si>
    <t xml:space="preserve">말이산 고분군</t>
  </si>
  <si>
    <t xml:space="preserve">Marisan Tombs</t>
  </si>
  <si>
    <r>
      <rPr>
        <sz val="10"/>
        <rFont val="Noto Sans CJK SC"/>
        <family val="2"/>
      </rPr>
      <t xml:space="preserve">아라가야 왕들의 능선 고분군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</si>
  <si>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망상해변 리조트</t>
  </si>
  <si>
    <t xml:space="preserve">Mangsang Beach resorts</t>
  </si>
  <si>
    <t xml:space="preserve">메타세쿼이아 랜드</t>
  </si>
  <si>
    <t xml:space="preserve">Metasequoia Road</t>
  </si>
  <si>
    <r>
      <rPr>
        <sz val="10"/>
        <rFont val="Arial"/>
        <family val="0"/>
        <charset val="1"/>
      </rPr>
      <t xml:space="preserve">2km</t>
    </r>
    <r>
      <rPr>
        <sz val="10"/>
        <rFont val="Noto Sans CJK SC"/>
        <family val="2"/>
      </rPr>
      <t xml:space="preserve">에 걸친 메타세쿼이아 가로수길</t>
    </r>
    <r>
      <rPr>
        <sz val="10"/>
        <rFont val="Arial"/>
        <family val="0"/>
        <charset val="1"/>
      </rPr>
      <t xml:space="preserve">.</t>
    </r>
  </si>
  <si>
    <t xml:space="preserve">명동 닭갈비골목</t>
  </si>
  <si>
    <t xml:space="preserve">Dakgalbi Alley</t>
  </si>
  <si>
    <r>
      <rPr>
        <sz val="10"/>
        <rFont val="Noto Sans CJK SC"/>
        <family val="2"/>
      </rPr>
      <t xml:space="preserve">춘천 닭갈비 가게가 모인 골목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</si>
  <si>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명동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을지로 호텔</t>
    </r>
  </si>
  <si>
    <t xml:space="preserve">Myeongdong &amp; Euljiro hotels</t>
  </si>
  <si>
    <t xml:space="preserve">명사십리 권역 숙소</t>
  </si>
  <si>
    <t xml:space="preserve">Myeongsasimni stays</t>
  </si>
  <si>
    <t xml:space="preserve">완도</t>
  </si>
  <si>
    <t xml:space="preserve">명사십리해수욕장</t>
  </si>
  <si>
    <t xml:space="preserve">Myeongsasimni Beach</t>
  </si>
  <si>
    <r>
      <rPr>
        <sz val="10"/>
        <rFont val="Arial"/>
        <family val="0"/>
        <charset val="1"/>
      </rPr>
      <t xml:space="preserve">4km</t>
    </r>
    <r>
      <rPr>
        <sz val="10"/>
        <rFont val="Noto Sans CJK SC"/>
        <family val="2"/>
      </rPr>
      <t xml:space="preserve">에 이르는 신지도 백사장</t>
    </r>
    <r>
      <rPr>
        <sz val="10"/>
        <rFont val="Arial"/>
        <family val="0"/>
        <charset val="1"/>
      </rPr>
      <t xml:space="preserve">.</t>
    </r>
  </si>
  <si>
    <t xml:space="preserve">여주</t>
  </si>
  <si>
    <t xml:space="preserve">명성황후 생가</t>
  </si>
  <si>
    <t xml:space="preserve">Birthplace of Empress Myeongseong</t>
  </si>
  <si>
    <r>
      <rPr>
        <sz val="10"/>
        <rFont val="Noto Sans CJK SC"/>
        <family val="2"/>
      </rPr>
      <t xml:space="preserve">명성황후가 태어난 집과 기념관</t>
    </r>
    <r>
      <rPr>
        <sz val="10"/>
        <rFont val="Arial"/>
        <family val="0"/>
        <charset val="1"/>
      </rPr>
      <t xml:space="preserve">.</t>
    </r>
  </si>
  <si>
    <t xml:space="preserve">목포근대역사관</t>
  </si>
  <si>
    <t xml:space="preserve">Mokpo Modern History Museum</t>
  </si>
  <si>
    <r>
      <rPr>
        <sz val="10"/>
        <rFont val="Noto Sans CJK SC"/>
        <family val="2"/>
      </rPr>
      <t xml:space="preserve">옛 일본영사관 건물을 쓴 역사관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</si>
  <si>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목포역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근대거리 숙소</t>
    </r>
  </si>
  <si>
    <t xml:space="preserve">Station &amp; Old Town stays</t>
  </si>
  <si>
    <t xml:space="preserve">목포해상케이블카</t>
  </si>
  <si>
    <t xml:space="preserve">Mokpo Marine Cable Car</t>
  </si>
  <si>
    <r>
      <rPr>
        <sz val="10"/>
        <rFont val="Noto Sans CJK SC"/>
        <family val="2"/>
      </rPr>
      <t xml:space="preserve">유달산과 고하도를 잇는 국내 최장 해상 케이블카</t>
    </r>
    <r>
      <rPr>
        <sz val="10"/>
        <rFont val="Arial"/>
        <family val="0"/>
        <charset val="1"/>
      </rPr>
      <t xml:space="preserve">.</t>
    </r>
  </si>
  <si>
    <t xml:space="preserve">무등산 국립공원</t>
  </si>
  <si>
    <t xml:space="preserve">Mudeungsan National Park</t>
  </si>
  <si>
    <r>
      <rPr>
        <sz val="10"/>
        <rFont val="Noto Sans CJK SC"/>
        <family val="2"/>
      </rPr>
      <t xml:space="preserve">주상절리 입석대와 서석대가 있는 산</t>
    </r>
    <r>
      <rPr>
        <sz val="10"/>
        <rFont val="Arial"/>
        <family val="0"/>
        <charset val="1"/>
      </rPr>
      <t xml:space="preserve">.</t>
    </r>
  </si>
  <si>
    <t xml:space="preserve">무령왕릉과 왕릉원</t>
  </si>
  <si>
    <t xml:space="preserve">Tomb of King Muryeong</t>
  </si>
  <si>
    <r>
      <rPr>
        <sz val="10"/>
        <rFont val="Noto Sans CJK SC"/>
        <family val="2"/>
      </rPr>
      <t xml:space="preserve">무령왕 부부의 벽돌무덤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</si>
  <si>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무릉도원면 계곡 펜션</t>
  </si>
  <si>
    <t xml:space="preserve">Mureungdowon-myeon valley pensions</t>
  </si>
  <si>
    <t xml:space="preserve">무릉별유천지</t>
  </si>
  <si>
    <t xml:space="preserve">Mureung Byeolyucheonji</t>
  </si>
  <si>
    <r>
      <rPr>
        <sz val="10"/>
        <rFont val="Noto Sans CJK SC"/>
        <family val="2"/>
      </rPr>
      <t xml:space="preserve">폐석회광산을 고친 호수와 짚와이어</t>
    </r>
    <r>
      <rPr>
        <sz val="10"/>
        <rFont val="Arial"/>
        <family val="0"/>
        <charset val="1"/>
      </rPr>
      <t xml:space="preserve">.</t>
    </r>
  </si>
  <si>
    <t xml:space="preserve">영주</t>
  </si>
  <si>
    <t xml:space="preserve">무섬마을</t>
  </si>
  <si>
    <t xml:space="preserve">Museom Village</t>
  </si>
  <si>
    <r>
      <rPr>
        <sz val="10"/>
        <rFont val="Noto Sans CJK SC"/>
        <family val="2"/>
      </rPr>
      <t xml:space="preserve">강이 감아 도는 전통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외나무다리가 놓인다</t>
    </r>
    <r>
      <rPr>
        <sz val="10"/>
        <rFont val="Arial"/>
        <family val="0"/>
        <charset val="1"/>
      </rPr>
      <t xml:space="preserve">.</t>
    </r>
  </si>
  <si>
    <t xml:space="preserve">무성서원</t>
  </si>
  <si>
    <t xml:space="preserve">Museong Seowon</t>
  </si>
  <si>
    <r>
      <rPr>
        <sz val="10"/>
        <rFont val="Noto Sans CJK SC"/>
        <family val="2"/>
      </rPr>
      <t xml:space="preserve">최치원을 모신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</si>
  <si>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무의도 하나개해수욕장</t>
  </si>
  <si>
    <t xml:space="preserve">Hanagae Beach</t>
  </si>
  <si>
    <r>
      <rPr>
        <sz val="10"/>
        <rFont val="Noto Sans CJK SC"/>
        <family val="2"/>
      </rPr>
      <t xml:space="preserve">무의대교로 이어진 섬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갯벌 체험을 한다</t>
    </r>
    <r>
      <rPr>
        <sz val="10"/>
        <rFont val="Arial"/>
        <family val="0"/>
        <charset val="1"/>
      </rPr>
      <t xml:space="preserve">.</t>
    </r>
  </si>
  <si>
    <t xml:space="preserve">무장사지</t>
  </si>
  <si>
    <t xml:space="preserve">Mujangsa Temple Site</t>
  </si>
  <si>
    <r>
      <rPr>
        <sz val="10"/>
        <rFont val="Noto Sans CJK SC"/>
        <family val="2"/>
      </rPr>
      <t xml:space="preserve">계곡 깊이 남은 절터와 삼층석탑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</si>
  <si>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무주구천동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경</t>
    </r>
  </si>
  <si>
    <t xml:space="preserve">Gucheondong Valley</t>
  </si>
  <si>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경이 이어지는 계곡길</t>
    </r>
    <r>
      <rPr>
        <sz val="10"/>
        <rFont val="Arial"/>
        <family val="0"/>
        <charset val="1"/>
      </rPr>
      <t xml:space="preserve">.</t>
    </r>
  </si>
  <si>
    <t xml:space="preserve">무진정</t>
  </si>
  <si>
    <t xml:space="preserve">Mujinjeong</t>
  </si>
  <si>
    <r>
      <rPr>
        <sz val="10"/>
        <rFont val="Noto Sans CJK SC"/>
        <family val="2"/>
      </rPr>
      <t xml:space="preserve">연못 위 정자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낙화놀이가 열린다</t>
    </r>
    <r>
      <rPr>
        <sz val="10"/>
        <rFont val="Arial"/>
        <family val="0"/>
        <charset val="1"/>
      </rPr>
      <t xml:space="preserve">.</t>
    </r>
  </si>
  <si>
    <t xml:space="preserve">무창포해수욕장</t>
  </si>
  <si>
    <t xml:space="preserve">Muchangpo Beach</t>
  </si>
  <si>
    <r>
      <rPr>
        <sz val="10"/>
        <rFont val="Noto Sans CJK SC"/>
        <family val="2"/>
      </rPr>
      <t xml:space="preserve">바닷길이 갈라지는 신비의 해변</t>
    </r>
    <r>
      <rPr>
        <sz val="10"/>
        <rFont val="Arial"/>
        <family val="0"/>
        <charset val="1"/>
      </rPr>
      <t xml:space="preserve">.</t>
    </r>
  </si>
  <si>
    <t xml:space="preserve">무학산</t>
  </si>
  <si>
    <t xml:space="preserve">Muhaksan</t>
  </si>
  <si>
    <r>
      <rPr>
        <sz val="10"/>
        <rFont val="Noto Sans CJK SC"/>
        <family val="2"/>
      </rPr>
      <t xml:space="preserve">마산만을 내려다보는 억새 능선 산행</t>
    </r>
    <r>
      <rPr>
        <sz val="10"/>
        <rFont val="Arial"/>
        <family val="0"/>
        <charset val="1"/>
      </rPr>
      <t xml:space="preserve">.</t>
    </r>
  </si>
  <si>
    <t xml:space="preserve">묵호항 오션뷰 스테이</t>
  </si>
  <si>
    <t xml:space="preserve">Mukho Port ocean-view stays</t>
  </si>
  <si>
    <t xml:space="preserve">문경 철로자전거</t>
  </si>
  <si>
    <t xml:space="preserve">Rail Bike</t>
  </si>
  <si>
    <r>
      <rPr>
        <sz val="10"/>
        <rFont val="Noto Sans CJK SC"/>
        <family val="2"/>
      </rPr>
      <t xml:space="preserve">폐선 위를 달리는 철로자전거</t>
    </r>
    <r>
      <rPr>
        <sz val="10"/>
        <rFont val="Arial"/>
        <family val="0"/>
        <charset val="1"/>
      </rPr>
      <t xml:space="preserve">.</t>
    </r>
  </si>
  <si>
    <t xml:space="preserve">문경새재 권역 숙소</t>
  </si>
  <si>
    <t xml:space="preserve">Saejae area stays</t>
  </si>
  <si>
    <t xml:space="preserve">문경새재 도립공원</t>
  </si>
  <si>
    <t xml:space="preserve">Mungyeong Saejae Park</t>
  </si>
  <si>
    <r>
      <rPr>
        <sz val="10"/>
        <rFont val="Noto Sans CJK SC"/>
        <family val="2"/>
      </rPr>
      <t xml:space="preserve">조선 영남대로의 고갯길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관문 세 개가 남았다</t>
    </r>
    <r>
      <rPr>
        <sz val="10"/>
        <rFont val="Arial"/>
        <family val="0"/>
        <charset val="1"/>
      </rPr>
      <t xml:space="preserve">.</t>
    </r>
  </si>
  <si>
    <t xml:space="preserve">문래동 창작촌</t>
  </si>
  <si>
    <t xml:space="preserve">Mullae Art Village</t>
  </si>
  <si>
    <r>
      <rPr>
        <sz val="10"/>
        <rFont val="Noto Sans CJK SC"/>
        <family val="2"/>
      </rPr>
      <t xml:space="preserve">철공소 골목에 들어선 작업실과 카페</t>
    </r>
    <r>
      <rPr>
        <sz val="10"/>
        <rFont val="Arial"/>
        <family val="0"/>
        <charset val="1"/>
      </rPr>
      <t xml:space="preserve">.</t>
    </r>
  </si>
  <si>
    <t xml:space="preserve">문신미술관</t>
  </si>
  <si>
    <t xml:space="preserve">Moonshin Art Museum</t>
  </si>
  <si>
    <r>
      <rPr>
        <sz val="10"/>
        <rFont val="Noto Sans CJK SC"/>
        <family val="2"/>
      </rPr>
      <t xml:space="preserve">조각가 문신의 작업과 언덕 위 전시관</t>
    </r>
    <r>
      <rPr>
        <sz val="10"/>
        <rFont val="Arial"/>
        <family val="0"/>
        <charset val="1"/>
      </rPr>
      <t xml:space="preserve">.</t>
    </r>
  </si>
  <si>
    <t xml:space="preserve">문의문화재단지</t>
  </si>
  <si>
    <t xml:space="preserve">Munui Heritage Village</t>
  </si>
  <si>
    <r>
      <rPr>
        <sz val="10"/>
        <rFont val="Noto Sans CJK SC"/>
        <family val="2"/>
      </rPr>
      <t xml:space="preserve">대청호 수몰 마을을 옮겨 세운 단지</t>
    </r>
    <r>
      <rPr>
        <sz val="10"/>
        <rFont val="Arial"/>
        <family val="0"/>
        <charset val="1"/>
      </rPr>
      <t xml:space="preserve">.</t>
    </r>
  </si>
  <si>
    <t xml:space="preserve">문화전당 권역 호텔</t>
  </si>
  <si>
    <t xml:space="preserve">ACC area hotels</t>
  </si>
  <si>
    <t xml:space="preserve">물의정원</t>
  </si>
  <si>
    <t xml:space="preserve">Water Garden</t>
  </si>
  <si>
    <r>
      <rPr>
        <sz val="10"/>
        <rFont val="Noto Sans CJK SC"/>
        <family val="2"/>
      </rPr>
      <t xml:space="preserve">북한강변의 꽃밭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 양귀비가 핀다</t>
    </r>
    <r>
      <rPr>
        <sz val="10"/>
        <rFont val="Arial"/>
        <family val="0"/>
        <charset val="1"/>
      </rPr>
      <t xml:space="preserve">.</t>
    </r>
  </si>
  <si>
    <t xml:space="preserve">원주</t>
  </si>
  <si>
    <t xml:space="preserve">뮤지엄 산</t>
  </si>
  <si>
    <t xml:space="preserve">Museum SAN</t>
  </si>
  <si>
    <r>
      <rPr>
        <sz val="10"/>
        <rFont val="Noto Sans CJK SC"/>
        <family val="2"/>
      </rPr>
      <t xml:space="preserve">안도 타다오가 설계한 산 위의 미술관</t>
    </r>
    <r>
      <rPr>
        <sz val="10"/>
        <rFont val="Arial"/>
        <family val="0"/>
        <charset val="1"/>
      </rPr>
      <t xml:space="preserve">.</t>
    </r>
  </si>
  <si>
    <t xml:space="preserve">미동산수목원</t>
  </si>
  <si>
    <t xml:space="preserve">Midongsan Arboretum</t>
  </si>
  <si>
    <r>
      <rPr>
        <sz val="10"/>
        <rFont val="Noto Sans CJK SC"/>
        <family val="2"/>
      </rPr>
      <t xml:space="preserve">산림과학과 곤충을 함께 다루는 수목원</t>
    </r>
    <r>
      <rPr>
        <sz val="10"/>
        <rFont val="Arial"/>
        <family val="0"/>
        <charset val="1"/>
      </rPr>
      <t xml:space="preserve">.</t>
    </r>
  </si>
  <si>
    <t xml:space="preserve">미륵대원지</t>
  </si>
  <si>
    <t xml:space="preserve">Mireuksaji Temple Site</t>
  </si>
  <si>
    <r>
      <rPr>
        <sz val="10"/>
        <rFont val="Noto Sans CJK SC"/>
        <family val="2"/>
      </rPr>
      <t xml:space="preserve">하늘재 아래 고려 절터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석굴 형식의 미륵불이 서 있다</t>
    </r>
    <r>
      <rPr>
        <sz val="10"/>
        <rFont val="Arial"/>
        <family val="0"/>
        <charset val="1"/>
      </rPr>
      <t xml:space="preserve">.</t>
    </r>
  </si>
  <si>
    <t xml:space="preserve">미륵사지</t>
  </si>
  <si>
    <t xml:space="preserve">Mireuksa Temple Site</t>
  </si>
  <si>
    <r>
      <rPr>
        <sz val="10"/>
        <rFont val="Noto Sans CJK SC"/>
        <family val="2"/>
      </rPr>
      <t xml:space="preserve">백제 최대 절터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백제역사유적지구다</t>
    </r>
    <r>
      <rPr>
        <sz val="10"/>
        <rFont val="Arial"/>
        <family val="0"/>
        <charset val="1"/>
      </rPr>
      <t xml:space="preserve">.</t>
    </r>
  </si>
  <si>
    <t xml:space="preserve">미조항</t>
  </si>
  <si>
    <t xml:space="preserve">Mijo Port</t>
  </si>
  <si>
    <r>
      <rPr>
        <sz val="10"/>
        <rFont val="Noto Sans CJK SC"/>
        <family val="2"/>
      </rPr>
      <t xml:space="preserve">멸치회로 알려진 남단의 어항</t>
    </r>
    <r>
      <rPr>
        <sz val="10"/>
        <rFont val="Arial"/>
        <family val="0"/>
        <charset val="1"/>
      </rPr>
      <t xml:space="preserve">.</t>
    </r>
  </si>
  <si>
    <t xml:space="preserve">미황사</t>
  </si>
  <si>
    <t xml:space="preserve">Mihwangsa Temple</t>
  </si>
  <si>
    <r>
      <rPr>
        <sz val="10"/>
        <rFont val="Noto Sans CJK SC"/>
        <family val="2"/>
      </rPr>
      <t xml:space="preserve">달마산 바위 능선을 등진 남쪽 끝 절</t>
    </r>
    <r>
      <rPr>
        <sz val="10"/>
        <rFont val="Arial"/>
        <family val="0"/>
        <charset val="1"/>
      </rPr>
      <t xml:space="preserve">.</t>
    </r>
  </si>
  <si>
    <t xml:space="preserve">민둥산 억새</t>
  </si>
  <si>
    <t xml:space="preserve">Mindungsan Silver Grass</t>
  </si>
  <si>
    <r>
      <rPr>
        <sz val="10"/>
        <rFont val="Noto Sans CJK SC"/>
        <family val="2"/>
      </rPr>
      <t xml:space="preserve">가을 억새로 덮이는 민둥한 정상</t>
    </r>
    <r>
      <rPr>
        <sz val="10"/>
        <rFont val="Arial"/>
        <family val="0"/>
        <charset val="1"/>
      </rPr>
      <t xml:space="preserve">.</t>
    </r>
  </si>
  <si>
    <t xml:space="preserve">민속촌 권역 숙소</t>
  </si>
  <si>
    <t xml:space="preserve">Folk Village area stays</t>
  </si>
  <si>
    <t xml:space="preserve">밀마루전망대</t>
  </si>
  <si>
    <t xml:space="preserve">Milmaru Observatory</t>
  </si>
  <si>
    <r>
      <rPr>
        <sz val="10"/>
        <rFont val="Noto Sans CJK SC"/>
        <family val="2"/>
      </rPr>
      <t xml:space="preserve">행정중심복합도시를 한눈에 보는 전망탑</t>
    </r>
    <r>
      <rPr>
        <sz val="10"/>
        <rFont val="Arial"/>
        <family val="0"/>
        <charset val="1"/>
      </rPr>
      <t xml:space="preserve">.</t>
    </r>
  </si>
  <si>
    <t xml:space="preserve">밀양 시내 숙소</t>
  </si>
  <si>
    <t xml:space="preserve">Miryang town stays</t>
  </si>
  <si>
    <t xml:space="preserve">밀양 얼음골</t>
  </si>
  <si>
    <t xml:space="preserve">Miryang Ice Valley</t>
  </si>
  <si>
    <r>
      <rPr>
        <sz val="10"/>
        <rFont val="Noto Sans CJK SC"/>
        <family val="2"/>
      </rPr>
      <t xml:space="preserve">한여름에 얼음이 어는 골짜기</t>
    </r>
    <r>
      <rPr>
        <sz val="10"/>
        <rFont val="Arial"/>
        <family val="0"/>
        <charset val="1"/>
      </rPr>
      <t xml:space="preserve">.</t>
    </r>
  </si>
  <si>
    <t xml:space="preserve">박경리기념관</t>
  </si>
  <si>
    <t xml:space="preserve">Park Kyung-ni Memorial Hall</t>
  </si>
  <si>
    <r>
      <rPr>
        <sz val="10"/>
        <rFont val="Noto Sans CJK SC"/>
        <family val="2"/>
      </rPr>
      <t xml:space="preserve">『토지』를 쓴 작가의 고향 기념관</t>
    </r>
    <r>
      <rPr>
        <sz val="10"/>
        <rFont val="Arial"/>
        <family val="0"/>
        <charset val="1"/>
      </rPr>
      <t xml:space="preserve">.</t>
    </r>
  </si>
  <si>
    <t xml:space="preserve">반구대 암각화</t>
  </si>
  <si>
    <t xml:space="preserve">Bangudae Petroglyphs</t>
  </si>
  <si>
    <r>
      <rPr>
        <sz val="10"/>
        <rFont val="Noto Sans CJK SC"/>
        <family val="2"/>
      </rPr>
      <t xml:space="preserve">선사시대 고래 사냥을 새긴 바위그림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국보다</t>
    </r>
    <r>
      <rPr>
        <sz val="10"/>
        <rFont val="Arial"/>
        <family val="0"/>
        <charset val="1"/>
      </rPr>
      <t xml:space="preserve">.</t>
    </r>
  </si>
  <si>
    <t xml:space="preserve">반디랜드</t>
  </si>
  <si>
    <t xml:space="preserve">Bandi Land</t>
  </si>
  <si>
    <r>
      <rPr>
        <sz val="10"/>
        <rFont val="Noto Sans CJK SC"/>
        <family val="2"/>
      </rPr>
      <t xml:space="preserve">반딧불이를 주제로 한 곤충 박물관</t>
    </r>
    <r>
      <rPr>
        <sz val="10"/>
        <rFont val="Arial"/>
        <family val="0"/>
        <charset val="1"/>
      </rPr>
      <t xml:space="preserve">.</t>
    </r>
  </si>
  <si>
    <t xml:space="preserve">발왕산 케이블카</t>
  </si>
  <si>
    <t xml:space="preserve">Balwangsan Cable Car</t>
  </si>
  <si>
    <r>
      <rPr>
        <sz val="10"/>
        <rFont val="Noto Sans CJK SC"/>
        <family val="2"/>
      </rPr>
      <t xml:space="preserve">해발 </t>
    </r>
    <r>
      <rPr>
        <sz val="10"/>
        <rFont val="Arial"/>
        <family val="0"/>
        <charset val="1"/>
      </rPr>
      <t xml:space="preserve">1458m </t>
    </r>
    <r>
      <rPr>
        <sz val="10"/>
        <rFont val="Noto Sans CJK SC"/>
        <family val="2"/>
      </rPr>
      <t xml:space="preserve">정상으로 오르는 케이블카</t>
    </r>
    <r>
      <rPr>
        <sz val="10"/>
        <rFont val="Arial"/>
        <family val="0"/>
        <charset val="1"/>
      </rPr>
      <t xml:space="preserve">.</t>
    </r>
  </si>
  <si>
    <t xml:space="preserve">양산</t>
  </si>
  <si>
    <t xml:space="preserve">배내골</t>
  </si>
  <si>
    <t xml:space="preserve">Baenaegol Valley</t>
  </si>
  <si>
    <r>
      <rPr>
        <sz val="10"/>
        <rFont val="Noto Sans CJK SC"/>
        <family val="2"/>
      </rPr>
      <t xml:space="preserve">영남알프스 사이로 흐르는 여름 계곡</t>
    </r>
    <r>
      <rPr>
        <sz val="10"/>
        <rFont val="Arial"/>
        <family val="0"/>
        <charset val="1"/>
      </rPr>
      <t xml:space="preserve">.</t>
    </r>
  </si>
  <si>
    <t xml:space="preserve">배다리 헌책방거리</t>
  </si>
  <si>
    <t xml:space="preserve">Baedari Old Book Street</t>
  </si>
  <si>
    <r>
      <rPr>
        <sz val="10"/>
        <rFont val="Noto Sans CJK SC"/>
        <family val="2"/>
      </rPr>
      <t xml:space="preserve">오래된 헌책방이 줄지어 남은 골목</t>
    </r>
    <r>
      <rPr>
        <sz val="10"/>
        <rFont val="Arial"/>
        <family val="0"/>
        <charset val="1"/>
      </rPr>
      <t xml:space="preserve">.</t>
    </r>
  </si>
  <si>
    <t xml:space="preserve">배론성지</t>
  </si>
  <si>
    <t xml:space="preserve">Baeron Holy Ground</t>
  </si>
  <si>
    <r>
      <rPr>
        <sz val="10"/>
        <rFont val="Noto Sans CJK SC"/>
        <family val="2"/>
      </rPr>
      <t xml:space="preserve">초기 천주교 신자들이 숨어 살던 골짜기</t>
    </r>
    <r>
      <rPr>
        <sz val="10"/>
        <rFont val="Arial"/>
        <family val="0"/>
        <charset val="1"/>
      </rPr>
      <t xml:space="preserve">.</t>
    </r>
  </si>
  <si>
    <t xml:space="preserve">백남준아트센터</t>
  </si>
  <si>
    <t xml:space="preserve">Nam June Paik Art Center</t>
  </si>
  <si>
    <r>
      <rPr>
        <sz val="10"/>
        <rFont val="Noto Sans CJK SC"/>
        <family val="2"/>
      </rPr>
      <t xml:space="preserve">비디오 아트의 백남준을 다룬 미술관</t>
    </r>
    <r>
      <rPr>
        <sz val="10"/>
        <rFont val="Arial"/>
        <family val="0"/>
        <charset val="1"/>
      </rPr>
      <t xml:space="preserve">.</t>
    </r>
  </si>
  <si>
    <t xml:space="preserve">백담사</t>
  </si>
  <si>
    <t xml:space="preserve">Baekdamsa Temple</t>
  </si>
  <si>
    <r>
      <rPr>
        <sz val="10"/>
        <rFont val="Noto Sans CJK SC"/>
        <family val="2"/>
      </rPr>
      <t xml:space="preserve">설악산 내설악의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계곡 버스로 오른다</t>
    </r>
    <r>
      <rPr>
        <sz val="10"/>
        <rFont val="Arial"/>
        <family val="0"/>
        <charset val="1"/>
      </rPr>
      <t xml:space="preserve">.</t>
    </r>
  </si>
  <si>
    <t xml:space="preserve">백마강 황포돛배</t>
  </si>
  <si>
    <t xml:space="preserve">Baengmagang Sail Boat</t>
  </si>
  <si>
    <r>
      <rPr>
        <sz val="10"/>
        <rFont val="Noto Sans CJK SC"/>
        <family val="2"/>
      </rPr>
      <t xml:space="preserve">구드래나루에서 낙화암까지 오가는 돛배</t>
    </r>
    <r>
      <rPr>
        <sz val="10"/>
        <rFont val="Arial"/>
        <family val="0"/>
        <charset val="1"/>
      </rPr>
      <t xml:space="preserve">.</t>
    </r>
  </si>
  <si>
    <t xml:space="preserve">백마고지 전적지</t>
  </si>
  <si>
    <t xml:space="preserve">Baengmagoji Battle Site</t>
  </si>
  <si>
    <r>
      <rPr>
        <sz val="10"/>
        <rFont val="Noto Sans CJK SC"/>
        <family val="2"/>
      </rPr>
      <t xml:space="preserve">한국전쟁 최대 격전지 가운데 하나</t>
    </r>
    <r>
      <rPr>
        <sz val="10"/>
        <rFont val="Arial"/>
        <family val="0"/>
        <charset val="1"/>
      </rPr>
      <t xml:space="preserve">.</t>
    </r>
  </si>
  <si>
    <t xml:space="preserve">이천</t>
  </si>
  <si>
    <t xml:space="preserve">백사 산수유마을</t>
  </si>
  <si>
    <t xml:space="preserve">Baeksa Cornelian Cherry Village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</si>
  <si>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월이면 노란 산수유가 마을을 덮는다</t>
    </r>
    <r>
      <rPr>
        <sz val="10"/>
        <rFont val="Arial"/>
        <family val="0"/>
        <charset val="1"/>
      </rPr>
      <t xml:space="preserve">.</t>
    </r>
  </si>
  <si>
    <t xml:space="preserve">장성</t>
  </si>
  <si>
    <t xml:space="preserve">백양사</t>
  </si>
  <si>
    <t xml:space="preserve">Baekyangsa Temple</t>
  </si>
  <si>
    <r>
      <rPr>
        <sz val="10"/>
        <rFont val="Noto Sans CJK SC"/>
        <family val="2"/>
      </rPr>
      <t xml:space="preserve">내장산 국립공원의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단풍으로 알려져 있다</t>
    </r>
    <r>
      <rPr>
        <sz val="10"/>
        <rFont val="Arial"/>
        <family val="0"/>
        <charset val="1"/>
      </rPr>
      <t xml:space="preserve">.</t>
    </r>
  </si>
  <si>
    <t xml:space="preserve">백양사 권역 숙소</t>
  </si>
  <si>
    <t xml:space="preserve">Baekyangsa area stays</t>
  </si>
  <si>
    <t xml:space="preserve">백제문화단지</t>
  </si>
  <si>
    <t xml:space="preserve">Baekje Cultural Land</t>
  </si>
  <si>
    <r>
      <rPr>
        <sz val="10"/>
        <rFont val="Noto Sans CJK SC"/>
        <family val="2"/>
      </rPr>
      <t xml:space="preserve">사비 왕궁을 복원한 단지</t>
    </r>
    <r>
      <rPr>
        <sz val="10"/>
        <rFont val="Arial"/>
        <family val="0"/>
        <charset val="1"/>
      </rPr>
      <t xml:space="preserve">.</t>
    </r>
  </si>
  <si>
    <t xml:space="preserve">백제문화단지 리조트</t>
  </si>
  <si>
    <t xml:space="preserve">Baekje Cultural Land resorts</t>
  </si>
  <si>
    <t xml:space="preserve">보은</t>
  </si>
  <si>
    <t xml:space="preserve">법주사</t>
  </si>
  <si>
    <t xml:space="preserve">Beopjusa Temple</t>
  </si>
  <si>
    <r>
      <rPr>
        <sz val="10"/>
        <rFont val="Noto Sans CJK SC"/>
        <family val="2"/>
      </rPr>
      <t xml:space="preserve">속리산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팔상전 목탑이 서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산사다</t>
    </r>
    <r>
      <rPr>
        <sz val="10"/>
        <rFont val="Arial"/>
        <family val="0"/>
        <charset val="1"/>
      </rPr>
      <t xml:space="preserve">.</t>
    </r>
  </si>
  <si>
    <t xml:space="preserve">베어트리파크</t>
  </si>
  <si>
    <t xml:space="preserve">Bear Tree Park</t>
  </si>
  <si>
    <r>
      <rPr>
        <sz val="10"/>
        <rFont val="Noto Sans CJK SC"/>
        <family val="2"/>
      </rPr>
      <t xml:space="preserve">반달곰과 정원을 함께 둔 수목원</t>
    </r>
    <r>
      <rPr>
        <sz val="10"/>
        <rFont val="Arial"/>
        <family val="0"/>
        <charset val="1"/>
      </rPr>
      <t xml:space="preserve">.</t>
    </r>
  </si>
  <si>
    <t xml:space="preserve">벽초지수목원</t>
  </si>
  <si>
    <t xml:space="preserve">Byeokchoji Garden</t>
  </si>
  <si>
    <r>
      <rPr>
        <sz val="10"/>
        <rFont val="Noto Sans CJK SC"/>
        <family val="2"/>
      </rPr>
      <t xml:space="preserve">연못과 유럽식 정원을 둔 수목원</t>
    </r>
    <r>
      <rPr>
        <sz val="10"/>
        <rFont val="Arial"/>
        <family val="0"/>
        <charset val="1"/>
      </rPr>
      <t xml:space="preserve">.</t>
    </r>
  </si>
  <si>
    <t xml:space="preserve">변산해수욕장</t>
  </si>
  <si>
    <t xml:space="preserve">Byeonsan Beach</t>
  </si>
  <si>
    <r>
      <rPr>
        <sz val="10"/>
        <rFont val="Noto Sans CJK SC"/>
        <family val="2"/>
      </rPr>
      <t xml:space="preserve">완만한 서해 백사장</t>
    </r>
    <r>
      <rPr>
        <sz val="10"/>
        <rFont val="Arial"/>
        <family val="0"/>
        <charset val="1"/>
      </rPr>
      <t xml:space="preserve">.</t>
    </r>
  </si>
  <si>
    <t xml:space="preserve">병산서원</t>
  </si>
  <si>
    <t xml:space="preserve">Byeongsan Seowon</t>
  </si>
  <si>
    <r>
      <rPr>
        <sz val="10"/>
        <rFont val="Noto Sans CJK SC"/>
        <family val="2"/>
      </rPr>
      <t xml:space="preserve">만대루에서 강과 병산이 액자처럼 보이는 서원</t>
    </r>
    <r>
      <rPr>
        <sz val="10"/>
        <rFont val="Arial"/>
        <family val="0"/>
        <charset val="1"/>
      </rPr>
      <t xml:space="preserve">.</t>
    </r>
  </si>
  <si>
    <t xml:space="preserve">병천순대거리</t>
  </si>
  <si>
    <t xml:space="preserve">Byeongcheon Sundae Street</t>
  </si>
  <si>
    <r>
      <rPr>
        <sz val="10"/>
        <rFont val="Noto Sans CJK SC"/>
        <family val="2"/>
      </rPr>
      <t xml:space="preserve">병천순대 노포가 모인 거리</t>
    </r>
    <r>
      <rPr>
        <sz val="10"/>
        <rFont val="Arial"/>
        <family val="0"/>
        <charset val="1"/>
      </rPr>
      <t xml:space="preserve">.</t>
    </r>
  </si>
  <si>
    <t xml:space="preserve">보문관광단지 리조트</t>
  </si>
  <si>
    <t xml:space="preserve">Bomun Resort Complex hotels</t>
  </si>
  <si>
    <t xml:space="preserve">보성 벌교갯벌</t>
  </si>
  <si>
    <t xml:space="preserve">Beolgyo Tidal Flat</t>
  </si>
  <si>
    <r>
      <rPr>
        <sz val="10"/>
        <rFont val="Noto Sans CJK SC"/>
        <family val="2"/>
      </rPr>
      <t xml:space="preserve">유네스코 한국의 갯벌에 든 꼬막 갯벌</t>
    </r>
    <r>
      <rPr>
        <sz val="10"/>
        <rFont val="Arial"/>
        <family val="0"/>
        <charset val="1"/>
      </rPr>
      <t xml:space="preserve">.</t>
    </r>
  </si>
  <si>
    <t xml:space="preserve">보은 삼년산성</t>
  </si>
  <si>
    <t xml:space="preserve">Samnyeon Fortress</t>
  </si>
  <si>
    <r>
      <rPr>
        <sz val="10"/>
        <rFont val="Noto Sans CJK SC"/>
        <family val="2"/>
      </rPr>
      <t xml:space="preserve">신라가 삼 년에 걸쳐 쌓았다는 석성</t>
    </r>
    <r>
      <rPr>
        <sz val="10"/>
        <rFont val="Arial"/>
        <family val="0"/>
        <charset val="1"/>
      </rPr>
      <t xml:space="preserve">.</t>
    </r>
  </si>
  <si>
    <t xml:space="preserve">봉래폭포</t>
  </si>
  <si>
    <t xml:space="preserve">Bongnae Falls</t>
  </si>
  <si>
    <r>
      <rPr>
        <sz val="10"/>
        <rFont val="Noto Sans CJK SC"/>
        <family val="2"/>
      </rPr>
      <t xml:space="preserve">삼단으로 떨어지는 폭포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천연 에어컨 바람굴이 있다</t>
    </r>
    <r>
      <rPr>
        <sz val="10"/>
        <rFont val="Arial"/>
        <family val="0"/>
        <charset val="1"/>
      </rPr>
      <t xml:space="preserve">.</t>
    </r>
  </si>
  <si>
    <t xml:space="preserve">봉암사</t>
  </si>
  <si>
    <t xml:space="preserve">Bongamsa Temple</t>
  </si>
  <si>
    <r>
      <rPr>
        <sz val="10"/>
        <rFont val="Noto Sans CJK SC"/>
        <family val="2"/>
      </rPr>
      <t xml:space="preserve">구산선문의 하나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평소에는 수행 도량으로 닫혀 있다</t>
    </r>
    <r>
      <rPr>
        <sz val="10"/>
        <rFont val="Arial"/>
        <family val="0"/>
        <charset val="1"/>
      </rPr>
      <t xml:space="preserve">.</t>
    </r>
  </si>
  <si>
    <t xml:space="preserve">봉정사</t>
  </si>
  <si>
    <t xml:space="preserve">Bongjeongsa Temple</t>
  </si>
  <si>
    <r>
      <rPr>
        <sz val="10"/>
        <rFont val="Noto Sans CJK SC"/>
        <family val="2"/>
      </rPr>
      <t xml:space="preserve">극락전이 남은 최고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最古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목조건물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산사다</t>
    </r>
    <r>
      <rPr>
        <sz val="10"/>
        <rFont val="Arial"/>
        <family val="0"/>
        <charset val="1"/>
      </rPr>
      <t xml:space="preserve">.</t>
    </r>
  </si>
  <si>
    <t xml:space="preserve">봉평 이효석문화마을</t>
  </si>
  <si>
    <t xml:space="preserve">Bongpyeong Literary Village</t>
  </si>
  <si>
    <r>
      <rPr>
        <sz val="10"/>
        <rFont val="Noto Sans CJK SC"/>
        <family val="2"/>
      </rPr>
      <t xml:space="preserve">메밀꽃 필 무렵의 무대</t>
    </r>
    <r>
      <rPr>
        <sz val="10"/>
        <rFont val="Arial"/>
        <family val="0"/>
        <charset val="1"/>
      </rPr>
      <t xml:space="preserve">. 9</t>
    </r>
    <r>
      <rPr>
        <sz val="10"/>
        <rFont val="Noto Sans CJK SC"/>
        <family val="2"/>
      </rPr>
      <t xml:space="preserve">월에 메밀밭이 핀다</t>
    </r>
    <r>
      <rPr>
        <sz val="10"/>
        <rFont val="Arial"/>
        <family val="0"/>
        <charset val="1"/>
      </rPr>
      <t xml:space="preserve">.</t>
    </r>
  </si>
  <si>
    <t xml:space="preserve">봉하마을</t>
  </si>
  <si>
    <t xml:space="preserve">Bongha Village</t>
  </si>
  <si>
    <r>
      <rPr>
        <sz val="10"/>
        <rFont val="Noto Sans CJK SC"/>
        <family val="2"/>
      </rPr>
      <t xml:space="preserve">노무현 전 대통령의 생가와 묘역</t>
    </r>
    <r>
      <rPr>
        <sz val="10"/>
        <rFont val="Arial"/>
        <family val="0"/>
        <charset val="1"/>
      </rPr>
      <t xml:space="preserve">.</t>
    </r>
  </si>
  <si>
    <t xml:space="preserve">봉황동 유적</t>
  </si>
  <si>
    <t xml:space="preserve">Bonghwang-dong Relics</t>
  </si>
  <si>
    <r>
      <rPr>
        <sz val="10"/>
        <rFont val="Noto Sans CJK SC"/>
        <family val="2"/>
      </rPr>
      <t xml:space="preserve">금관가야 최대의 생활 유적지</t>
    </r>
    <r>
      <rPr>
        <sz val="10"/>
        <rFont val="Arial"/>
        <family val="0"/>
        <charset val="1"/>
      </rPr>
      <t xml:space="preserve">.</t>
    </r>
  </si>
  <si>
    <t xml:space="preserve">부산어린이대공원</t>
  </si>
  <si>
    <t xml:space="preserve">Busan Children\'s Grand Park</t>
  </si>
  <si>
    <r>
      <rPr>
        <sz val="10"/>
        <rFont val="Noto Sans CJK SC"/>
        <family val="2"/>
      </rPr>
      <t xml:space="preserve">백양산 자락의 계곡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성지곡수원지 둘레길과 학생교육문화회관이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</si>
  <si>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부산역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초량 호텔</t>
    </r>
  </si>
  <si>
    <t xml:space="preserve">Busan Stn &amp; Choryang hotels</t>
  </si>
  <si>
    <t xml:space="preserve">부석사</t>
  </si>
  <si>
    <t xml:space="preserve">Buseoksa Temple</t>
  </si>
  <si>
    <r>
      <rPr>
        <sz val="10"/>
        <rFont val="Noto Sans CJK SC"/>
        <family val="2"/>
      </rPr>
      <t xml:space="preserve">무량수전이 남은 신라 고찰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산사에 든다</t>
    </r>
    <r>
      <rPr>
        <sz val="10"/>
        <rFont val="Arial"/>
        <family val="0"/>
        <charset val="1"/>
      </rPr>
      <t xml:space="preserve">.</t>
    </r>
  </si>
  <si>
    <t xml:space="preserve">부소산 권역 숙소</t>
  </si>
  <si>
    <t xml:space="preserve">Busosan area stays</t>
  </si>
  <si>
    <t xml:space="preserve">부소산성</t>
  </si>
  <si>
    <t xml:space="preserve">Busosanseong Fortress</t>
  </si>
  <si>
    <r>
      <rPr>
        <sz val="10"/>
        <rFont val="Noto Sans CJK SC"/>
        <family val="2"/>
      </rPr>
      <t xml:space="preserve">사비 백제의 배후 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낙화암이 있다</t>
    </r>
    <r>
      <rPr>
        <sz val="10"/>
        <rFont val="Arial"/>
        <family val="0"/>
        <charset val="1"/>
      </rPr>
      <t xml:space="preserve">.</t>
    </r>
  </si>
  <si>
    <t xml:space="preserve">부여 나성</t>
  </si>
  <si>
    <t xml:space="preserve">Buyeo Naseong Wall</t>
  </si>
  <si>
    <r>
      <rPr>
        <sz val="10"/>
        <rFont val="Noto Sans CJK SC"/>
        <family val="2"/>
      </rPr>
      <t xml:space="preserve">사비 도성을 둘러싸던 외곽 성벽</t>
    </r>
    <r>
      <rPr>
        <sz val="10"/>
        <rFont val="Arial"/>
        <family val="0"/>
        <charset val="1"/>
      </rPr>
      <t xml:space="preserve">.</t>
    </r>
  </si>
  <si>
    <t xml:space="preserve">부여 무량사</t>
  </si>
  <si>
    <t xml:space="preserve">Muryangsa Temple</t>
  </si>
  <si>
    <r>
      <rPr>
        <sz val="10"/>
        <rFont val="Noto Sans CJK SC"/>
        <family val="2"/>
      </rPr>
      <t xml:space="preserve">만수산 자락의 조선 전기 목조 불전</t>
    </r>
    <r>
      <rPr>
        <sz val="10"/>
        <rFont val="Arial"/>
        <family val="0"/>
        <charset val="1"/>
      </rPr>
      <t xml:space="preserve">.</t>
    </r>
  </si>
  <si>
    <t xml:space="preserve">부여 서동공원</t>
  </si>
  <si>
    <t xml:space="preserve">Seodong Park</t>
  </si>
  <si>
    <r>
      <rPr>
        <sz val="10"/>
        <rFont val="Noto Sans CJK SC"/>
        <family val="2"/>
      </rPr>
      <t xml:space="preserve">궁남지에 이어진 연꽃 산책 공원</t>
    </r>
    <r>
      <rPr>
        <sz val="10"/>
        <rFont val="Arial"/>
        <family val="0"/>
        <charset val="1"/>
      </rPr>
      <t xml:space="preserve">.</t>
    </r>
  </si>
  <si>
    <t xml:space="preserve">부여전통시장</t>
  </si>
  <si>
    <t xml:space="preserve">Buyeo Traditional Market</t>
  </si>
  <si>
    <r>
      <rPr>
        <sz val="10"/>
        <rFont val="Noto Sans CJK SC"/>
        <family val="2"/>
      </rPr>
      <t xml:space="preserve">연잎밥과 굿뜨래 농산물이 나오는 오일장</t>
    </r>
    <r>
      <rPr>
        <sz val="10"/>
        <rFont val="Arial"/>
        <family val="0"/>
        <charset val="1"/>
      </rPr>
      <t xml:space="preserve">.</t>
    </r>
  </si>
  <si>
    <t xml:space="preserve">부용대</t>
  </si>
  <si>
    <t xml:space="preserve">Buyongdae</t>
  </si>
  <si>
    <r>
      <rPr>
        <sz val="10"/>
        <rFont val="Noto Sans CJK SC"/>
        <family val="2"/>
      </rPr>
      <t xml:space="preserve">하회마을이 한눈에 보이는 절벽</t>
    </r>
    <r>
      <rPr>
        <sz val="10"/>
        <rFont val="Arial"/>
        <family val="0"/>
        <charset val="1"/>
      </rPr>
      <t xml:space="preserve">.</t>
    </r>
  </si>
  <si>
    <t xml:space="preserve">북서울꿈의숲</t>
  </si>
  <si>
    <t xml:space="preserve">Dream Forest</t>
  </si>
  <si>
    <r>
      <rPr>
        <sz val="10"/>
        <rFont val="Noto Sans CJK SC"/>
        <family val="2"/>
      </rPr>
      <t xml:space="preserve">전망대와 미술관을 둔 강북 최대 공원</t>
    </r>
    <r>
      <rPr>
        <sz val="10"/>
        <rFont val="Arial"/>
        <family val="0"/>
        <charset val="1"/>
      </rPr>
      <t xml:space="preserve">.</t>
    </r>
  </si>
  <si>
    <t xml:space="preserve">북정리 고분군</t>
  </si>
  <si>
    <t xml:space="preserve">Bukjeong-ri Tombs</t>
  </si>
  <si>
    <r>
      <rPr>
        <sz val="10"/>
        <rFont val="Noto Sans CJK SC"/>
        <family val="2"/>
      </rPr>
      <t xml:space="preserve">삼국시대 양산 세력의 봉토분 무리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</si>
  <si>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북촌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익선동 한옥 스테이</t>
    </r>
  </si>
  <si>
    <t xml:space="preserve">Bukchon &amp; Ikseon hanok stays</t>
  </si>
  <si>
    <t xml:space="preserve">북한강철교</t>
  </si>
  <si>
    <t xml:space="preserve">Bukhangang Rail Bridge</t>
  </si>
  <si>
    <r>
      <rPr>
        <sz val="10"/>
        <rFont val="Noto Sans CJK SC"/>
        <family val="2"/>
      </rPr>
      <t xml:space="preserve">폐철교를 자전거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도보길로 바꾼 강 위 다리</t>
    </r>
    <r>
      <rPr>
        <sz val="10"/>
        <rFont val="Arial"/>
        <family val="0"/>
        <charset val="1"/>
      </rPr>
      <t xml:space="preserve">.</t>
    </r>
  </si>
  <si>
    <t xml:space="preserve">분원백자자료관</t>
  </si>
  <si>
    <t xml:space="preserve">Bunwon White Porcelain Museum</t>
  </si>
  <si>
    <r>
      <rPr>
        <sz val="10"/>
        <rFont val="Noto Sans CJK SC"/>
        <family val="2"/>
      </rPr>
      <t xml:space="preserve">조선 왕실 백자를 굽던 관요 터의 자료관</t>
    </r>
    <r>
      <rPr>
        <sz val="10"/>
        <rFont val="Arial"/>
        <family val="0"/>
        <charset val="1"/>
      </rPr>
      <t xml:space="preserve">.</t>
    </r>
  </si>
  <si>
    <t xml:space="preserve">분청도자박물관</t>
  </si>
  <si>
    <t xml:space="preserve">Buncheong Ceramics Museum</t>
  </si>
  <si>
    <r>
      <rPr>
        <sz val="10"/>
        <rFont val="Noto Sans CJK SC"/>
        <family val="2"/>
      </rPr>
      <t xml:space="preserve">분청사기를 다룬 도자 박물관</t>
    </r>
    <r>
      <rPr>
        <sz val="10"/>
        <rFont val="Arial"/>
        <family val="0"/>
        <charset val="1"/>
      </rPr>
      <t xml:space="preserve">.</t>
    </r>
  </si>
  <si>
    <t xml:space="preserve">양주</t>
  </si>
  <si>
    <t xml:space="preserve">불곡산</t>
  </si>
  <si>
    <t xml:space="preserve">Bulgoksan</t>
  </si>
  <si>
    <r>
      <rPr>
        <sz val="10"/>
        <rFont val="Noto Sans CJK SC"/>
        <family val="2"/>
      </rPr>
      <t xml:space="preserve">바위 능선이 이어지는 양주 진산</t>
    </r>
    <r>
      <rPr>
        <sz val="10"/>
        <rFont val="Arial"/>
        <family val="0"/>
        <charset val="1"/>
      </rPr>
      <t xml:space="preserve">.</t>
    </r>
  </si>
  <si>
    <t xml:space="preserve">불영사</t>
  </si>
  <si>
    <t xml:space="preserve">Buryeongsa Temple</t>
  </si>
  <si>
    <r>
      <rPr>
        <sz val="10"/>
        <rFont val="Noto Sans CJK SC"/>
        <family val="2"/>
      </rPr>
      <t xml:space="preserve">불영계곡 안의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금강송 숲을 지난다</t>
    </r>
    <r>
      <rPr>
        <sz val="10"/>
        <rFont val="Arial"/>
        <family val="0"/>
        <charset val="1"/>
      </rPr>
      <t xml:space="preserve">.</t>
    </r>
  </si>
  <si>
    <t xml:space="preserve">비둘기낭폭포</t>
  </si>
  <si>
    <t xml:space="preserve">Bidulginang Falls</t>
  </si>
  <si>
    <r>
      <rPr>
        <sz val="10"/>
        <rFont val="Noto Sans CJK SC"/>
        <family val="2"/>
      </rPr>
      <t xml:space="preserve">현무암 협곡 안의 폭포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천연기념물이다</t>
    </r>
    <r>
      <rPr>
        <sz val="10"/>
        <rFont val="Arial"/>
        <family val="0"/>
        <charset val="1"/>
      </rPr>
      <t xml:space="preserve">.</t>
    </r>
  </si>
  <si>
    <t xml:space="preserve">비자림로 삼나무길</t>
  </si>
  <si>
    <t xml:space="preserve">Bijarim-ro Cedar Road</t>
  </si>
  <si>
    <r>
      <rPr>
        <sz val="10"/>
        <rFont val="Noto Sans CJK SC"/>
        <family val="2"/>
      </rPr>
      <t xml:space="preserve">삼나무가 늘어선 드라이브 길</t>
    </r>
    <r>
      <rPr>
        <sz val="10"/>
        <rFont val="Arial"/>
        <family val="0"/>
        <charset val="1"/>
      </rPr>
      <t xml:space="preserve">.</t>
    </r>
  </si>
  <si>
    <t xml:space="preserve">비진도</t>
  </si>
  <si>
    <t xml:space="preserve">Bijindo</t>
  </si>
  <si>
    <r>
      <rPr>
        <sz val="10"/>
        <rFont val="Noto Sans CJK SC"/>
        <family val="2"/>
      </rPr>
      <t xml:space="preserve">모래 사주가 두 섬을 잇는 해수욕 섬</t>
    </r>
    <r>
      <rPr>
        <sz val="10"/>
        <rFont val="Arial"/>
        <family val="0"/>
        <charset val="1"/>
      </rPr>
      <t xml:space="preserve">.</t>
    </r>
  </si>
  <si>
    <t xml:space="preserve">뿌리공원</t>
  </si>
  <si>
    <t xml:space="preserve">Ppuri Park</t>
  </si>
  <si>
    <r>
      <rPr>
        <sz val="10"/>
        <rFont val="Noto Sans CJK SC"/>
        <family val="2"/>
      </rPr>
      <t xml:space="preserve">성씨 조형물 </t>
    </r>
    <r>
      <rPr>
        <sz val="10"/>
        <rFont val="Arial"/>
        <family val="0"/>
        <charset val="1"/>
      </rPr>
      <t xml:space="preserve">244</t>
    </r>
    <r>
      <rPr>
        <sz val="10"/>
        <rFont val="Noto Sans CJK SC"/>
        <family val="2"/>
      </rPr>
      <t xml:space="preserve">기가 놓인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족보박물관이 함께 있다</t>
    </r>
    <r>
      <rPr>
        <sz val="10"/>
        <rFont val="Arial"/>
        <family val="0"/>
        <charset val="1"/>
      </rPr>
      <t xml:space="preserve">.</t>
    </r>
  </si>
  <si>
    <t xml:space="preserve">뿌리깊은나무박물관</t>
  </si>
  <si>
    <t xml:space="preserve">Deep-rooted Tree Museum</t>
  </si>
  <si>
    <r>
      <rPr>
        <sz val="10"/>
        <rFont val="Noto Sans CJK SC"/>
        <family val="2"/>
      </rPr>
      <t xml:space="preserve">낙안읍성 옆 민속 유물 박물관</t>
    </r>
    <r>
      <rPr>
        <sz val="10"/>
        <rFont val="Arial"/>
        <family val="0"/>
        <charset val="1"/>
      </rPr>
      <t xml:space="preserve">.</t>
    </r>
  </si>
  <si>
    <t xml:space="preserve">쁘띠프랑스</t>
  </si>
  <si>
    <t xml:space="preserve">Petite France</t>
  </si>
  <si>
    <r>
      <rPr>
        <sz val="10"/>
        <rFont val="Noto Sans CJK SC"/>
        <family val="2"/>
      </rPr>
      <t xml:space="preserve">어린왕자를 주제로 한 프랑스 마을 세트</t>
    </r>
    <r>
      <rPr>
        <sz val="10"/>
        <rFont val="Arial"/>
        <family val="0"/>
        <charset val="1"/>
      </rPr>
      <t xml:space="preserve">.</t>
    </r>
  </si>
  <si>
    <t xml:space="preserve">사인암</t>
  </si>
  <si>
    <t xml:space="preserve">Sainam</t>
  </si>
  <si>
    <r>
      <rPr>
        <sz val="10"/>
        <rFont val="Noto Sans CJK SC"/>
        <family val="2"/>
      </rPr>
      <t xml:space="preserve">단양팔경의 하나인 수직 암벽</t>
    </r>
    <r>
      <rPr>
        <sz val="10"/>
        <rFont val="Arial"/>
        <family val="0"/>
        <charset val="1"/>
      </rPr>
      <t xml:space="preserve">.</t>
    </r>
  </si>
  <si>
    <t xml:space="preserve">사직공원 전망타워</t>
  </si>
  <si>
    <t xml:space="preserve">Sajik Park Tower</t>
  </si>
  <si>
    <r>
      <rPr>
        <sz val="10"/>
        <rFont val="Noto Sans CJK SC"/>
        <family val="2"/>
      </rPr>
      <t xml:space="preserve">무등산과 도심 야경이 보이는 전망대</t>
    </r>
    <r>
      <rPr>
        <sz val="10"/>
        <rFont val="Arial"/>
        <family val="0"/>
        <charset val="1"/>
      </rPr>
      <t xml:space="preserve">.</t>
    </r>
  </si>
  <si>
    <t xml:space="preserve">사천</t>
  </si>
  <si>
    <t xml:space="preserve">사천 바다케이블카</t>
  </si>
  <si>
    <t xml:space="preserve">Sacheon Sea Cable Car</t>
  </si>
  <si>
    <r>
      <rPr>
        <sz val="10"/>
        <rFont val="Noto Sans CJK SC"/>
        <family val="2"/>
      </rPr>
      <t xml:space="preserve">초양도와 각산을 잇는 해상 케이블카</t>
    </r>
    <r>
      <rPr>
        <sz val="10"/>
        <rFont val="Arial"/>
        <family val="0"/>
        <charset val="1"/>
      </rPr>
      <t xml:space="preserve">.</t>
    </r>
  </si>
  <si>
    <t xml:space="preserve">사천 항공우주박물관</t>
  </si>
  <si>
    <t xml:space="preserve">Sacheon Aerospace Museum</t>
  </si>
  <si>
    <r>
      <rPr>
        <sz val="10"/>
        <rFont val="Noto Sans CJK SC"/>
        <family val="2"/>
      </rPr>
      <t xml:space="preserve">실물 항공기를 전시한 우주항공 박물관</t>
    </r>
    <r>
      <rPr>
        <sz val="10"/>
        <rFont val="Arial"/>
        <family val="0"/>
        <charset val="1"/>
      </rPr>
      <t xml:space="preserve">.</t>
    </r>
  </si>
  <si>
    <t xml:space="preserve">사천읍성</t>
  </si>
  <si>
    <t xml:space="preserve">Sacheon Fortress</t>
  </si>
  <si>
    <r>
      <rPr>
        <sz val="10"/>
        <rFont val="Noto Sans CJK SC"/>
        <family val="2"/>
      </rPr>
      <t xml:space="preserve">조선 읍성의 성벽과 수양공원</t>
    </r>
    <r>
      <rPr>
        <sz val="10"/>
        <rFont val="Arial"/>
        <family val="0"/>
        <charset val="1"/>
      </rPr>
      <t xml:space="preserve">.</t>
    </r>
  </si>
  <si>
    <t xml:space="preserve">산정호수</t>
  </si>
  <si>
    <t xml:space="preserve">Sanjeong Lake</t>
  </si>
  <si>
    <r>
      <rPr>
        <sz val="10"/>
        <rFont val="Noto Sans CJK SC"/>
        <family val="2"/>
      </rPr>
      <t xml:space="preserve">명성산 자락의 호수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둘레길이 돈다</t>
    </r>
    <r>
      <rPr>
        <sz val="10"/>
        <rFont val="Arial"/>
        <family val="0"/>
        <charset val="1"/>
      </rPr>
      <t xml:space="preserve">.</t>
    </r>
  </si>
  <si>
    <t xml:space="preserve">산정호수 권역 숙소</t>
  </si>
  <si>
    <t xml:space="preserve">Sanjeong Lake stays</t>
  </si>
  <si>
    <t xml:space="preserve">삼도수군통제영</t>
  </si>
  <si>
    <t xml:space="preserve">Tongjeyeong Naval HQ</t>
  </si>
  <si>
    <r>
      <rPr>
        <sz val="10"/>
        <rFont val="Noto Sans CJK SC"/>
        <family val="2"/>
      </rPr>
      <t xml:space="preserve">조선 수군 총사령부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세병관이 국보로 남아 있다</t>
    </r>
    <r>
      <rPr>
        <sz val="10"/>
        <rFont val="Arial"/>
        <family val="0"/>
        <charset val="1"/>
      </rPr>
      <t xml:space="preserve">.</t>
    </r>
  </si>
  <si>
    <t xml:space="preserve">삼부연폭포</t>
  </si>
  <si>
    <t xml:space="preserve">Sambuyeon Falls</t>
  </si>
  <si>
    <r>
      <rPr>
        <sz val="10"/>
        <rFont val="Noto Sans CJK SC"/>
        <family val="2"/>
      </rPr>
      <t xml:space="preserve">바위벽을 세 단으로 떨어지는 폭포</t>
    </r>
    <r>
      <rPr>
        <sz val="10"/>
        <rFont val="Arial"/>
        <family val="0"/>
        <charset val="1"/>
      </rPr>
      <t xml:space="preserve">.</t>
    </r>
  </si>
  <si>
    <t xml:space="preserve">삼성궁</t>
  </si>
  <si>
    <t xml:space="preserve">Samseonggung</t>
  </si>
  <si>
    <r>
      <rPr>
        <sz val="10"/>
        <rFont val="Noto Sans CJK SC"/>
        <family val="2"/>
      </rPr>
      <t xml:space="preserve">돌탑이 숲을 이룬 지리산 속 수련장</t>
    </r>
    <r>
      <rPr>
        <sz val="10"/>
        <rFont val="Arial"/>
        <family val="0"/>
        <charset val="1"/>
      </rPr>
      <t xml:space="preserve">.</t>
    </r>
  </si>
  <si>
    <t xml:space="preserve">삼양검은모래해변</t>
  </si>
  <si>
    <t xml:space="preserve">Samyang Black Sand Beach</t>
  </si>
  <si>
    <r>
      <rPr>
        <sz val="10"/>
        <rFont val="Noto Sans CJK SC"/>
        <family val="2"/>
      </rPr>
      <t xml:space="preserve">검은 화산 모래가 깔린 해변</t>
    </r>
    <r>
      <rPr>
        <sz val="10"/>
        <rFont val="Arial"/>
        <family val="0"/>
        <charset val="1"/>
      </rPr>
      <t xml:space="preserve">.</t>
    </r>
  </si>
  <si>
    <t xml:space="preserve">삼척해변 숙소</t>
  </si>
  <si>
    <t xml:space="preserve">Samcheok Beach stays</t>
  </si>
  <si>
    <t xml:space="preserve">삼척해수욕장</t>
  </si>
  <si>
    <t xml:space="preserve">Samcheok Beach</t>
  </si>
  <si>
    <r>
      <rPr>
        <sz val="10"/>
        <rFont val="Noto Sans CJK SC"/>
        <family val="2"/>
      </rPr>
      <t xml:space="preserve">솔숲을 낀 넓은 백사장</t>
    </r>
    <r>
      <rPr>
        <sz val="10"/>
        <rFont val="Arial"/>
        <family val="0"/>
        <charset val="1"/>
      </rPr>
      <t xml:space="preserve">.</t>
    </r>
  </si>
  <si>
    <t xml:space="preserve">삼천포용궁수산시장</t>
  </si>
  <si>
    <t xml:space="preserve">Samcheonpo Fish Market</t>
  </si>
  <si>
    <r>
      <rPr>
        <sz val="10"/>
        <rFont val="Noto Sans CJK SC"/>
        <family val="2"/>
      </rPr>
      <t xml:space="preserve">삼천포항의 활어시장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회와 쥐포가 난다</t>
    </r>
    <r>
      <rPr>
        <sz val="10"/>
        <rFont val="Arial"/>
        <family val="0"/>
        <charset val="1"/>
      </rPr>
      <t xml:space="preserve">.</t>
    </r>
  </si>
  <si>
    <t xml:space="preserve">삼천포항 권역 숙소</t>
  </si>
  <si>
    <t xml:space="preserve">Samcheonpo port stays</t>
  </si>
  <si>
    <t xml:space="preserve">삼탄아트마인</t>
  </si>
  <si>
    <t xml:space="preserve">Samtan Art Mine</t>
  </si>
  <si>
    <r>
      <rPr>
        <sz val="10"/>
        <rFont val="Noto Sans CJK SC"/>
        <family val="2"/>
      </rPr>
      <t xml:space="preserve">폐광 시설을 그대로 둔 예술 단지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갱도와 세탁실이 전시장이다</t>
    </r>
    <r>
      <rPr>
        <sz val="10"/>
        <rFont val="Arial"/>
        <family val="0"/>
        <charset val="1"/>
      </rPr>
      <t xml:space="preserve">.</t>
    </r>
  </si>
  <si>
    <t xml:space="preserve">당진</t>
  </si>
  <si>
    <t xml:space="preserve">삽교호 함상공원</t>
  </si>
  <si>
    <t xml:space="preserve">Sapgyoho Warship Park</t>
  </si>
  <si>
    <r>
      <rPr>
        <sz val="10"/>
        <rFont val="Noto Sans CJK SC"/>
        <family val="2"/>
      </rPr>
      <t xml:space="preserve">퇴역 군함을 전시한 호숫가 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</si>
  <si>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상남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용지 권역 호텔</t>
    </r>
  </si>
  <si>
    <t xml:space="preserve">Sangnam &amp; Yongji hotels</t>
  </si>
  <si>
    <t xml:space="preserve">상남시장</t>
  </si>
  <si>
    <t xml:space="preserve">Sangnam Market</t>
  </si>
  <si>
    <r>
      <rPr>
        <sz val="10"/>
        <rFont val="Noto Sans CJK SC"/>
        <family val="2"/>
      </rPr>
      <t xml:space="preserve">창원 도심의 상설시장</t>
    </r>
    <r>
      <rPr>
        <sz val="10"/>
        <rFont val="Arial"/>
        <family val="0"/>
        <charset val="1"/>
      </rPr>
      <t xml:space="preserve">.</t>
    </r>
  </si>
  <si>
    <t xml:space="preserve">상당산성</t>
  </si>
  <si>
    <t xml:space="preserve">Sangdangsanseong</t>
  </si>
  <si>
    <r>
      <rPr>
        <sz val="10"/>
        <rFont val="Noto Sans CJK SC"/>
        <family val="2"/>
      </rPr>
      <t xml:space="preserve">도심을 두른 조선 산성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성곽길이 돈다</t>
    </r>
    <r>
      <rPr>
        <sz val="10"/>
        <rFont val="Arial"/>
        <family val="0"/>
        <charset val="1"/>
      </rPr>
      <t xml:space="preserve">.</t>
    </r>
  </si>
  <si>
    <t xml:space="preserve">상림 권역 숙소</t>
  </si>
  <si>
    <t xml:space="preserve">Sangnim area stays</t>
  </si>
  <si>
    <t xml:space="preserve">상림공원</t>
  </si>
  <si>
    <t xml:space="preserve">Sangnim Park</t>
  </si>
  <si>
    <r>
      <rPr>
        <sz val="10"/>
        <rFont val="Noto Sans CJK SC"/>
        <family val="2"/>
      </rPr>
      <t xml:space="preserve">최치원이 조성했다는 천년 숲</t>
    </r>
    <r>
      <rPr>
        <sz val="10"/>
        <rFont val="Arial"/>
        <family val="0"/>
        <charset val="1"/>
      </rPr>
      <t xml:space="preserve">.</t>
    </r>
  </si>
  <si>
    <t xml:space="preserve">상족암 권역 펜션</t>
  </si>
  <si>
    <t xml:space="preserve">Sangjogam area pensions</t>
  </si>
  <si>
    <t xml:space="preserve">상족암군립공원</t>
  </si>
  <si>
    <t xml:space="preserve">Sangjogam Park</t>
  </si>
  <si>
    <r>
      <rPr>
        <sz val="10"/>
        <rFont val="Noto Sans CJK SC"/>
        <family val="2"/>
      </rPr>
      <t xml:space="preserve">공룡 발자국이 남은 해안 절벽</t>
    </r>
    <r>
      <rPr>
        <sz val="10"/>
        <rFont val="Arial"/>
        <family val="0"/>
        <charset val="1"/>
      </rPr>
      <t xml:space="preserve">.</t>
    </r>
  </si>
  <si>
    <t xml:space="preserve">상주 시내 숙소</t>
  </si>
  <si>
    <t xml:space="preserve">Sangju town stays</t>
  </si>
  <si>
    <t xml:space="preserve">상주 자전거박물관</t>
  </si>
  <si>
    <t xml:space="preserve">Sangju Bicycle Museum</t>
  </si>
  <si>
    <r>
      <rPr>
        <sz val="10"/>
        <rFont val="Noto Sans CJK SC"/>
        <family val="2"/>
      </rPr>
      <t xml:space="preserve">자전거 도시 상주의 박물관</t>
    </r>
    <r>
      <rPr>
        <sz val="10"/>
        <rFont val="Arial"/>
        <family val="0"/>
        <charset val="1"/>
      </rPr>
      <t xml:space="preserve">.</t>
    </r>
  </si>
  <si>
    <t xml:space="preserve">상주은모래 해변 숙소</t>
  </si>
  <si>
    <t xml:space="preserve">Sangju Beach stays</t>
  </si>
  <si>
    <t xml:space="preserve">상주은모래비치</t>
  </si>
  <si>
    <t xml:space="preserve">Sangju Silver Sand Beach</t>
  </si>
  <si>
    <r>
      <rPr>
        <sz val="10"/>
        <rFont val="Noto Sans CJK SC"/>
        <family val="2"/>
      </rPr>
      <t xml:space="preserve">반달 모양의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금산이 뒤를 감싼다</t>
    </r>
    <r>
      <rPr>
        <sz val="10"/>
        <rFont val="Arial"/>
        <family val="0"/>
        <charset val="1"/>
      </rPr>
      <t xml:space="preserve">.</t>
    </r>
  </si>
  <si>
    <t xml:space="preserve">새마을운동테마공원</t>
  </si>
  <si>
    <t xml:space="preserve">Saemaul Movement Park</t>
  </si>
  <si>
    <r>
      <rPr>
        <sz val="10"/>
        <rFont val="Arial"/>
        <family val="0"/>
        <charset val="1"/>
      </rPr>
      <t xml:space="preserve">1970</t>
    </r>
    <r>
      <rPr>
        <sz val="10"/>
        <rFont val="Noto Sans CJK SC"/>
        <family val="2"/>
      </rPr>
      <t xml:space="preserve">년대 새마을운동을 다룬 전시공원</t>
    </r>
    <r>
      <rPr>
        <sz val="10"/>
        <rFont val="Arial"/>
        <family val="0"/>
        <charset val="1"/>
      </rPr>
      <t xml:space="preserve">.</t>
    </r>
  </si>
  <si>
    <t xml:space="preserve">새만금방조제</t>
  </si>
  <si>
    <t xml:space="preserve">Saemangeum Seawall</t>
  </si>
  <si>
    <r>
      <rPr>
        <sz val="10"/>
        <rFont val="Noto Sans CJK SC"/>
        <family val="2"/>
      </rPr>
      <t xml:space="preserve">세계 최장 </t>
    </r>
    <r>
      <rPr>
        <sz val="10"/>
        <rFont val="Arial"/>
        <family val="0"/>
        <charset val="1"/>
      </rPr>
      <t xml:space="preserve">33km </t>
    </r>
    <r>
      <rPr>
        <sz val="10"/>
        <rFont val="Noto Sans CJK SC"/>
        <family val="2"/>
      </rPr>
      <t xml:space="preserve">방조제 드라이브</t>
    </r>
    <r>
      <rPr>
        <sz val="10"/>
        <rFont val="Arial"/>
        <family val="0"/>
        <charset val="1"/>
      </rPr>
      <t xml:space="preserve">.</t>
    </r>
  </si>
  <si>
    <t xml:space="preserve">서귀포 중문 리조트</t>
  </si>
  <si>
    <t xml:space="preserve">Jungmun resorts</t>
  </si>
  <si>
    <t xml:space="preserve">서귀포 치유의숲</t>
  </si>
  <si>
    <t xml:space="preserve">Healing Forest</t>
  </si>
  <si>
    <r>
      <rPr>
        <sz val="10"/>
        <rFont val="Noto Sans CJK SC"/>
        <family val="2"/>
      </rPr>
      <t xml:space="preserve">편백과 삼나무 사이로 난 치유 숲길</t>
    </r>
    <r>
      <rPr>
        <sz val="10"/>
        <rFont val="Arial"/>
        <family val="0"/>
        <charset val="1"/>
      </rPr>
      <t xml:space="preserve">.</t>
    </r>
  </si>
  <si>
    <t xml:space="preserve">서문시장</t>
  </si>
  <si>
    <t xml:space="preserve">Seomun Market</t>
  </si>
  <si>
    <r>
      <rPr>
        <sz val="10"/>
        <rFont val="Noto Sans CJK SC"/>
        <family val="2"/>
      </rPr>
      <t xml:space="preserve">조선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 시장에서 이어진 대구 최대 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저녁에는 야시장이 선다</t>
    </r>
    <r>
      <rPr>
        <sz val="10"/>
        <rFont val="Arial"/>
        <family val="0"/>
        <charset val="1"/>
      </rPr>
      <t xml:space="preserve">.</t>
    </r>
  </si>
  <si>
    <t xml:space="preserve">서문시장 야시장</t>
  </si>
  <si>
    <t xml:space="preserve">Seomun Night Market</t>
  </si>
  <si>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여 매대가 서는 대구의 야시장</t>
    </r>
    <r>
      <rPr>
        <sz val="10"/>
        <rFont val="Arial"/>
        <family val="0"/>
        <charset val="1"/>
      </rPr>
      <t xml:space="preserve">.</t>
    </r>
  </si>
  <si>
    <t xml:space="preserve">서산 마애여래삼존상</t>
  </si>
  <si>
    <t xml:space="preserve">Seosan Rock-carved Triad</t>
  </si>
  <si>
    <r>
      <rPr>
        <sz val="10"/>
        <rFont val="Noto Sans CJK SC"/>
        <family val="2"/>
      </rPr>
      <t xml:space="preserve">백제의 미소로 불리는 바위 삼존불</t>
    </r>
    <r>
      <rPr>
        <sz val="10"/>
        <rFont val="Arial"/>
        <family val="0"/>
        <charset val="1"/>
      </rPr>
      <t xml:space="preserve">.</t>
    </r>
  </si>
  <si>
    <t xml:space="preserve">서산동 시화골목</t>
  </si>
  <si>
    <t xml:space="preserve">Seosan-dong Poetry Alley</t>
  </si>
  <si>
    <r>
      <rPr>
        <sz val="10"/>
        <rFont val="Noto Sans CJK SC"/>
        <family val="2"/>
      </rPr>
      <t xml:space="preserve">주민의 시와 그림이 붙은 계단 골목</t>
    </r>
    <r>
      <rPr>
        <sz val="10"/>
        <rFont val="Arial"/>
        <family val="0"/>
        <charset val="1"/>
      </rPr>
      <t xml:space="preserve">.</t>
    </r>
  </si>
  <si>
    <t xml:space="preserve">서오릉</t>
  </si>
  <si>
    <t xml:space="preserve">Seooreung Royal Tombs</t>
  </si>
  <si>
    <r>
      <rPr>
        <sz val="10"/>
        <rFont val="Noto Sans CJK SC"/>
        <family val="2"/>
      </rPr>
      <t xml:space="preserve">조선 왕릉 다섯 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</si>
  <si>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서울대공원</t>
  </si>
  <si>
    <t xml:space="preserve">Seoul Grand Park</t>
  </si>
  <si>
    <r>
      <rPr>
        <sz val="10"/>
        <rFont val="Noto Sans CJK SC"/>
        <family val="2"/>
      </rPr>
      <t xml:space="preserve">동물원과 식물원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둘레길을 갖춘 공원</t>
    </r>
    <r>
      <rPr>
        <sz val="10"/>
        <rFont val="Arial"/>
        <family val="0"/>
        <charset val="1"/>
      </rPr>
      <t xml:space="preserve">.</t>
    </r>
  </si>
  <si>
    <t xml:space="preserve">서울랜드</t>
  </si>
  <si>
    <t xml:space="preserve">Seoul Land</t>
  </si>
  <si>
    <r>
      <rPr>
        <sz val="10"/>
        <rFont val="Noto Sans CJK SC"/>
        <family val="2"/>
      </rPr>
      <t xml:space="preserve">대공원 옆 놀이공원</t>
    </r>
    <r>
      <rPr>
        <sz val="10"/>
        <rFont val="Arial"/>
        <family val="0"/>
        <charset val="1"/>
      </rPr>
      <t xml:space="preserve">.</t>
    </r>
  </si>
  <si>
    <t xml:space="preserve">서울어린이대공원</t>
  </si>
  <si>
    <t xml:space="preserve">Seoul Children\'s Grand Park</t>
  </si>
  <si>
    <r>
      <rPr>
        <sz val="10"/>
        <rFont val="Noto Sans CJK SC"/>
        <family val="2"/>
      </rPr>
      <t xml:space="preserve">동물원과 식물원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놀이동산이 한 울타리에 있는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어린이대공원역에서 바로 이어진다</t>
    </r>
    <r>
      <rPr>
        <sz val="10"/>
        <rFont val="Arial"/>
        <family val="0"/>
        <charset val="1"/>
      </rPr>
      <t xml:space="preserve">.</t>
    </r>
  </si>
  <si>
    <t xml:space="preserve">서천 갯벌</t>
  </si>
  <si>
    <t xml:space="preserve">Seocheon Tidal Flat</t>
  </si>
  <si>
    <r>
      <rPr>
        <sz val="10"/>
        <rFont val="Noto Sans CJK SC"/>
        <family val="2"/>
      </rPr>
      <t xml:space="preserve">유네스코 한국의 갯벌에 든 서해 갯벌</t>
    </r>
    <r>
      <rPr>
        <sz val="10"/>
        <rFont val="Arial"/>
        <family val="0"/>
        <charset val="1"/>
      </rPr>
      <t xml:space="preserve">.</t>
    </r>
  </si>
  <si>
    <t xml:space="preserve">서피랑공원</t>
  </si>
  <si>
    <t xml:space="preserve">Seopirang Park</t>
  </si>
  <si>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계단과 피아노 계단이 있는 언덕 마을</t>
    </r>
    <r>
      <rPr>
        <sz val="10"/>
        <rFont val="Arial"/>
        <family val="0"/>
        <charset val="1"/>
      </rPr>
      <t xml:space="preserve">.</t>
    </r>
  </si>
  <si>
    <t xml:space="preserve">서피비치</t>
  </si>
  <si>
    <t xml:space="preserve">Surfyy Beach</t>
  </si>
  <si>
    <r>
      <rPr>
        <sz val="10"/>
        <rFont val="Noto Sans CJK SC"/>
        <family val="2"/>
      </rPr>
      <t xml:space="preserve">서핑 전용으로 연 해변 라운지</t>
    </r>
    <r>
      <rPr>
        <sz val="10"/>
        <rFont val="Arial"/>
        <family val="0"/>
        <charset val="1"/>
      </rPr>
      <t xml:space="preserve">.</t>
    </r>
  </si>
  <si>
    <t xml:space="preserve">서피비치 권역 스테이</t>
  </si>
  <si>
    <t xml:space="preserve">Surfyy Beach stays</t>
  </si>
  <si>
    <t xml:space="preserve">석남사</t>
  </si>
  <si>
    <t xml:space="preserve">Seoknamsa Temple</t>
  </si>
  <si>
    <r>
      <rPr>
        <sz val="10"/>
        <rFont val="Noto Sans CJK SC"/>
        <family val="2"/>
      </rPr>
      <t xml:space="preserve">가지산 자락의 비구니 수행 도량</t>
    </r>
    <r>
      <rPr>
        <sz val="10"/>
        <rFont val="Arial"/>
        <family val="0"/>
        <charset val="1"/>
      </rPr>
      <t xml:space="preserve">.</t>
    </r>
  </si>
  <si>
    <t xml:space="preserve">선교장</t>
  </si>
  <si>
    <t xml:space="preserve">Seongyojang House</t>
  </si>
  <si>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년 된 사대부 저택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연못 위 활래정이 있다</t>
    </r>
    <r>
      <rPr>
        <sz val="10"/>
        <rFont val="Arial"/>
        <family val="0"/>
        <charset val="1"/>
      </rPr>
      <t xml:space="preserve">.</t>
    </r>
  </si>
  <si>
    <t xml:space="preserve">선비촌</t>
  </si>
  <si>
    <t xml:space="preserve">Seonbichon</t>
  </si>
  <si>
    <r>
      <rPr>
        <sz val="10"/>
        <rFont val="Noto Sans CJK SC"/>
        <family val="2"/>
      </rPr>
      <t xml:space="preserve">조선 선비의 살림집을 재현한 마을</t>
    </r>
    <r>
      <rPr>
        <sz val="10"/>
        <rFont val="Arial"/>
        <family val="0"/>
        <charset val="1"/>
      </rPr>
      <t xml:space="preserve">.</t>
    </r>
  </si>
  <si>
    <t xml:space="preserve">선비촌 한옥 스테이</t>
  </si>
  <si>
    <t xml:space="preserve">Seonbichon hanok stays</t>
  </si>
  <si>
    <t xml:space="preserve">선암사</t>
  </si>
  <si>
    <t xml:space="preserve">Seonamsa Temple</t>
  </si>
  <si>
    <r>
      <rPr>
        <sz val="10"/>
        <rFont val="Noto Sans CJK SC"/>
        <family val="2"/>
      </rPr>
      <t xml:space="preserve">조계산 태고종 본산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승선교 무지개다리가 있다</t>
    </r>
    <r>
      <rPr>
        <sz val="10"/>
        <rFont val="Arial"/>
        <family val="0"/>
        <charset val="1"/>
      </rPr>
      <t xml:space="preserve">.</t>
    </r>
  </si>
  <si>
    <t xml:space="preserve">선암사 승선교</t>
  </si>
  <si>
    <t xml:space="preserve">Seungseongyo Bridge</t>
  </si>
  <si>
    <r>
      <rPr>
        <sz val="10"/>
        <rFont val="Noto Sans CJK SC"/>
        <family val="2"/>
      </rPr>
      <t xml:space="preserve">물에 비쳐 원이 되는 무지개 다리</t>
    </r>
    <r>
      <rPr>
        <sz val="10"/>
        <rFont val="Arial"/>
        <family val="0"/>
        <charset val="1"/>
      </rPr>
      <t xml:space="preserve">.</t>
    </r>
  </si>
  <si>
    <t xml:space="preserve">선운사</t>
  </si>
  <si>
    <t xml:space="preserve">Seonunsa Temple</t>
  </si>
  <si>
    <r>
      <rPr>
        <sz val="10"/>
        <rFont val="Noto Sans CJK SC"/>
        <family val="2"/>
      </rPr>
      <t xml:space="preserve">동백숲과 상사화로 알려진 절</t>
    </r>
    <r>
      <rPr>
        <sz val="10"/>
        <rFont val="Arial"/>
        <family val="0"/>
        <charset val="1"/>
      </rPr>
      <t xml:space="preserve">.</t>
    </r>
  </si>
  <si>
    <t xml:space="preserve">선운사 권역 숙소</t>
  </si>
  <si>
    <t xml:space="preserve">Seonunsa area stays</t>
  </si>
  <si>
    <t xml:space="preserve">선유도 펜션</t>
  </si>
  <si>
    <t xml:space="preserve">Seonyudo pensions</t>
  </si>
  <si>
    <t xml:space="preserve">선유도해수욕장</t>
  </si>
  <si>
    <t xml:space="preserve">Seonyudo Beach</t>
  </si>
  <si>
    <r>
      <rPr>
        <sz val="10"/>
        <rFont val="Noto Sans CJK SC"/>
        <family val="2"/>
      </rPr>
      <t xml:space="preserve">고군산군도의 섬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다리로 이어진다</t>
    </r>
    <r>
      <rPr>
        <sz val="10"/>
        <rFont val="Arial"/>
        <family val="0"/>
        <charset val="1"/>
      </rPr>
      <t xml:space="preserve">.</t>
    </r>
  </si>
  <si>
    <t xml:space="preserve">설리스카이워크</t>
  </si>
  <si>
    <t xml:space="preserve">Seolli Skywalk</t>
  </si>
  <si>
    <r>
      <rPr>
        <sz val="10"/>
        <rFont val="Noto Sans CJK SC"/>
        <family val="2"/>
      </rPr>
      <t xml:space="preserve">절벽 위로 뻗은 그네와 전망 데크</t>
    </r>
    <r>
      <rPr>
        <sz val="10"/>
        <rFont val="Arial"/>
        <family val="0"/>
        <charset val="1"/>
      </rPr>
      <t xml:space="preserve">.</t>
    </r>
  </si>
  <si>
    <t xml:space="preserve">설봉공원</t>
  </si>
  <si>
    <t xml:space="preserve">Seolbong Park</t>
  </si>
  <si>
    <r>
      <rPr>
        <sz val="10"/>
        <rFont val="Noto Sans CJK SC"/>
        <family val="2"/>
      </rPr>
      <t xml:space="preserve">호수와 도자 조형물을 둔 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</si>
  <si>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설악동 콘도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펜션</t>
    </r>
  </si>
  <si>
    <t xml:space="preserve">Seorak-dong condos</t>
  </si>
  <si>
    <t xml:space="preserve">설악산 소공원</t>
  </si>
  <si>
    <t xml:space="preserve">Seoraksan Sogongwon</t>
  </si>
  <si>
    <r>
      <rPr>
        <sz val="10"/>
        <rFont val="Noto Sans CJK SC"/>
        <family val="2"/>
      </rPr>
      <t xml:space="preserve">설악산 북쪽 입구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권금성 케이블카와 신흥사가 있다</t>
    </r>
    <r>
      <rPr>
        <sz val="10"/>
        <rFont val="Arial"/>
        <family val="0"/>
        <charset val="1"/>
      </rPr>
      <t xml:space="preserve">.</t>
    </r>
  </si>
  <si>
    <t xml:space="preserve">성류굴</t>
  </si>
  <si>
    <t xml:space="preserve">Seongnyugul Cave</t>
  </si>
  <si>
    <r>
      <rPr>
        <sz val="10"/>
        <rFont val="Noto Sans CJK SC"/>
        <family val="2"/>
      </rPr>
      <t xml:space="preserve">석회암 종유동굴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신라 때 기록이 남아 있다</t>
    </r>
    <r>
      <rPr>
        <sz val="10"/>
        <rFont val="Arial"/>
        <family val="0"/>
        <charset val="1"/>
      </rPr>
      <t xml:space="preserve">.</t>
    </r>
  </si>
  <si>
    <t xml:space="preserve">성산 일출봉 권역 숙소</t>
  </si>
  <si>
    <t xml:space="preserve">Seongsan area stays</t>
  </si>
  <si>
    <t xml:space="preserve">성수 부티크 호텔</t>
  </si>
  <si>
    <t xml:space="preserve">Seongsu boutique hotels</t>
  </si>
  <si>
    <t xml:space="preserve">성주사</t>
  </si>
  <si>
    <t xml:space="preserve">Seongjusa Temple</t>
  </si>
  <si>
    <r>
      <rPr>
        <sz val="10"/>
        <rFont val="Noto Sans CJK SC"/>
        <family val="2"/>
      </rPr>
      <t xml:space="preserve">불모산 자락의 신라 고찰</t>
    </r>
    <r>
      <rPr>
        <sz val="10"/>
        <rFont val="Arial"/>
        <family val="0"/>
        <charset val="1"/>
      </rPr>
      <t xml:space="preserve">.</t>
    </r>
  </si>
  <si>
    <t xml:space="preserve">성판악 탐방로</t>
  </si>
  <si>
    <t xml:space="preserve">Seongpanak Trail</t>
  </si>
  <si>
    <r>
      <rPr>
        <sz val="10"/>
        <rFont val="Noto Sans CJK SC"/>
        <family val="2"/>
      </rPr>
      <t xml:space="preserve">백록담까지 오르는 유일한 완주 코스 중 하나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왕복 아홉 시간을 잡는다</t>
    </r>
    <r>
      <rPr>
        <sz val="10"/>
        <rFont val="Arial"/>
        <family val="0"/>
        <charset val="1"/>
      </rPr>
      <t xml:space="preserve">.</t>
    </r>
  </si>
  <si>
    <t xml:space="preserve">성흥산성 사랑나무</t>
  </si>
  <si>
    <t xml:space="preserve">Seongheungsanseong Love Tree</t>
  </si>
  <si>
    <r>
      <rPr>
        <sz val="10"/>
        <rFont val="Noto Sans CJK SC"/>
        <family val="2"/>
      </rPr>
      <t xml:space="preserve">드라마 촬영으로 알려진 산성 위 느티나무</t>
    </r>
    <r>
      <rPr>
        <sz val="10"/>
        <rFont val="Arial"/>
        <family val="0"/>
        <charset val="1"/>
      </rPr>
      <t xml:space="preserve">.</t>
    </r>
  </si>
  <si>
    <t xml:space="preserve">화순</t>
  </si>
  <si>
    <t xml:space="preserve">세량지</t>
  </si>
  <si>
    <t xml:space="preserve">Seryangji Pond</t>
  </si>
  <si>
    <r>
      <rPr>
        <sz val="10"/>
        <rFont val="Noto Sans CJK SC"/>
        <family val="2"/>
      </rPr>
      <t xml:space="preserve">새벽 물안개와 산벚꽃으로 알려진 저수지</t>
    </r>
    <r>
      <rPr>
        <sz val="10"/>
        <rFont val="Arial"/>
        <family val="0"/>
        <charset val="1"/>
      </rPr>
      <t xml:space="preserve">.</t>
    </r>
  </si>
  <si>
    <t xml:space="preserve">세미원</t>
  </si>
  <si>
    <t xml:space="preserve">Semiwon Garden</t>
  </si>
  <si>
    <r>
      <rPr>
        <sz val="10"/>
        <rFont val="Noto Sans CJK SC"/>
        <family val="2"/>
      </rPr>
      <t xml:space="preserve">연꽃으로 채운 물의 정원</t>
    </r>
    <r>
      <rPr>
        <sz val="10"/>
        <rFont val="Arial"/>
        <family val="0"/>
        <charset val="1"/>
      </rPr>
      <t xml:space="preserve">.</t>
    </r>
  </si>
  <si>
    <t xml:space="preserve">세종대왕릉 영릉</t>
  </si>
  <si>
    <t xml:space="preserve">Yeongneung Royal Tomb</t>
  </si>
  <si>
    <r>
      <rPr>
        <sz val="10"/>
        <rFont val="Noto Sans CJK SC"/>
        <family val="2"/>
      </rPr>
      <t xml:space="preserve">세종대왕과 효종의 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조선왕릉 세계유산이다</t>
    </r>
    <r>
      <rPr>
        <sz val="10"/>
        <rFont val="Arial"/>
        <family val="0"/>
        <charset val="1"/>
      </rPr>
      <t xml:space="preserve">.</t>
    </r>
  </si>
  <si>
    <t xml:space="preserve">세종호수공원 권역 호텔</t>
  </si>
  <si>
    <t xml:space="preserve">Sejong Lake hotels</t>
  </si>
  <si>
    <r>
      <rPr>
        <sz val="10"/>
        <rFont val="Noto Sans CJK SC"/>
        <family val="2"/>
      </rPr>
      <t xml:space="preserve">센텀시티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수영 호텔</t>
    </r>
  </si>
  <si>
    <t xml:space="preserve">Centum City &amp; Suyeong hotels</t>
  </si>
  <si>
    <t xml:space="preserve">소금산 그랜드밸리</t>
  </si>
  <si>
    <t xml:space="preserve">Sogeumsan Grand Valley</t>
  </si>
  <si>
    <r>
      <rPr>
        <sz val="10"/>
        <rFont val="Noto Sans CJK SC"/>
        <family val="2"/>
      </rPr>
      <t xml:space="preserve">출렁다리와 울렁다리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하늘정원을 잇는 협곡 코스</t>
    </r>
    <r>
      <rPr>
        <sz val="10"/>
        <rFont val="Arial"/>
        <family val="0"/>
        <charset val="1"/>
      </rPr>
      <t xml:space="preserve">.</t>
    </r>
  </si>
  <si>
    <t xml:space="preserve">소래포구</t>
  </si>
  <si>
    <t xml:space="preserve">Sorae Port</t>
  </si>
  <si>
    <r>
      <rPr>
        <sz val="10"/>
        <rFont val="Noto Sans CJK SC"/>
        <family val="2"/>
      </rPr>
      <t xml:space="preserve">새우와 꽃게로 알려진 어시장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옛 철교가 남아 있다</t>
    </r>
    <r>
      <rPr>
        <sz val="10"/>
        <rFont val="Arial"/>
        <family val="0"/>
        <charset val="1"/>
      </rPr>
      <t xml:space="preserve">.</t>
    </r>
  </si>
  <si>
    <t xml:space="preserve">소매물도</t>
  </si>
  <si>
    <t xml:space="preserve">Somaemuldo</t>
  </si>
  <si>
    <r>
      <rPr>
        <sz val="10"/>
        <rFont val="Noto Sans CJK SC"/>
        <family val="2"/>
      </rPr>
      <t xml:space="preserve">등대섬으로 건너는 물길이 열리는 섬</t>
    </r>
    <r>
      <rPr>
        <sz val="10"/>
        <rFont val="Arial"/>
        <family val="0"/>
        <charset val="1"/>
      </rPr>
      <t xml:space="preserve">.</t>
    </r>
  </si>
  <si>
    <t xml:space="preserve">소백산 국립공원</t>
  </si>
  <si>
    <t xml:space="preserve">Sobaeksan National Park</t>
  </si>
  <si>
    <r>
      <rPr>
        <sz val="10"/>
        <rFont val="Noto Sans CJK SC"/>
        <family val="2"/>
      </rPr>
      <t xml:space="preserve">비로봉 철쭉과 겨울 눈꽃으로 알려진 국립공원</t>
    </r>
    <r>
      <rPr>
        <sz val="10"/>
        <rFont val="Arial"/>
        <family val="0"/>
        <charset val="1"/>
      </rPr>
      <t xml:space="preserve">.</t>
    </r>
  </si>
  <si>
    <t xml:space="preserve">소쇄원</t>
  </si>
  <si>
    <t xml:space="preserve">Soswaewon Garden</t>
  </si>
  <si>
    <r>
      <rPr>
        <sz val="10"/>
        <rFont val="Noto Sans CJK SC"/>
        <family val="2"/>
      </rPr>
      <t xml:space="preserve">조선 선비가 지은 별서 정원</t>
    </r>
    <r>
      <rPr>
        <sz val="10"/>
        <rFont val="Arial"/>
        <family val="0"/>
        <charset val="1"/>
      </rPr>
      <t xml:space="preserve">.</t>
    </r>
  </si>
  <si>
    <t xml:space="preserve">소수서원</t>
  </si>
  <si>
    <t xml:space="preserve">Sosu Seowon</t>
  </si>
  <si>
    <r>
      <rPr>
        <sz val="10"/>
        <rFont val="Noto Sans CJK SC"/>
        <family val="2"/>
      </rPr>
      <t xml:space="preserve">조선 최초의 사액서원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</si>
  <si>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소양강 스카이워크</t>
  </si>
  <si>
    <t xml:space="preserve">Soyanggang Skywalk</t>
  </si>
  <si>
    <r>
      <rPr>
        <sz val="10"/>
        <rFont val="Noto Sans CJK SC"/>
        <family val="2"/>
      </rPr>
      <t xml:space="preserve">강 위로 뻗은 유리 바닥 전망 다리</t>
    </r>
    <r>
      <rPr>
        <sz val="10"/>
        <rFont val="Arial"/>
        <family val="0"/>
        <charset val="1"/>
      </rPr>
      <t xml:space="preserve">.</t>
    </r>
  </si>
  <si>
    <t xml:space="preserve">소이산 전망대</t>
  </si>
  <si>
    <t xml:space="preserve">Soisan Observatory</t>
  </si>
  <si>
    <r>
      <rPr>
        <sz val="10"/>
        <rFont val="Noto Sans CJK SC"/>
        <family val="2"/>
      </rPr>
      <t xml:space="preserve">철원평야와 비무장지대가 보이는 산</t>
    </r>
    <r>
      <rPr>
        <sz val="10"/>
        <rFont val="Arial"/>
        <family val="0"/>
        <charset val="1"/>
      </rPr>
      <t xml:space="preserve">.</t>
    </r>
  </si>
  <si>
    <t xml:space="preserve">소정방폭포</t>
  </si>
  <si>
    <t xml:space="preserve">Sojeongbang Falls</t>
  </si>
  <si>
    <r>
      <rPr>
        <sz val="10"/>
        <rFont val="Noto Sans CJK SC"/>
        <family val="2"/>
      </rPr>
      <t xml:space="preserve">바다로 바로 떨어지는 작은 폭포</t>
    </r>
    <r>
      <rPr>
        <sz val="10"/>
        <rFont val="Arial"/>
        <family val="0"/>
        <charset val="1"/>
      </rPr>
      <t xml:space="preserve">.</t>
    </r>
  </si>
  <si>
    <t xml:space="preserve">속리산 권역 숙소</t>
  </si>
  <si>
    <t xml:space="preserve">Songnisan area stays</t>
  </si>
  <si>
    <t xml:space="preserve">속리산 세심정</t>
  </si>
  <si>
    <t xml:space="preserve">Songnisan Sesimjeong</t>
  </si>
  <si>
    <r>
      <rPr>
        <sz val="10"/>
        <rFont val="Noto Sans CJK SC"/>
        <family val="2"/>
      </rPr>
      <t xml:space="preserve">법주사에서 문장대로 드는 계곡 길목</t>
    </r>
    <r>
      <rPr>
        <sz val="10"/>
        <rFont val="Arial"/>
        <family val="0"/>
        <charset val="1"/>
      </rPr>
      <t xml:space="preserve">.</t>
    </r>
  </si>
  <si>
    <t xml:space="preserve">속초관광수산시장</t>
  </si>
  <si>
    <t xml:space="preserve">Sokcho Tourist &amp; Fishery Market</t>
  </si>
  <si>
    <r>
      <rPr>
        <sz val="10"/>
        <rFont val="Noto Sans CJK SC"/>
        <family val="2"/>
      </rPr>
      <t xml:space="preserve">닭강정과 오징어순대로 붐비는 시장</t>
    </r>
    <r>
      <rPr>
        <sz val="10"/>
        <rFont val="Arial"/>
        <family val="0"/>
        <charset val="1"/>
      </rPr>
      <t xml:space="preserve">.</t>
    </r>
  </si>
  <si>
    <t xml:space="preserve">속초해변 리조트</t>
  </si>
  <si>
    <t xml:space="preserve">Sokcho Beach resorts</t>
  </si>
  <si>
    <t xml:space="preserve">속초해수욕장</t>
  </si>
  <si>
    <t xml:space="preserve">Sokcho Beach</t>
  </si>
  <si>
    <r>
      <rPr>
        <sz val="10"/>
        <rFont val="Noto Sans CJK SC"/>
        <family val="2"/>
      </rPr>
      <t xml:space="preserve">시내와 붙은 백사장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설악산 능선이 배경이다</t>
    </r>
    <r>
      <rPr>
        <sz val="10"/>
        <rFont val="Arial"/>
        <family val="0"/>
        <charset val="1"/>
      </rPr>
      <t xml:space="preserve">.</t>
    </r>
  </si>
  <si>
    <t xml:space="preserve">솔뫼성지</t>
  </si>
  <si>
    <t xml:space="preserve">Solmoe Shrine</t>
  </si>
  <si>
    <r>
      <rPr>
        <sz val="10"/>
        <rFont val="Noto Sans CJK SC"/>
        <family val="2"/>
      </rPr>
      <t xml:space="preserve">김대건 신부가 태어난 솔숲 성지</t>
    </r>
    <r>
      <rPr>
        <sz val="10"/>
        <rFont val="Arial"/>
        <family val="0"/>
        <charset val="1"/>
      </rPr>
      <t xml:space="preserve">.</t>
    </r>
  </si>
  <si>
    <t xml:space="preserve">솔향수목원</t>
  </si>
  <si>
    <t xml:space="preserve">Solhyang Arboretum</t>
  </si>
  <si>
    <r>
      <rPr>
        <sz val="10"/>
        <rFont val="Noto Sans CJK SC"/>
        <family val="2"/>
      </rPr>
      <t xml:space="preserve">금강소나무를 모은 수목원</t>
    </r>
    <r>
      <rPr>
        <sz val="10"/>
        <rFont val="Arial"/>
        <family val="0"/>
        <charset val="1"/>
      </rPr>
      <t xml:space="preserve">.</t>
    </r>
  </si>
  <si>
    <t xml:space="preserve">송광사</t>
  </si>
  <si>
    <t xml:space="preserve">Songgwangsa Temple</t>
  </si>
  <si>
    <r>
      <rPr>
        <sz val="10"/>
        <rFont val="Noto Sans CJK SC"/>
        <family val="2"/>
      </rPr>
      <t xml:space="preserve">승보종찰로 꼽히는 조계산의 절</t>
    </r>
    <r>
      <rPr>
        <sz val="10"/>
        <rFont val="Arial"/>
        <family val="0"/>
        <charset val="1"/>
      </rPr>
      <t xml:space="preserve">.</t>
    </r>
  </si>
  <si>
    <t xml:space="preserve">송도 센트럴파크</t>
  </si>
  <si>
    <t xml:space="preserve">Songdo Central Park</t>
  </si>
  <si>
    <r>
      <rPr>
        <sz val="10"/>
        <rFont val="Noto Sans CJK SC"/>
        <family val="2"/>
      </rPr>
      <t xml:space="preserve">해수를 끌어들인 도심 수변공원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수상택시가 다닌다</t>
    </r>
    <r>
      <rPr>
        <sz val="10"/>
        <rFont val="Arial"/>
        <family val="0"/>
        <charset val="1"/>
      </rPr>
      <t xml:space="preserve">.</t>
    </r>
  </si>
  <si>
    <t xml:space="preserve">송도 센트럴파크 호텔</t>
  </si>
  <si>
    <t xml:space="preserve">Songdo Central Park hotels</t>
  </si>
  <si>
    <t xml:space="preserve">송도 트리플스트리트</t>
  </si>
  <si>
    <t xml:space="preserve">Triple Street Songdo</t>
  </si>
  <si>
    <r>
      <rPr>
        <sz val="10"/>
        <rFont val="Noto Sans CJK SC"/>
        <family val="2"/>
      </rPr>
      <t xml:space="preserve">거리형 복합 쇼핑몰</t>
    </r>
    <r>
      <rPr>
        <sz val="10"/>
        <rFont val="Arial"/>
        <family val="0"/>
        <charset val="1"/>
      </rPr>
      <t xml:space="preserve">.</t>
    </r>
  </si>
  <si>
    <t xml:space="preserve">송상현광장</t>
  </si>
  <si>
    <t xml:space="preserve">Songsanghyeon Square</t>
  </si>
  <si>
    <r>
      <rPr>
        <sz val="10"/>
        <rFont val="Noto Sans CJK SC"/>
        <family val="2"/>
      </rPr>
      <t xml:space="preserve">도심 대로 한가운데의 띠 모양 광장</t>
    </r>
    <r>
      <rPr>
        <sz val="10"/>
        <rFont val="Arial"/>
        <family val="0"/>
        <charset val="1"/>
      </rPr>
      <t xml:space="preserve">.</t>
    </r>
  </si>
  <si>
    <t xml:space="preserve">청송</t>
  </si>
  <si>
    <t xml:space="preserve">송소고택</t>
  </si>
  <si>
    <t xml:space="preserve">Songso Historic House</t>
  </si>
  <si>
    <r>
      <rPr>
        <sz val="10"/>
        <rFont val="Noto Sans CJK SC"/>
        <family val="2"/>
      </rPr>
      <t xml:space="preserve">만석꾼이 지은 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칸 고택</t>
    </r>
    <r>
      <rPr>
        <sz val="10"/>
        <rFont val="Arial"/>
        <family val="0"/>
        <charset val="1"/>
      </rPr>
      <t xml:space="preserve">.</t>
    </r>
  </si>
  <si>
    <t xml:space="preserve">송암스페이스센터</t>
  </si>
  <si>
    <t xml:space="preserve">Songam Space Center</t>
  </si>
  <si>
    <r>
      <rPr>
        <sz val="10"/>
        <rFont val="Noto Sans CJK SC"/>
        <family val="2"/>
      </rPr>
      <t xml:space="preserve">천문대와 케이블카를 갖춘 우주 체험관</t>
    </r>
    <r>
      <rPr>
        <sz val="10"/>
        <rFont val="Arial"/>
        <family val="0"/>
        <charset val="1"/>
      </rPr>
      <t xml:space="preserve">.</t>
    </r>
  </si>
  <si>
    <t xml:space="preserve">송월동 동화마을</t>
  </si>
  <si>
    <t xml:space="preserve">Songwol Fairy Tale Village</t>
  </si>
  <si>
    <r>
      <rPr>
        <sz val="10"/>
        <rFont val="Noto Sans CJK SC"/>
        <family val="2"/>
      </rPr>
      <t xml:space="preserve">동화 벽화로 채운 골목 마을</t>
    </r>
    <r>
      <rPr>
        <sz val="10"/>
        <rFont val="Arial"/>
        <family val="0"/>
        <charset val="1"/>
      </rPr>
      <t xml:space="preserve">.</t>
    </r>
  </si>
  <si>
    <t xml:space="preserve">송정솔바람해변</t>
  </si>
  <si>
    <t xml:space="preserve">Songjeong Pine Beach</t>
  </si>
  <si>
    <r>
      <rPr>
        <sz val="10"/>
        <rFont val="Noto Sans CJK SC"/>
        <family val="2"/>
      </rPr>
      <t xml:space="preserve">솔숲이 둘러싼 완만한 백사장</t>
    </r>
    <r>
      <rPr>
        <sz val="10"/>
        <rFont val="Arial"/>
        <family val="0"/>
        <charset val="1"/>
      </rPr>
      <t xml:space="preserve">.</t>
    </r>
  </si>
  <si>
    <t xml:space="preserve">송학동 고분군</t>
  </si>
  <si>
    <t xml:space="preserve">Songhak-dong Tombs</t>
  </si>
  <si>
    <r>
      <rPr>
        <sz val="10"/>
        <rFont val="Noto Sans CJK SC"/>
        <family val="2"/>
      </rPr>
      <t xml:space="preserve">소가야의 고분군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</si>
  <si>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예산</t>
  </si>
  <si>
    <t xml:space="preserve">수덕사</t>
  </si>
  <si>
    <t xml:space="preserve">Sudeoksa Temple</t>
  </si>
  <si>
    <r>
      <rPr>
        <sz val="10"/>
        <rFont val="Noto Sans CJK SC"/>
        <family val="2"/>
      </rPr>
      <t xml:space="preserve">대웅전이 남은 고려 목조건축의 절</t>
    </r>
    <r>
      <rPr>
        <sz val="10"/>
        <rFont val="Arial"/>
        <family val="0"/>
        <charset val="1"/>
      </rPr>
      <t xml:space="preserve">.</t>
    </r>
  </si>
  <si>
    <t xml:space="preserve">수덕사 권역 숙소</t>
  </si>
  <si>
    <t xml:space="preserve">Sudeoksa area stays</t>
  </si>
  <si>
    <t xml:space="preserve">수도국산달동네박물관</t>
  </si>
  <si>
    <t xml:space="preserve">Daldongne Museum</t>
  </si>
  <si>
    <r>
      <rPr>
        <sz val="10"/>
        <rFont val="Arial"/>
        <family val="0"/>
        <charset val="1"/>
      </rPr>
      <t xml:space="preserve">1960–70</t>
    </r>
    <r>
      <rPr>
        <sz val="10"/>
        <rFont val="Noto Sans CJK SC"/>
        <family val="2"/>
      </rPr>
      <t xml:space="preserve">년대 산동네 살림을 재현한 박물관</t>
    </r>
    <r>
      <rPr>
        <sz val="10"/>
        <rFont val="Arial"/>
        <family val="0"/>
        <charset val="1"/>
      </rPr>
      <t xml:space="preserve">.</t>
    </r>
  </si>
  <si>
    <t xml:space="preserve">수로왕릉</t>
  </si>
  <si>
    <t xml:space="preserve">Tomb of King Suro</t>
  </si>
  <si>
    <r>
      <rPr>
        <sz val="10"/>
        <rFont val="Noto Sans CJK SC"/>
        <family val="2"/>
      </rPr>
      <t xml:space="preserve">가락국 시조 수로왕의 능</t>
    </r>
    <r>
      <rPr>
        <sz val="10"/>
        <rFont val="Arial"/>
        <family val="0"/>
        <charset val="1"/>
      </rPr>
      <t xml:space="preserve">.</t>
    </r>
  </si>
  <si>
    <t xml:space="preserve">수성못</t>
  </si>
  <si>
    <t xml:space="preserve">Suseong Lake</t>
  </si>
  <si>
    <r>
      <rPr>
        <sz val="10"/>
        <rFont val="Noto Sans CJK SC"/>
        <family val="2"/>
      </rPr>
      <t xml:space="preserve">오리배와 음악분수가 있는 도심 호수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카페가 둘러싼다</t>
    </r>
    <r>
      <rPr>
        <sz val="10"/>
        <rFont val="Arial"/>
        <family val="0"/>
        <charset val="1"/>
      </rPr>
      <t xml:space="preserve">.</t>
    </r>
  </si>
  <si>
    <t xml:space="preserve">수승대</t>
  </si>
  <si>
    <t xml:space="preserve">Suseungdae</t>
  </si>
  <si>
    <r>
      <rPr>
        <sz val="10"/>
        <rFont val="Noto Sans CJK SC"/>
        <family val="2"/>
      </rPr>
      <t xml:space="preserve">너럭바위와 정자가 있는 계곡 명승</t>
    </r>
    <r>
      <rPr>
        <sz val="10"/>
        <rFont val="Arial"/>
        <family val="0"/>
        <charset val="1"/>
      </rPr>
      <t xml:space="preserve">.</t>
    </r>
  </si>
  <si>
    <t xml:space="preserve">수승대 권역 숙소</t>
  </si>
  <si>
    <t xml:space="preserve">Suseungdae area stays</t>
  </si>
  <si>
    <t xml:space="preserve">수안보 온천 호텔</t>
  </si>
  <si>
    <t xml:space="preserve">Suanbo hot spring hotels</t>
  </si>
  <si>
    <t xml:space="preserve">수암골</t>
  </si>
  <si>
    <t xml:space="preserve">Suam-gol</t>
  </si>
  <si>
    <r>
      <rPr>
        <sz val="10"/>
        <rFont val="Noto Sans CJK SC"/>
        <family val="2"/>
      </rPr>
      <t xml:space="preserve">드라마 촬영지로 알려진 벽화 골목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</si>
  <si>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수원 </t>
    </r>
    <r>
      <rPr>
        <sz val="10"/>
        <rFont val="Arial"/>
        <family val="0"/>
        <charset val="1"/>
      </rPr>
      <t xml:space="preserve">KT</t>
    </r>
    <r>
      <rPr>
        <sz val="10"/>
        <rFont val="Noto Sans CJK SC"/>
        <family val="2"/>
      </rPr>
      <t xml:space="preserve">위즈파크</t>
    </r>
  </si>
  <si>
    <t xml:space="preserve">KT Wiz Park</t>
  </si>
  <si>
    <r>
      <rPr>
        <sz val="10"/>
        <rFont val="Arial"/>
        <family val="0"/>
        <charset val="1"/>
      </rPr>
      <t xml:space="preserve">KT </t>
    </r>
    <r>
      <rPr>
        <sz val="10"/>
        <rFont val="Noto Sans CJK SC"/>
        <family val="2"/>
      </rPr>
      <t xml:space="preserve">위즈의 홈 야구장</t>
    </r>
    <r>
      <rPr>
        <sz val="10"/>
        <rFont val="Arial"/>
        <family val="0"/>
        <charset val="1"/>
      </rPr>
      <t xml:space="preserve">.</t>
    </r>
  </si>
  <si>
    <t xml:space="preserve">수원 남문시장</t>
  </si>
  <si>
    <t xml:space="preserve">Nammun Market</t>
  </si>
  <si>
    <r>
      <rPr>
        <sz val="10"/>
        <rFont val="Noto Sans CJK SC"/>
        <family val="2"/>
      </rPr>
      <t xml:space="preserve">팔달문을 둘러싼 아홉 개 시장 거리</t>
    </r>
    <r>
      <rPr>
        <sz val="10"/>
        <rFont val="Arial"/>
        <family val="0"/>
        <charset val="1"/>
      </rPr>
      <t xml:space="preserve">.</t>
    </r>
  </si>
  <si>
    <t xml:space="preserve">수원 스타필드</t>
  </si>
  <si>
    <t xml:space="preserve">Starfield Suwon</t>
  </si>
  <si>
    <r>
      <rPr>
        <sz val="10"/>
        <rFont val="Noto Sans CJK SC"/>
        <family val="2"/>
      </rPr>
      <t xml:space="preserve">별마당 도서관과 식당가가 있는 복합몰</t>
    </r>
    <r>
      <rPr>
        <sz val="10"/>
        <rFont val="Arial"/>
        <family val="0"/>
        <charset val="1"/>
      </rPr>
      <t xml:space="preserve">.</t>
    </r>
  </si>
  <si>
    <t xml:space="preserve">수원역 권역 호텔</t>
  </si>
  <si>
    <t xml:space="preserve">Suwon Station hotels</t>
  </si>
  <si>
    <t xml:space="preserve">수원화성박물관</t>
  </si>
  <si>
    <t xml:space="preserve">Suwon Hwaseong Museum</t>
  </si>
  <si>
    <r>
      <rPr>
        <sz val="10"/>
        <rFont val="Noto Sans CJK SC"/>
        <family val="2"/>
      </rPr>
      <t xml:space="preserve">화성 축성 과정과 정조 시대를 다룬 박물관</t>
    </r>
    <r>
      <rPr>
        <sz val="10"/>
        <rFont val="Arial"/>
        <family val="0"/>
        <charset val="1"/>
      </rPr>
      <t xml:space="preserve">.</t>
    </r>
  </si>
  <si>
    <t xml:space="preserve">수종사</t>
  </si>
  <si>
    <t xml:space="preserve">Sujongsa Temple</t>
  </si>
  <si>
    <r>
      <rPr>
        <sz val="10"/>
        <rFont val="Noto Sans CJK SC"/>
        <family val="2"/>
      </rPr>
      <t xml:space="preserve">두물머리가 내려다보이는 산사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 한 잔을 내준다</t>
    </r>
    <r>
      <rPr>
        <sz val="10"/>
        <rFont val="Arial"/>
        <family val="0"/>
        <charset val="1"/>
      </rPr>
      <t xml:space="preserve">.</t>
    </r>
  </si>
  <si>
    <t xml:space="preserve">수통골</t>
  </si>
  <si>
    <t xml:space="preserve">Sutonggol Valley</t>
  </si>
  <si>
    <r>
      <rPr>
        <sz val="10"/>
        <rFont val="Noto Sans CJK SC"/>
        <family val="2"/>
      </rPr>
      <t xml:space="preserve">계룡산 국립공원 동쪽 계곡</t>
    </r>
    <r>
      <rPr>
        <sz val="10"/>
        <rFont val="Arial"/>
        <family val="0"/>
        <charset val="1"/>
      </rPr>
      <t xml:space="preserve">.</t>
    </r>
  </si>
  <si>
    <t xml:space="preserve">순천 드라마촬영장</t>
  </si>
  <si>
    <t xml:space="preserve">Suncheon Drama Film Set</t>
  </si>
  <si>
    <r>
      <rPr>
        <sz val="10"/>
        <rFont val="Arial"/>
        <family val="0"/>
        <charset val="1"/>
      </rPr>
      <t xml:space="preserve">1960–80</t>
    </r>
    <r>
      <rPr>
        <sz val="10"/>
        <rFont val="Noto Sans CJK SC"/>
        <family val="2"/>
      </rPr>
      <t xml:space="preserve">년대 거리를 재현한 세트장</t>
    </r>
    <r>
      <rPr>
        <sz val="10"/>
        <rFont val="Arial"/>
        <family val="0"/>
        <charset val="1"/>
      </rPr>
      <t xml:space="preserve">.</t>
    </r>
  </si>
  <si>
    <t xml:space="preserve">순천만국가정원</t>
  </si>
  <si>
    <t xml:space="preserve">Suncheonman National Garden</t>
  </si>
  <si>
    <r>
      <rPr>
        <sz val="10"/>
        <rFont val="Noto Sans CJK SC"/>
        <family val="2"/>
      </rPr>
      <t xml:space="preserve">국가정원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세계 정원과 호수정원이 있다</t>
    </r>
    <r>
      <rPr>
        <sz val="10"/>
        <rFont val="Arial"/>
        <family val="0"/>
        <charset val="1"/>
      </rPr>
      <t xml:space="preserve">.</t>
    </r>
  </si>
  <si>
    <t xml:space="preserve">순천만습지</t>
  </si>
  <si>
    <t xml:space="preserve">Suncheonman Wetland</t>
  </si>
  <si>
    <r>
      <rPr>
        <sz val="10"/>
        <rFont val="Noto Sans CJK SC"/>
        <family val="2"/>
      </rPr>
      <t xml:space="preserve">세계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대 연안습지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갈대밭과 철새가 있다</t>
    </r>
    <r>
      <rPr>
        <sz val="10"/>
        <rFont val="Arial"/>
        <family val="0"/>
        <charset val="1"/>
      </rPr>
      <t xml:space="preserve">.</t>
    </r>
  </si>
  <si>
    <t xml:space="preserve">순천역 권역 숙소</t>
  </si>
  <si>
    <t xml:space="preserve">Suncheon Station stays</t>
  </si>
  <si>
    <t xml:space="preserve">순흥벽화고분</t>
  </si>
  <si>
    <t xml:space="preserve">Sunheung Mural Tomb</t>
  </si>
  <si>
    <r>
      <rPr>
        <sz val="10"/>
        <rFont val="Noto Sans CJK SC"/>
        <family val="2"/>
      </rPr>
      <t xml:space="preserve">삼국시대 벽화가 남은 고분</t>
    </r>
    <r>
      <rPr>
        <sz val="10"/>
        <rFont val="Arial"/>
        <family val="0"/>
        <charset val="1"/>
      </rPr>
      <t xml:space="preserve">.</t>
    </r>
  </si>
  <si>
    <t xml:space="preserve">스누피가든</t>
  </si>
  <si>
    <t xml:space="preserve">Snoopy Garden</t>
  </si>
  <si>
    <r>
      <rPr>
        <sz val="10"/>
        <rFont val="Noto Sans CJK SC"/>
        <family val="2"/>
      </rPr>
      <t xml:space="preserve">피너츠를 주제로 한 정원과 전시관</t>
    </r>
    <r>
      <rPr>
        <sz val="10"/>
        <rFont val="Arial"/>
        <family val="0"/>
        <charset val="1"/>
      </rPr>
      <t xml:space="preserve">.</t>
    </r>
  </si>
  <si>
    <t xml:space="preserve">스타필드 고양</t>
  </si>
  <si>
    <t xml:space="preserve">Starfield Goyang</t>
  </si>
  <si>
    <r>
      <rPr>
        <sz val="10"/>
        <rFont val="Noto Sans CJK SC"/>
        <family val="2"/>
      </rPr>
      <t xml:space="preserve">복합 쇼핑몰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아쿠아필드가 있다</t>
    </r>
    <r>
      <rPr>
        <sz val="10"/>
        <rFont val="Arial"/>
        <family val="0"/>
        <charset val="1"/>
      </rPr>
      <t xml:space="preserve">.</t>
    </r>
  </si>
  <si>
    <t xml:space="preserve">스파밸리</t>
  </si>
  <si>
    <t xml:space="preserve">Spa Valley</t>
  </si>
  <si>
    <r>
      <rPr>
        <sz val="10"/>
        <rFont val="Noto Sans CJK SC"/>
        <family val="2"/>
      </rPr>
      <t xml:space="preserve">온천과 워터파크를 함께 둔 시설</t>
    </r>
    <r>
      <rPr>
        <sz val="10"/>
        <rFont val="Arial"/>
        <family val="0"/>
        <charset val="1"/>
      </rPr>
      <t xml:space="preserve">.</t>
    </r>
  </si>
  <si>
    <t xml:space="preserve">슬도</t>
  </si>
  <si>
    <t xml:space="preserve">Seuldo Island</t>
  </si>
  <si>
    <r>
      <rPr>
        <sz val="10"/>
        <rFont val="Noto Sans CJK SC"/>
        <family val="2"/>
      </rPr>
      <t xml:space="preserve">파도 소리가 거문고 같다는 방파제 섬</t>
    </r>
    <r>
      <rPr>
        <sz val="10"/>
        <rFont val="Arial"/>
        <family val="0"/>
        <charset val="1"/>
      </rPr>
      <t xml:space="preserve">.</t>
    </r>
  </si>
  <si>
    <t xml:space="preserve">시몬스 테라스</t>
  </si>
  <si>
    <t xml:space="preserve">Simmons Terrace</t>
  </si>
  <si>
    <r>
      <rPr>
        <sz val="10"/>
        <rFont val="Noto Sans CJK SC"/>
        <family val="2"/>
      </rPr>
      <t xml:space="preserve">전시장과 카페를 겸한 복합 문화 공간</t>
    </r>
    <r>
      <rPr>
        <sz val="10"/>
        <rFont val="Arial"/>
        <family val="0"/>
        <charset val="1"/>
      </rPr>
      <t xml:space="preserve">.</t>
    </r>
  </si>
  <si>
    <t xml:space="preserve">신륵사</t>
  </si>
  <si>
    <t xml:space="preserve">Silleuksa Temple</t>
  </si>
  <si>
    <r>
      <rPr>
        <sz val="10"/>
        <rFont val="Noto Sans CJK SC"/>
        <family val="2"/>
      </rPr>
      <t xml:space="preserve">남한강변에 앉은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강가 전탑이 서 있다</t>
    </r>
    <r>
      <rPr>
        <sz val="10"/>
        <rFont val="Arial"/>
        <family val="0"/>
        <charset val="1"/>
      </rPr>
      <t xml:space="preserve">.</t>
    </r>
  </si>
  <si>
    <t xml:space="preserve">신륵사 권역 숙소</t>
  </si>
  <si>
    <t xml:space="preserve">Silleuksa area stays</t>
  </si>
  <si>
    <t xml:space="preserve">신불산 억새평원</t>
  </si>
  <si>
    <t xml:space="preserve">Sinbulsan Reed Plain</t>
  </si>
  <si>
    <r>
      <rPr>
        <sz val="10"/>
        <rFont val="Noto Sans CJK SC"/>
        <family val="2"/>
      </rPr>
      <t xml:space="preserve">가을이면 은빛으로 덮이는 정상 고원</t>
    </r>
    <r>
      <rPr>
        <sz val="10"/>
        <rFont val="Arial"/>
        <family val="0"/>
        <charset val="1"/>
      </rPr>
      <t xml:space="preserve">.</t>
    </r>
  </si>
  <si>
    <t xml:space="preserve">신성리 갈대밭</t>
  </si>
  <si>
    <t xml:space="preserve">Sinseong-ri Reed Field</t>
  </si>
  <si>
    <r>
      <rPr>
        <sz val="10"/>
        <rFont val="Noto Sans CJK SC"/>
        <family val="2"/>
      </rPr>
      <t xml:space="preserve">금강 하구에 넓게 퍼진 갈대 습지</t>
    </r>
    <r>
      <rPr>
        <sz val="10"/>
        <rFont val="Arial"/>
        <family val="0"/>
        <charset val="1"/>
      </rPr>
      <t xml:space="preserve">.</t>
    </r>
  </si>
  <si>
    <t xml:space="preserve">신세계 아트앤사이언스</t>
  </si>
  <si>
    <t xml:space="preserve">Shinsegae Art &amp; Science</t>
  </si>
  <si>
    <r>
      <rPr>
        <sz val="10"/>
        <rFont val="Noto Sans CJK SC"/>
        <family val="2"/>
      </rPr>
      <t xml:space="preserve">과학관과 전망대를 품은 백화점</t>
    </r>
    <r>
      <rPr>
        <sz val="10"/>
        <rFont val="Arial"/>
        <family val="0"/>
        <charset val="1"/>
      </rPr>
      <t xml:space="preserve">.</t>
    </r>
  </si>
  <si>
    <t xml:space="preserve">신안 갯벌</t>
  </si>
  <si>
    <t xml:space="preserve">Sinan Tidal Flat</t>
  </si>
  <si>
    <r>
      <rPr>
        <sz val="10"/>
        <rFont val="Noto Sans CJK SC"/>
        <family val="2"/>
      </rPr>
      <t xml:space="preserve">유네스코 한국의 갯벌 가운데 가장 넓다</t>
    </r>
    <r>
      <rPr>
        <sz val="10"/>
        <rFont val="Arial"/>
        <family val="0"/>
        <charset val="1"/>
      </rPr>
      <t xml:space="preserve">.</t>
    </r>
  </si>
  <si>
    <t xml:space="preserve">신정호수공원</t>
  </si>
  <si>
    <t xml:space="preserve">Sinjeong Lake Park</t>
  </si>
  <si>
    <r>
      <rPr>
        <sz val="10"/>
        <rFont val="Noto Sans CJK SC"/>
        <family val="2"/>
      </rPr>
      <t xml:space="preserve">둘레길과 카페가 늘어선 호수</t>
    </r>
    <r>
      <rPr>
        <sz val="10"/>
        <rFont val="Arial"/>
        <family val="0"/>
        <charset val="1"/>
      </rPr>
      <t xml:space="preserve">.</t>
    </r>
  </si>
  <si>
    <t xml:space="preserve">신포국제시장</t>
  </si>
  <si>
    <t xml:space="preserve">Sinpo Market</t>
  </si>
  <si>
    <r>
      <rPr>
        <sz val="10"/>
        <rFont val="Noto Sans CJK SC"/>
        <family val="2"/>
      </rPr>
      <t xml:space="preserve">닭강정과 공갈빵으로 알려진 개항기 시장</t>
    </r>
    <r>
      <rPr>
        <sz val="10"/>
        <rFont val="Arial"/>
        <family val="0"/>
        <charset val="1"/>
      </rPr>
      <t xml:space="preserve">.</t>
    </r>
  </si>
  <si>
    <t xml:space="preserve">실상사</t>
  </si>
  <si>
    <t xml:space="preserve">Silsangsa Temple</t>
  </si>
  <si>
    <r>
      <rPr>
        <sz val="10"/>
        <rFont val="Noto Sans CJK SC"/>
        <family val="2"/>
      </rPr>
      <t xml:space="preserve">신라 구산선문의 하나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들판에 앉은 절이다</t>
    </r>
    <r>
      <rPr>
        <sz val="10"/>
        <rFont val="Arial"/>
        <family val="0"/>
        <charset val="1"/>
      </rPr>
      <t xml:space="preserve">.</t>
    </r>
  </si>
  <si>
    <t xml:space="preserve">십리대숲</t>
  </si>
  <si>
    <t xml:space="preserve">Simni Bamboo Grove</t>
  </si>
  <si>
    <r>
      <rPr>
        <sz val="10"/>
        <rFont val="Noto Sans CJK SC"/>
        <family val="2"/>
      </rPr>
      <t xml:space="preserve">태화강을 따라 </t>
    </r>
    <r>
      <rPr>
        <sz val="10"/>
        <rFont val="Arial"/>
        <family val="0"/>
        <charset val="1"/>
      </rPr>
      <t xml:space="preserve">4km </t>
    </r>
    <r>
      <rPr>
        <sz val="10"/>
        <rFont val="Noto Sans CJK SC"/>
        <family val="2"/>
      </rPr>
      <t xml:space="preserve">이어지는 대숲길</t>
    </r>
    <r>
      <rPr>
        <sz val="10"/>
        <rFont val="Arial"/>
        <family val="0"/>
        <charset val="1"/>
      </rPr>
      <t xml:space="preserve">.</t>
    </r>
  </si>
  <si>
    <t xml:space="preserve">쌍계사</t>
  </si>
  <si>
    <t xml:space="preserve">Ssanggyesa Temple</t>
  </si>
  <si>
    <r>
      <rPr>
        <sz val="10"/>
        <rFont val="Noto Sans CJK SC"/>
        <family val="2"/>
      </rPr>
      <t xml:space="preserve">지리산 남쪽 골짜기의 통일신라 고찰</t>
    </r>
    <r>
      <rPr>
        <sz val="10"/>
        <rFont val="Arial"/>
        <family val="0"/>
        <charset val="1"/>
      </rPr>
      <t xml:space="preserve">.</t>
    </r>
  </si>
  <si>
    <t xml:space="preserve">쌍용계곡</t>
  </si>
  <si>
    <t xml:space="preserve">Ssangyong Valley</t>
  </si>
  <si>
    <r>
      <rPr>
        <sz val="10"/>
        <rFont val="Noto Sans CJK SC"/>
        <family val="2"/>
      </rPr>
      <t xml:space="preserve">너럭바위가 이어지는 여름 계곡</t>
    </r>
    <r>
      <rPr>
        <sz val="10"/>
        <rFont val="Arial"/>
        <family val="0"/>
        <charset val="1"/>
      </rPr>
      <t xml:space="preserve">.</t>
    </r>
  </si>
  <si>
    <t xml:space="preserve">아가페정원</t>
  </si>
  <si>
    <t xml:space="preserve">Agape Garden</t>
  </si>
  <si>
    <r>
      <rPr>
        <sz val="10"/>
        <rFont val="Noto Sans CJK SC"/>
        <family val="2"/>
      </rPr>
      <t xml:space="preserve">초여름 수국이 가득 피는 사설 정원</t>
    </r>
    <r>
      <rPr>
        <sz val="10"/>
        <rFont val="Arial"/>
        <family val="0"/>
        <charset val="1"/>
      </rPr>
      <t xml:space="preserve">.</t>
    </r>
  </si>
  <si>
    <t xml:space="preserve">아라리오갤러리</t>
  </si>
  <si>
    <t xml:space="preserve">Arario Gallery</t>
  </si>
  <si>
    <r>
      <rPr>
        <sz val="10"/>
        <rFont val="Noto Sans CJK SC"/>
        <family val="2"/>
      </rPr>
      <t xml:space="preserve">천안역 앞 현대미술 갤러리</t>
    </r>
    <r>
      <rPr>
        <sz val="10"/>
        <rFont val="Arial"/>
        <family val="0"/>
        <charset val="1"/>
      </rPr>
      <t xml:space="preserve">.</t>
    </r>
  </si>
  <si>
    <t xml:space="preserve">아미미술관</t>
  </si>
  <si>
    <t xml:space="preserve">Ami Art Museum</t>
  </si>
  <si>
    <r>
      <rPr>
        <sz val="10"/>
        <rFont val="Noto Sans CJK SC"/>
        <family val="2"/>
      </rPr>
      <t xml:space="preserve">폐교를 고친 담쟁이 미술관</t>
    </r>
    <r>
      <rPr>
        <sz val="10"/>
        <rFont val="Arial"/>
        <family val="0"/>
        <charset val="1"/>
      </rPr>
      <t xml:space="preserve">.</t>
    </r>
  </si>
  <si>
    <t xml:space="preserve">아바이마을</t>
  </si>
  <si>
    <t xml:space="preserve">Abai Village</t>
  </si>
  <si>
    <r>
      <rPr>
        <sz val="10"/>
        <rFont val="Noto Sans CJK SC"/>
        <family val="2"/>
      </rPr>
      <t xml:space="preserve">실향민이 이룬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갯배를 타고 건넌다</t>
    </r>
    <r>
      <rPr>
        <sz val="10"/>
        <rFont val="Arial"/>
        <family val="0"/>
        <charset val="1"/>
      </rPr>
      <t xml:space="preserve">.</t>
    </r>
  </si>
  <si>
    <t xml:space="preserve">아양기찻길</t>
  </si>
  <si>
    <t xml:space="preserve">Ayang Rail Bridge</t>
  </si>
  <si>
    <r>
      <rPr>
        <sz val="10"/>
        <rFont val="Noto Sans CJK SC"/>
        <family val="2"/>
      </rPr>
      <t xml:space="preserve">폐철교를 고친 전망 보행교와 갤러리</t>
    </r>
    <r>
      <rPr>
        <sz val="10"/>
        <rFont val="Arial"/>
        <family val="0"/>
        <charset val="1"/>
      </rPr>
      <t xml:space="preserve">.</t>
    </r>
  </si>
  <si>
    <t xml:space="preserve">아우라지</t>
  </si>
  <si>
    <t xml:space="preserve">Auraji</t>
  </si>
  <si>
    <r>
      <rPr>
        <sz val="10"/>
        <rFont val="Noto Sans CJK SC"/>
        <family val="2"/>
      </rPr>
      <t xml:space="preserve">송천과 골지천이 만나는 물목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정선아리랑의 배경이다</t>
    </r>
    <r>
      <rPr>
        <sz val="10"/>
        <rFont val="Arial"/>
        <family val="0"/>
        <charset val="1"/>
      </rPr>
      <t xml:space="preserve">.</t>
    </r>
  </si>
  <si>
    <t xml:space="preserve">아울렛 권역 호텔</t>
  </si>
  <si>
    <t xml:space="preserve">Outlet area hotels</t>
  </si>
  <si>
    <t xml:space="preserve">아중호수</t>
  </si>
  <si>
    <t xml:space="preserve">Ajung Lake</t>
  </si>
  <si>
    <r>
      <rPr>
        <sz val="10"/>
        <rFont val="Noto Sans CJK SC"/>
        <family val="2"/>
      </rPr>
      <t xml:space="preserve">둘레길과 카페가 늘어선 도심 호수</t>
    </r>
    <r>
      <rPr>
        <sz val="10"/>
        <rFont val="Arial"/>
        <family val="0"/>
        <charset val="1"/>
      </rPr>
      <t xml:space="preserve">.</t>
    </r>
  </si>
  <si>
    <t xml:space="preserve">아차산</t>
  </si>
  <si>
    <t xml:space="preserve">Achasan</t>
  </si>
  <si>
    <r>
      <rPr>
        <sz val="10"/>
        <rFont val="Noto Sans CJK SC"/>
        <family val="2"/>
      </rPr>
      <t xml:space="preserve">한강과 강동을 내려다보는 능선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고구려 보루가 남았다</t>
    </r>
    <r>
      <rPr>
        <sz val="10"/>
        <rFont val="Arial"/>
        <family val="0"/>
        <charset val="1"/>
      </rPr>
      <t xml:space="preserve">.</t>
    </r>
  </si>
  <si>
    <t xml:space="preserve">아침고요 권역 펜션</t>
  </si>
  <si>
    <t xml:space="preserve">Morning Calm area pensions</t>
  </si>
  <si>
    <t xml:space="preserve">아침고요수목원</t>
  </si>
  <si>
    <t xml:space="preserve">Garden of Morning Calm</t>
  </si>
  <si>
    <r>
      <rPr>
        <sz val="10"/>
        <rFont val="Noto Sans CJK SC"/>
        <family val="2"/>
      </rPr>
      <t xml:space="preserve">축령산 자락의 정원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 오색별빛정원전이 열린다</t>
    </r>
    <r>
      <rPr>
        <sz val="10"/>
        <rFont val="Arial"/>
        <family val="0"/>
        <charset val="1"/>
      </rPr>
      <t xml:space="preserve">.</t>
    </r>
  </si>
  <si>
    <t xml:space="preserve">아쿠아플라넷 여수</t>
  </si>
  <si>
    <t xml:space="preserve">Aquaplanet Yeosu</t>
  </si>
  <si>
    <r>
      <rPr>
        <sz val="10"/>
        <rFont val="Noto Sans CJK SC"/>
        <family val="2"/>
      </rPr>
      <t xml:space="preserve">엑스포장 옆의 대형 수족관</t>
    </r>
    <r>
      <rPr>
        <sz val="10"/>
        <rFont val="Arial"/>
        <family val="0"/>
        <charset val="1"/>
      </rPr>
      <t xml:space="preserve">.</t>
    </r>
  </si>
  <si>
    <t xml:space="preserve">아쿠아플라넷 제주</t>
  </si>
  <si>
    <t xml:space="preserve">Aquaplanet Jeju</t>
  </si>
  <si>
    <r>
      <rPr>
        <sz val="10"/>
        <rFont val="Noto Sans CJK SC"/>
        <family val="2"/>
      </rPr>
      <t xml:space="preserve">국내 최대 규모의 아쿠아리움</t>
    </r>
    <r>
      <rPr>
        <sz val="10"/>
        <rFont val="Arial"/>
        <family val="0"/>
        <charset val="1"/>
      </rPr>
      <t xml:space="preserve">.</t>
    </r>
  </si>
  <si>
    <t xml:space="preserve">안동 시내 호텔</t>
  </si>
  <si>
    <t xml:space="preserve">Andong city hotels</t>
  </si>
  <si>
    <t xml:space="preserve">안동 신세동 벽화마을</t>
  </si>
  <si>
    <t xml:space="preserve">Sinse-dong Mural Village</t>
  </si>
  <si>
    <r>
      <rPr>
        <sz val="10"/>
        <rFont val="Noto Sans CJK SC"/>
        <family val="2"/>
      </rPr>
      <t xml:space="preserve">철길 옆 언덕을 오르는 그림 골목</t>
    </r>
    <r>
      <rPr>
        <sz val="10"/>
        <rFont val="Arial"/>
        <family val="0"/>
        <charset val="1"/>
      </rPr>
      <t xml:space="preserve">.</t>
    </r>
  </si>
  <si>
    <t xml:space="preserve">안동 이육사문학관</t>
  </si>
  <si>
    <t xml:space="preserve">Yi Yuksa Literary Museum</t>
  </si>
  <si>
    <r>
      <rPr>
        <sz val="10"/>
        <rFont val="Noto Sans CJK SC"/>
        <family val="2"/>
      </rPr>
      <t xml:space="preserve">시인이자 독립운동가의 생가 마을 기념관</t>
    </r>
    <r>
      <rPr>
        <sz val="10"/>
        <rFont val="Arial"/>
        <family val="0"/>
        <charset val="1"/>
      </rPr>
      <t xml:space="preserve">.</t>
    </r>
  </si>
  <si>
    <t xml:space="preserve">안동구시장 찜닭골목</t>
  </si>
  <si>
    <t xml:space="preserve">Andong Jjimdak Alley</t>
  </si>
  <si>
    <r>
      <rPr>
        <sz val="10"/>
        <rFont val="Noto Sans CJK SC"/>
        <family val="2"/>
      </rPr>
      <t xml:space="preserve">안동찜닭 가게가 모인 골목</t>
    </r>
    <r>
      <rPr>
        <sz val="10"/>
        <rFont val="Arial"/>
        <family val="0"/>
        <charset val="1"/>
      </rPr>
      <t xml:space="preserve">.</t>
    </r>
  </si>
  <si>
    <t xml:space="preserve">안동댐 물문화관</t>
  </si>
  <si>
    <t xml:space="preserve">Andong Dam Water Culture Hall</t>
  </si>
  <si>
    <r>
      <rPr>
        <sz val="10"/>
        <rFont val="Noto Sans CJK SC"/>
        <family val="2"/>
      </rPr>
      <t xml:space="preserve">호수와 댐을 내려다보는 전시관</t>
    </r>
    <r>
      <rPr>
        <sz val="10"/>
        <rFont val="Arial"/>
        <family val="0"/>
        <charset val="1"/>
      </rPr>
      <t xml:space="preserve">.</t>
    </r>
  </si>
  <si>
    <t xml:space="preserve">안동민속촌</t>
  </si>
  <si>
    <t xml:space="preserve">Andong Folk Village</t>
  </si>
  <si>
    <r>
      <rPr>
        <sz val="10"/>
        <rFont val="Noto Sans CJK SC"/>
        <family val="2"/>
      </rPr>
      <t xml:space="preserve">수몰 마을에서 옮겨 온 민가와 정자</t>
    </r>
    <r>
      <rPr>
        <sz val="10"/>
        <rFont val="Arial"/>
        <family val="0"/>
        <charset val="1"/>
      </rPr>
      <t xml:space="preserve">.</t>
    </r>
  </si>
  <si>
    <t xml:space="preserve">안동하회마을</t>
  </si>
  <si>
    <t xml:space="preserve">Hahoe Folk Village</t>
  </si>
  <si>
    <r>
      <rPr>
        <sz val="10"/>
        <rFont val="Noto Sans CJK SC"/>
        <family val="2"/>
      </rPr>
      <t xml:space="preserve">낙동강이 감아 도는 씨족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</si>
  <si>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안면도 자연휴양림</t>
  </si>
  <si>
    <t xml:space="preserve">Anmyeondo Forest Resort</t>
  </si>
  <si>
    <r>
      <rPr>
        <sz val="10"/>
        <rFont val="Noto Sans CJK SC"/>
        <family val="2"/>
      </rPr>
      <t xml:space="preserve">수령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년 안면송이 자라는 휴양림</t>
    </r>
    <r>
      <rPr>
        <sz val="10"/>
        <rFont val="Arial"/>
        <family val="0"/>
        <charset val="1"/>
      </rPr>
      <t xml:space="preserve">.</t>
    </r>
  </si>
  <si>
    <t xml:space="preserve">안면도 펜션</t>
  </si>
  <si>
    <t xml:space="preserve">Anmyeondo pensions</t>
  </si>
  <si>
    <t xml:space="preserve">안목해변 스테이</t>
  </si>
  <si>
    <t xml:space="preserve">Anmok Beach stays</t>
  </si>
  <si>
    <t xml:space="preserve">안목해변 커피거리</t>
  </si>
  <si>
    <t xml:space="preserve">Anmok Coffee Street</t>
  </si>
  <si>
    <r>
      <rPr>
        <sz val="10"/>
        <rFont val="Noto Sans CJK SC"/>
        <family val="2"/>
      </rPr>
      <t xml:space="preserve">바다를 마주한 카페 거리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강릉 커피 문화의 출발점이다</t>
    </r>
    <r>
      <rPr>
        <sz val="10"/>
        <rFont val="Arial"/>
        <family val="0"/>
        <charset val="1"/>
      </rPr>
      <t xml:space="preserve">.</t>
    </r>
  </si>
  <si>
    <t xml:space="preserve">안민고개 전망대</t>
  </si>
  <si>
    <t xml:space="preserve">Anmin Pass Lookout</t>
  </si>
  <si>
    <r>
      <rPr>
        <sz val="10"/>
        <rFont val="Noto Sans CJK SC"/>
        <family val="2"/>
      </rPr>
      <t xml:space="preserve">진해만과 창원 시가지를 한눈에 보는 고갯길</t>
    </r>
    <r>
      <rPr>
        <sz val="10"/>
        <rFont val="Arial"/>
        <family val="0"/>
        <charset val="1"/>
      </rPr>
      <t xml:space="preserve">.</t>
    </r>
  </si>
  <si>
    <t xml:space="preserve">안반데기</t>
  </si>
  <si>
    <t xml:space="preserve">Anbandegi</t>
  </si>
  <si>
    <r>
      <rPr>
        <sz val="10"/>
        <rFont val="Noto Sans CJK SC"/>
        <family val="2"/>
      </rPr>
      <t xml:space="preserve">해발 </t>
    </r>
    <r>
      <rPr>
        <sz val="10"/>
        <rFont val="Arial"/>
        <family val="0"/>
        <charset val="1"/>
      </rPr>
      <t xml:space="preserve">1100m </t>
    </r>
    <r>
      <rPr>
        <sz val="10"/>
        <rFont val="Noto Sans CJK SC"/>
        <family val="2"/>
      </rPr>
      <t xml:space="preserve">고랭지 배추밭과 은하수 촬영지</t>
    </r>
    <r>
      <rPr>
        <sz val="10"/>
        <rFont val="Arial"/>
        <family val="0"/>
        <charset val="1"/>
      </rPr>
      <t xml:space="preserve">.</t>
    </r>
  </si>
  <si>
    <t xml:space="preserve">알펜시아</t>
  </si>
  <si>
    <t xml:space="preserve">Alpensia</t>
  </si>
  <si>
    <r>
      <rPr>
        <sz val="10"/>
        <rFont val="Arial"/>
        <family val="0"/>
        <charset val="1"/>
      </rPr>
      <t xml:space="preserve">2018 </t>
    </r>
    <r>
      <rPr>
        <sz val="10"/>
        <rFont val="Noto Sans CJK SC"/>
        <family val="2"/>
      </rPr>
      <t xml:space="preserve">동계올림픽 시설이 남은 리조트</t>
    </r>
    <r>
      <rPr>
        <sz val="10"/>
        <rFont val="Arial"/>
        <family val="0"/>
        <charset val="1"/>
      </rPr>
      <t xml:space="preserve">.</t>
    </r>
  </si>
  <si>
    <t xml:space="preserve">앞산전망대</t>
  </si>
  <si>
    <t xml:space="preserve">Apsan Observatory</t>
  </si>
  <si>
    <r>
      <rPr>
        <sz val="10"/>
        <rFont val="Noto Sans CJK SC"/>
        <family val="2"/>
      </rPr>
      <t xml:space="preserve">케이블카로 오르는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대구 분지가 한눈에 들어온다</t>
    </r>
    <r>
      <rPr>
        <sz val="10"/>
        <rFont val="Arial"/>
        <family val="0"/>
        <charset val="1"/>
      </rPr>
      <t xml:space="preserve">.</t>
    </r>
  </si>
  <si>
    <t xml:space="preserve">애니메이션박물관</t>
  </si>
  <si>
    <t xml:space="preserve">Animation Museum</t>
  </si>
  <si>
    <r>
      <rPr>
        <sz val="10"/>
        <rFont val="Noto Sans CJK SC"/>
        <family val="2"/>
      </rPr>
      <t xml:space="preserve">국내 유일의 애니메이션 종합 박물관</t>
    </r>
    <r>
      <rPr>
        <sz val="10"/>
        <rFont val="Arial"/>
        <family val="0"/>
        <charset val="1"/>
      </rPr>
      <t xml:space="preserve">.</t>
    </r>
  </si>
  <si>
    <t xml:space="preserve">양남 주상절리 파도소리길</t>
  </si>
  <si>
    <t xml:space="preserve">Yangnam Columnar Joint Trail</t>
  </si>
  <si>
    <r>
      <rPr>
        <sz val="10"/>
        <rFont val="Noto Sans CJK SC"/>
        <family val="2"/>
      </rPr>
      <t xml:space="preserve">부채꼴 주상절리를 따라 걷는 해안길</t>
    </r>
    <r>
      <rPr>
        <sz val="10"/>
        <rFont val="Arial"/>
        <family val="0"/>
        <charset val="1"/>
      </rPr>
      <t xml:space="preserve">.</t>
    </r>
  </si>
  <si>
    <t xml:space="preserve">양림동 근대역사문화마을</t>
  </si>
  <si>
    <t xml:space="preserve">Yangnim-dong Historic Village</t>
  </si>
  <si>
    <r>
      <rPr>
        <sz val="10"/>
        <rFont val="Noto Sans CJK SC"/>
        <family val="2"/>
      </rPr>
      <t xml:space="preserve">선교사 사택과 한옥이 남은 근대 골목</t>
    </r>
    <r>
      <rPr>
        <sz val="10"/>
        <rFont val="Arial"/>
        <family val="0"/>
        <charset val="1"/>
      </rPr>
      <t xml:space="preserve">.</t>
    </r>
  </si>
  <si>
    <t xml:space="preserve">양산 신흥사</t>
  </si>
  <si>
    <t xml:space="preserve">Sinheungsa Temple Yangsan</t>
  </si>
  <si>
    <r>
      <rPr>
        <sz val="10"/>
        <rFont val="Noto Sans CJK SC"/>
        <family val="2"/>
      </rPr>
      <t xml:space="preserve">대광전 벽화로 알려진 천성산 고찰</t>
    </r>
    <r>
      <rPr>
        <sz val="10"/>
        <rFont val="Arial"/>
        <family val="0"/>
        <charset val="1"/>
      </rPr>
      <t xml:space="preserve">.</t>
    </r>
  </si>
  <si>
    <t xml:space="preserve">양산 워터파크 웅상</t>
  </si>
  <si>
    <t xml:space="preserve">Ungsang Spa Valley</t>
  </si>
  <si>
    <r>
      <rPr>
        <sz val="10"/>
        <rFont val="Noto Sans CJK SC"/>
        <family val="2"/>
      </rPr>
      <t xml:space="preserve">천성산 동쪽 웅상권의 온천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물놀이 시설</t>
    </r>
    <r>
      <rPr>
        <sz val="10"/>
        <rFont val="Arial"/>
        <family val="0"/>
        <charset val="1"/>
      </rPr>
      <t xml:space="preserve">.</t>
    </r>
  </si>
  <si>
    <t xml:space="preserve">양산시립박물관</t>
  </si>
  <si>
    <t xml:space="preserve">Yangsan City Museum</t>
  </si>
  <si>
    <r>
      <rPr>
        <sz val="10"/>
        <rFont val="Noto Sans CJK SC"/>
        <family val="2"/>
      </rPr>
      <t xml:space="preserve">북정리 고분군 출토품을 모은 지역 박물관</t>
    </r>
    <r>
      <rPr>
        <sz val="10"/>
        <rFont val="Arial"/>
        <family val="0"/>
        <charset val="1"/>
      </rPr>
      <t xml:space="preserve">.</t>
    </r>
  </si>
  <si>
    <t xml:space="preserve">양주 나리공원</t>
  </si>
  <si>
    <t xml:space="preserve">Yangju Nari Park</t>
  </si>
  <si>
    <r>
      <rPr>
        <sz val="10"/>
        <rFont val="Noto Sans CJK SC"/>
        <family val="2"/>
      </rPr>
      <t xml:space="preserve">가을 천일홍으로 알려진 넓은 화훼 공원</t>
    </r>
    <r>
      <rPr>
        <sz val="10"/>
        <rFont val="Arial"/>
        <family val="0"/>
        <charset val="1"/>
      </rPr>
      <t xml:space="preserve">.</t>
    </r>
  </si>
  <si>
    <t xml:space="preserve">양주 별산대놀이마당</t>
  </si>
  <si>
    <t xml:space="preserve">Yangju Byeolsandae Theatre</t>
  </si>
  <si>
    <r>
      <rPr>
        <sz val="10"/>
        <rFont val="Noto Sans CJK SC"/>
        <family val="2"/>
      </rPr>
      <t xml:space="preserve">국가무형유산 탈놀이를 전수하는 마당</t>
    </r>
    <r>
      <rPr>
        <sz val="10"/>
        <rFont val="Arial"/>
        <family val="0"/>
        <charset val="1"/>
      </rPr>
      <t xml:space="preserve">.</t>
    </r>
  </si>
  <si>
    <t xml:space="preserve">양주관아지</t>
  </si>
  <si>
    <t xml:space="preserve">Yangju Government Office Site</t>
  </si>
  <si>
    <r>
      <rPr>
        <sz val="10"/>
        <rFont val="Noto Sans CJK SC"/>
        <family val="2"/>
      </rPr>
      <t xml:space="preserve">조선 양주목의 관아 터와 복원 건물</t>
    </r>
    <r>
      <rPr>
        <sz val="10"/>
        <rFont val="Arial"/>
        <family val="0"/>
        <charset val="1"/>
      </rPr>
      <t xml:space="preserve">.</t>
    </r>
  </si>
  <si>
    <t xml:space="preserve">양주시립장욱진미술관</t>
  </si>
  <si>
    <t xml:space="preserve">Chang Ucchin Museum</t>
  </si>
  <si>
    <r>
      <rPr>
        <sz val="10"/>
        <rFont val="Noto Sans CJK SC"/>
        <family val="2"/>
      </rPr>
      <t xml:space="preserve">화가 장욱진을 기리는 흰 건축의 미술관</t>
    </r>
    <r>
      <rPr>
        <sz val="10"/>
        <rFont val="Arial"/>
        <family val="0"/>
        <charset val="1"/>
      </rPr>
      <t xml:space="preserve">.</t>
    </r>
  </si>
  <si>
    <t xml:space="preserve">양평 용문사</t>
  </si>
  <si>
    <t xml:space="preserve">Yongmunsa Temple</t>
  </si>
  <si>
    <r>
      <rPr>
        <sz val="10"/>
        <rFont val="Noto Sans CJK SC"/>
        <family val="2"/>
      </rPr>
      <t xml:space="preserve">천년 은행나무가 선 절</t>
    </r>
    <r>
      <rPr>
        <sz val="10"/>
        <rFont val="Arial"/>
        <family val="0"/>
        <charset val="1"/>
      </rPr>
      <t xml:space="preserve">.</t>
    </r>
  </si>
  <si>
    <t xml:space="preserve">양평 읍내 숙소</t>
  </si>
  <si>
    <t xml:space="preserve">Yangpyeong town stays</t>
  </si>
  <si>
    <t xml:space="preserve">양평물맑은시장</t>
  </si>
  <si>
    <t xml:space="preserve">Yangpyeong Market</t>
  </si>
  <si>
    <r>
      <rPr>
        <sz val="10"/>
        <rFont val="Noto Sans CJK SC"/>
        <family val="2"/>
      </rPr>
      <t xml:space="preserve">한우와 나물로 알려진 오일장</t>
    </r>
    <r>
      <rPr>
        <sz val="10"/>
        <rFont val="Arial"/>
        <family val="0"/>
        <charset val="1"/>
      </rPr>
      <t xml:space="preserve">.</t>
    </r>
  </si>
  <si>
    <t xml:space="preserve">엉또폭포</t>
  </si>
  <si>
    <t xml:space="preserve">Eongtto Falls</t>
  </si>
  <si>
    <r>
      <rPr>
        <sz val="10"/>
        <rFont val="Noto Sans CJK SC"/>
        <family val="2"/>
      </rPr>
      <t xml:space="preserve">비가 와야 모습을 드러내는 숲속 폭포</t>
    </r>
    <r>
      <rPr>
        <sz val="10"/>
        <rFont val="Arial"/>
        <family val="0"/>
        <charset val="1"/>
      </rPr>
      <t xml:space="preserve">.</t>
    </r>
  </si>
  <si>
    <t xml:space="preserve">에덴밸리</t>
  </si>
  <si>
    <t xml:space="preserve">Eden Valley</t>
  </si>
  <si>
    <r>
      <rPr>
        <sz val="10"/>
        <rFont val="Noto Sans CJK SC"/>
        <family val="2"/>
      </rPr>
      <t xml:space="preserve">영남 남부의 스키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리조트 단지</t>
    </r>
    <r>
      <rPr>
        <sz val="10"/>
        <rFont val="Arial"/>
        <family val="0"/>
        <charset val="1"/>
      </rPr>
      <t xml:space="preserve">.</t>
    </r>
  </si>
  <si>
    <t xml:space="preserve">에델바이스 스위스테마파크</t>
  </si>
  <si>
    <t xml:space="preserve">Edelweiss Swiss Theme Park</t>
  </si>
  <si>
    <r>
      <rPr>
        <sz val="10"/>
        <rFont val="Noto Sans CJK SC"/>
        <family val="2"/>
      </rPr>
      <t xml:space="preserve">스위스 마을을 재현한 테마파크</t>
    </r>
    <r>
      <rPr>
        <sz val="10"/>
        <rFont val="Arial"/>
        <family val="0"/>
        <charset val="1"/>
      </rPr>
      <t xml:space="preserve">.</t>
    </r>
  </si>
  <si>
    <t xml:space="preserve">에버랜드</t>
  </si>
  <si>
    <t xml:space="preserve">Everland</t>
  </si>
  <si>
    <r>
      <rPr>
        <sz val="10"/>
        <rFont val="Noto Sans CJK SC"/>
        <family val="2"/>
      </rPr>
      <t xml:space="preserve">국내 최대 테마파크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사파리와 장미원이 있다</t>
    </r>
    <r>
      <rPr>
        <sz val="10"/>
        <rFont val="Arial"/>
        <family val="0"/>
        <charset val="1"/>
      </rPr>
      <t xml:space="preserve">.</t>
    </r>
  </si>
  <si>
    <t xml:space="preserve">에버랜드 권역 리조트</t>
  </si>
  <si>
    <t xml:space="preserve">Everland area resorts</t>
  </si>
  <si>
    <t xml:space="preserve">에코랄라</t>
  </si>
  <si>
    <t xml:space="preserve">Ecorium Mungyeong</t>
  </si>
  <si>
    <r>
      <rPr>
        <sz val="10"/>
        <rFont val="Noto Sans CJK SC"/>
        <family val="2"/>
      </rPr>
      <t xml:space="preserve">석탄박물관과 영상테마파크가 함께 있다</t>
    </r>
    <r>
      <rPr>
        <sz val="10"/>
        <rFont val="Arial"/>
        <family val="0"/>
        <charset val="1"/>
      </rPr>
      <t xml:space="preserve">.</t>
    </r>
  </si>
  <si>
    <t xml:space="preserve">엑스포과학공원 한빛탑</t>
  </si>
  <si>
    <t xml:space="preserve">Expo Park Hanbit Tower</t>
  </si>
  <si>
    <r>
      <rPr>
        <sz val="10"/>
        <rFont val="Arial"/>
        <family val="0"/>
        <charset val="1"/>
      </rPr>
      <t xml:space="preserve">1993</t>
    </r>
    <r>
      <rPr>
        <sz val="10"/>
        <rFont val="Noto Sans CJK SC"/>
        <family val="2"/>
      </rPr>
      <t xml:space="preserve">년 대전엑스포의 상징탑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전망대에서 갑천 일대가 보인다</t>
    </r>
    <r>
      <rPr>
        <sz val="10"/>
        <rFont val="Arial"/>
        <family val="0"/>
        <charset val="1"/>
      </rPr>
      <t xml:space="preserve">.</t>
    </r>
  </si>
  <si>
    <t xml:space="preserve">여수세계박람회장</t>
  </si>
  <si>
    <t xml:space="preserve">Yeosu Expo Park</t>
  </si>
  <si>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엑스포 부지에 남은 해양 전시 단지</t>
    </r>
    <r>
      <rPr>
        <sz val="10"/>
        <rFont val="Arial"/>
        <family val="0"/>
        <charset val="1"/>
      </rPr>
      <t xml:space="preserve">.</t>
    </r>
  </si>
  <si>
    <t xml:space="preserve">여수엑스포 권역 호텔</t>
  </si>
  <si>
    <t xml:space="preserve">Yeosu Expo area hotels</t>
  </si>
  <si>
    <t xml:space="preserve">여수해상케이블카</t>
  </si>
  <si>
    <t xml:space="preserve">Yeosu Maritime Cable Car</t>
  </si>
  <si>
    <r>
      <rPr>
        <sz val="10"/>
        <rFont val="Noto Sans CJK SC"/>
        <family val="2"/>
      </rPr>
      <t xml:space="preserve">돌산과 자산공원을 잇는 해상 케이블카</t>
    </r>
    <r>
      <rPr>
        <sz val="10"/>
        <rFont val="Arial"/>
        <family val="0"/>
        <charset val="1"/>
      </rPr>
      <t xml:space="preserve">.</t>
    </r>
  </si>
  <si>
    <t xml:space="preserve">여주 도자세상</t>
  </si>
  <si>
    <t xml:space="preserve">Yeoju Ceramic World</t>
  </si>
  <si>
    <r>
      <rPr>
        <sz val="10"/>
        <rFont val="Noto Sans CJK SC"/>
        <family val="2"/>
      </rPr>
      <t xml:space="preserve">도예 공방과 전시가 모인 도자 단지</t>
    </r>
    <r>
      <rPr>
        <sz val="10"/>
        <rFont val="Arial"/>
        <family val="0"/>
        <charset val="1"/>
      </rPr>
      <t xml:space="preserve">.</t>
    </r>
  </si>
  <si>
    <t xml:space="preserve">여주 프리미엄아울렛</t>
  </si>
  <si>
    <t xml:space="preserve">Yeoju Premium Outlets</t>
  </si>
  <si>
    <r>
      <rPr>
        <sz val="10"/>
        <rFont val="Noto Sans CJK SC"/>
        <family val="2"/>
      </rPr>
      <t xml:space="preserve">국내 첫 프리미엄 아울렛</t>
    </r>
    <r>
      <rPr>
        <sz val="10"/>
        <rFont val="Arial"/>
        <family val="0"/>
        <charset val="1"/>
      </rPr>
      <t xml:space="preserve">.</t>
    </r>
  </si>
  <si>
    <t xml:space="preserve">여차몽돌해변</t>
  </si>
  <si>
    <t xml:space="preserve">Yeocha Pebble Beach</t>
  </si>
  <si>
    <r>
      <rPr>
        <sz val="10"/>
        <rFont val="Noto Sans CJK SC"/>
        <family val="2"/>
      </rPr>
      <t xml:space="preserve">해안도로 끝의 몽돌 해변</t>
    </r>
    <r>
      <rPr>
        <sz val="10"/>
        <rFont val="Arial"/>
        <family val="0"/>
        <charset val="1"/>
      </rPr>
      <t xml:space="preserve">.</t>
    </r>
  </si>
  <si>
    <t xml:space="preserve">연화도</t>
  </si>
  <si>
    <t xml:space="preserve">Yeonhwado</t>
  </si>
  <si>
    <r>
      <rPr>
        <sz val="10"/>
        <rFont val="Noto Sans CJK SC"/>
        <family val="2"/>
      </rPr>
      <t xml:space="preserve">절벽 능선과 용머리 해안으로 알려진 섬</t>
    </r>
    <r>
      <rPr>
        <sz val="10"/>
        <rFont val="Arial"/>
        <family val="0"/>
        <charset val="1"/>
      </rPr>
      <t xml:space="preserve">.</t>
    </r>
  </si>
  <si>
    <t xml:space="preserve">영금정</t>
  </si>
  <si>
    <t xml:space="preserve">Yeonggeumjeong</t>
  </si>
  <si>
    <r>
      <rPr>
        <sz val="10"/>
        <rFont val="Noto Sans CJK SC"/>
        <family val="2"/>
      </rPr>
      <t xml:space="preserve">파도가 바위에 부딪히는 정자 전망대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일출 자리로 알려져 있다</t>
    </r>
    <r>
      <rPr>
        <sz val="10"/>
        <rFont val="Arial"/>
        <family val="0"/>
        <charset val="1"/>
      </rPr>
      <t xml:space="preserve">.</t>
    </r>
  </si>
  <si>
    <t xml:space="preserve">영남루</t>
  </si>
  <si>
    <t xml:space="preserve">Yeongnamnu</t>
  </si>
  <si>
    <r>
      <rPr>
        <sz val="10"/>
        <rFont val="Noto Sans CJK SC"/>
        <family val="2"/>
      </rPr>
      <t xml:space="preserve">밀양강 절벽 위의 조선 누각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국보다</t>
    </r>
    <r>
      <rPr>
        <sz val="10"/>
        <rFont val="Arial"/>
        <family val="0"/>
        <charset val="1"/>
      </rPr>
      <t xml:space="preserve">.</t>
    </r>
  </si>
  <si>
    <t xml:space="preserve">영남알프스 하늘억새길</t>
  </si>
  <si>
    <t xml:space="preserve">Yeongnam Alps Sky Ridge</t>
  </si>
  <si>
    <r>
      <rPr>
        <sz val="10"/>
        <rFont val="Noto Sans CJK SC"/>
        <family val="2"/>
      </rPr>
      <t xml:space="preserve">천황산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재약산으로 이어지는 억새 능선길</t>
    </r>
    <r>
      <rPr>
        <sz val="10"/>
        <rFont val="Arial"/>
        <family val="0"/>
        <charset val="1"/>
      </rPr>
      <t xml:space="preserve">.</t>
    </r>
  </si>
  <si>
    <t xml:space="preserve">영덕 블루로드</t>
  </si>
  <si>
    <t xml:space="preserve">Yeongdeok Blue Road</t>
  </si>
  <si>
    <r>
      <rPr>
        <sz val="10"/>
        <rFont val="Noto Sans CJK SC"/>
        <family val="2"/>
      </rPr>
      <t xml:space="preserve">해안 절벽을 따라 난 </t>
    </r>
    <r>
      <rPr>
        <sz val="10"/>
        <rFont val="Arial"/>
        <family val="0"/>
        <charset val="1"/>
      </rPr>
      <t xml:space="preserve">64km </t>
    </r>
    <r>
      <rPr>
        <sz val="10"/>
        <rFont val="Noto Sans CJK SC"/>
        <family val="2"/>
      </rPr>
      <t xml:space="preserve">도보길</t>
    </r>
    <r>
      <rPr>
        <sz val="10"/>
        <rFont val="Arial"/>
        <family val="0"/>
        <charset val="1"/>
      </rPr>
      <t xml:space="preserve">.</t>
    </r>
  </si>
  <si>
    <t xml:space="preserve">영랑호 범바위</t>
  </si>
  <si>
    <t xml:space="preserve">Yeongnangho Beombawi</t>
  </si>
  <si>
    <r>
      <rPr>
        <sz val="10"/>
        <rFont val="Noto Sans CJK SC"/>
        <family val="2"/>
      </rPr>
      <t xml:space="preserve">석호를 두른 둘레길과 호수 위 부교</t>
    </r>
    <r>
      <rPr>
        <sz val="10"/>
        <rFont val="Arial"/>
        <family val="0"/>
        <charset val="1"/>
      </rPr>
      <t xml:space="preserve">.</t>
    </r>
  </si>
  <si>
    <t xml:space="preserve">영월읍 시내 숙소</t>
  </si>
  <si>
    <t xml:space="preserve">Yeongwol town hotels</t>
  </si>
  <si>
    <t xml:space="preserve">영일대 해변 호텔</t>
  </si>
  <si>
    <t xml:space="preserve">Yeongildae Beach hotels</t>
  </si>
  <si>
    <t xml:space="preserve">영일대 해상누각</t>
  </si>
  <si>
    <t xml:space="preserve">Yeongildae Sea Pavilion</t>
  </si>
  <si>
    <r>
      <rPr>
        <sz val="10"/>
        <rFont val="Noto Sans CJK SC"/>
        <family val="2"/>
      </rPr>
      <t xml:space="preserve">바다 위로 놓인 누각과 제철소 야경</t>
    </r>
    <r>
      <rPr>
        <sz val="10"/>
        <rFont val="Arial"/>
        <family val="0"/>
        <charset val="1"/>
      </rPr>
      <t xml:space="preserve">.</t>
    </r>
  </si>
  <si>
    <t xml:space="preserve">영일대해수욕장</t>
  </si>
  <si>
    <t xml:space="preserve">Yeongildae Beach</t>
  </si>
  <si>
    <r>
      <rPr>
        <sz val="10"/>
        <rFont val="Noto Sans CJK SC"/>
        <family val="2"/>
      </rPr>
      <t xml:space="preserve">바다 위 누각이 있는 도심 해변</t>
    </r>
    <r>
      <rPr>
        <sz val="10"/>
        <rFont val="Arial"/>
        <family val="0"/>
        <charset val="1"/>
      </rPr>
      <t xml:space="preserve">.</t>
    </r>
  </si>
  <si>
    <t xml:space="preserve">영종도 구읍뱃터</t>
  </si>
  <si>
    <t xml:space="preserve">Yeongjong Guyeop Ferry Pier</t>
  </si>
  <si>
    <r>
      <rPr>
        <sz val="10"/>
        <rFont val="Noto Sans CJK SC"/>
        <family val="2"/>
      </rPr>
      <t xml:space="preserve">월미도행 배가 뜨는 옛 선착장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노을 카페가 늘어선다</t>
    </r>
    <r>
      <rPr>
        <sz val="10"/>
        <rFont val="Arial"/>
        <family val="0"/>
        <charset val="1"/>
      </rPr>
      <t xml:space="preserve">.</t>
    </r>
  </si>
  <si>
    <t xml:space="preserve">영주 시내 숙소</t>
  </si>
  <si>
    <t xml:space="preserve">Yeongju town stays</t>
  </si>
  <si>
    <t xml:space="preserve">영축산 자장암</t>
  </si>
  <si>
    <t xml:space="preserve">Jajangam Hermitage</t>
  </si>
  <si>
    <r>
      <rPr>
        <sz val="10"/>
        <rFont val="Noto Sans CJK SC"/>
        <family val="2"/>
      </rPr>
      <t xml:space="preserve">통도사 산내 암자 가운데 금와보살 전설이 남은 곳</t>
    </r>
    <r>
      <rPr>
        <sz val="10"/>
        <rFont val="Arial"/>
        <family val="0"/>
        <charset val="1"/>
      </rPr>
      <t xml:space="preserve">.</t>
    </r>
  </si>
  <si>
    <t xml:space="preserve">영취산 진달래</t>
  </si>
  <si>
    <t xml:space="preserve">Yeongchwisan Azaleas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</si>
  <si>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월이면 산 전체가 붉어지는 진달래 군락</t>
    </r>
    <r>
      <rPr>
        <sz val="10"/>
        <rFont val="Arial"/>
        <family val="0"/>
        <charset val="1"/>
      </rPr>
      <t xml:space="preserve">.</t>
    </r>
  </si>
  <si>
    <t xml:space="preserve">예끼마을</t>
  </si>
  <si>
    <t xml:space="preserve">Yekki Village</t>
  </si>
  <si>
    <r>
      <rPr>
        <sz val="10"/>
        <rFont val="Noto Sans CJK SC"/>
        <family val="2"/>
      </rPr>
      <t xml:space="preserve">수몰 마을에 들어선 벽화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공방 마을</t>
    </r>
    <r>
      <rPr>
        <sz val="10"/>
        <rFont val="Arial"/>
        <family val="0"/>
        <charset val="1"/>
      </rPr>
      <t xml:space="preserve">.</t>
    </r>
  </si>
  <si>
    <t xml:space="preserve">예당호 출렁다리</t>
  </si>
  <si>
    <t xml:space="preserve">Yedangho Suspension Bridge</t>
  </si>
  <si>
    <r>
      <rPr>
        <sz val="10"/>
        <rFont val="Noto Sans CJK SC"/>
        <family val="2"/>
      </rPr>
      <t xml:space="preserve">호수를 건너는 </t>
    </r>
    <r>
      <rPr>
        <sz val="10"/>
        <rFont val="Arial"/>
        <family val="0"/>
        <charset val="1"/>
      </rPr>
      <t xml:space="preserve">402m </t>
    </r>
    <r>
      <rPr>
        <sz val="10"/>
        <rFont val="Noto Sans CJK SC"/>
        <family val="2"/>
      </rPr>
      <t xml:space="preserve">보행 현수교</t>
    </r>
    <r>
      <rPr>
        <sz val="10"/>
        <rFont val="Arial"/>
        <family val="0"/>
        <charset val="1"/>
      </rPr>
      <t xml:space="preserve">.</t>
    </r>
  </si>
  <si>
    <t xml:space="preserve">예산상설시장</t>
  </si>
  <si>
    <t xml:space="preserve">Yesan Market</t>
  </si>
  <si>
    <r>
      <rPr>
        <sz val="10"/>
        <rFont val="Noto Sans CJK SC"/>
        <family val="2"/>
      </rPr>
      <t xml:space="preserve">장터를 개조한 먹거리 골목으로 알려진 시장</t>
    </r>
    <r>
      <rPr>
        <sz val="10"/>
        <rFont val="Arial"/>
        <family val="0"/>
        <charset val="1"/>
      </rPr>
      <t xml:space="preserve">.</t>
    </r>
  </si>
  <si>
    <t xml:space="preserve">예스파크 도자예술마을</t>
  </si>
  <si>
    <t xml:space="preserve">Yespark Ceramic Village</t>
  </si>
  <si>
    <r>
      <rPr>
        <sz val="10"/>
        <rFont val="Noto Sans CJK SC"/>
        <family val="2"/>
      </rPr>
      <t xml:space="preserve">도예 공방 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여 곳이 모인 마을</t>
    </r>
    <r>
      <rPr>
        <sz val="10"/>
        <rFont val="Arial"/>
        <family val="0"/>
        <charset val="1"/>
      </rPr>
      <t xml:space="preserve">.</t>
    </r>
  </si>
  <si>
    <t xml:space="preserve">오대산 월정사</t>
  </si>
  <si>
    <t xml:space="preserve">Woljeongsa Temple</t>
  </si>
  <si>
    <r>
      <rPr>
        <sz val="10"/>
        <rFont val="Noto Sans CJK SC"/>
        <family val="2"/>
      </rPr>
      <t xml:space="preserve">전나무 숲길로 드는 오대산의 절</t>
    </r>
    <r>
      <rPr>
        <sz val="10"/>
        <rFont val="Arial"/>
        <family val="0"/>
        <charset val="1"/>
      </rPr>
      <t xml:space="preserve">.</t>
    </r>
  </si>
  <si>
    <t xml:space="preserve">오동도</t>
  </si>
  <si>
    <t xml:space="preserve">Odongdo</t>
  </si>
  <si>
    <r>
      <rPr>
        <sz val="10"/>
        <rFont val="Noto Sans CJK SC"/>
        <family val="2"/>
      </rPr>
      <t xml:space="preserve">방파제로 이어진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동백나무 숲과 등대가 있다</t>
    </r>
    <r>
      <rPr>
        <sz val="10"/>
        <rFont val="Arial"/>
        <family val="0"/>
        <charset val="1"/>
      </rPr>
      <t xml:space="preserve">.</t>
    </r>
  </si>
  <si>
    <t xml:space="preserve">오두산 통일전망대</t>
  </si>
  <si>
    <t xml:space="preserve">Odusan Unification Observatory</t>
  </si>
  <si>
    <r>
      <rPr>
        <sz val="10"/>
        <rFont val="Noto Sans CJK SC"/>
        <family val="2"/>
      </rPr>
      <t xml:space="preserve">한강과 임진강이 만나는 곳에서 북녘을 본다</t>
    </r>
    <r>
      <rPr>
        <sz val="10"/>
        <rFont val="Arial"/>
        <family val="0"/>
        <charset val="1"/>
      </rPr>
      <t xml:space="preserve">.</t>
    </r>
  </si>
  <si>
    <t xml:space="preserve">오랑대공원</t>
  </si>
  <si>
    <t xml:space="preserve">Orangdae Park</t>
  </si>
  <si>
    <r>
      <rPr>
        <sz val="10"/>
        <rFont val="Noto Sans CJK SC"/>
        <family val="2"/>
      </rPr>
      <t xml:space="preserve">바위 위 해신당과 일출로 알려진 해안</t>
    </r>
    <r>
      <rPr>
        <sz val="10"/>
        <rFont val="Arial"/>
        <family val="0"/>
        <charset val="1"/>
      </rPr>
      <t xml:space="preserve">.</t>
    </r>
  </si>
  <si>
    <t xml:space="preserve">오목대</t>
  </si>
  <si>
    <t xml:space="preserve">Omokdae</t>
  </si>
  <si>
    <r>
      <rPr>
        <sz val="10"/>
        <rFont val="Noto Sans CJK SC"/>
        <family val="2"/>
      </rPr>
      <t xml:space="preserve">이성계가 승전 잔치를 벌였다는 언덕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한옥 지붕이 펼쳐진다</t>
    </r>
    <r>
      <rPr>
        <sz val="10"/>
        <rFont val="Arial"/>
        <family val="0"/>
        <charset val="1"/>
      </rPr>
      <t xml:space="preserve">.</t>
    </r>
  </si>
  <si>
    <t xml:space="preserve">오미자테마터널</t>
  </si>
  <si>
    <t xml:space="preserve">Omija Theme Tunnel</t>
  </si>
  <si>
    <r>
      <rPr>
        <sz val="10"/>
        <rFont val="Noto Sans CJK SC"/>
        <family val="2"/>
      </rPr>
      <t xml:space="preserve">폐터널을 고친 오미자 전시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카페 공간</t>
    </r>
    <r>
      <rPr>
        <sz val="10"/>
        <rFont val="Arial"/>
        <family val="0"/>
        <charset val="1"/>
      </rPr>
      <t xml:space="preserve">.</t>
    </r>
  </si>
  <si>
    <t xml:space="preserve">오어사</t>
  </si>
  <si>
    <t xml:space="preserve">Oeosa Temple</t>
  </si>
  <si>
    <r>
      <rPr>
        <sz val="10"/>
        <rFont val="Noto Sans CJK SC"/>
        <family val="2"/>
      </rPr>
      <t xml:space="preserve">저수지를 낀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원효교가 놓여 있다</t>
    </r>
    <r>
      <rPr>
        <sz val="10"/>
        <rFont val="Arial"/>
        <family val="0"/>
        <charset val="1"/>
      </rPr>
      <t xml:space="preserve">.</t>
    </r>
  </si>
  <si>
    <t xml:space="preserve">오죽헌</t>
  </si>
  <si>
    <t xml:space="preserve">Ojukheon</t>
  </si>
  <si>
    <r>
      <rPr>
        <sz val="10"/>
        <rFont val="Noto Sans CJK SC"/>
        <family val="2"/>
      </rPr>
      <t xml:space="preserve">신사임당과 율곡 이이가 태어난 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검은 대나무가 자란다</t>
    </r>
    <r>
      <rPr>
        <sz val="10"/>
        <rFont val="Arial"/>
        <family val="0"/>
        <charset val="1"/>
      </rPr>
      <t xml:space="preserve">.</t>
    </r>
  </si>
  <si>
    <t xml:space="preserve">옥순봉 출렁다리</t>
  </si>
  <si>
    <t xml:space="preserve">Oksunbong Suspension Bridge</t>
  </si>
  <si>
    <r>
      <rPr>
        <sz val="10"/>
        <rFont val="Noto Sans CJK SC"/>
        <family val="2"/>
      </rPr>
      <t xml:space="preserve">충주호 위를 건너는 </t>
    </r>
    <r>
      <rPr>
        <sz val="10"/>
        <rFont val="Arial"/>
        <family val="0"/>
        <charset val="1"/>
      </rPr>
      <t xml:space="preserve">222m </t>
    </r>
    <r>
      <rPr>
        <sz val="10"/>
        <rFont val="Noto Sans CJK SC"/>
        <family val="2"/>
      </rPr>
      <t xml:space="preserve">다리</t>
    </r>
    <r>
      <rPr>
        <sz val="10"/>
        <rFont val="Arial"/>
        <family val="0"/>
        <charset val="1"/>
      </rPr>
      <t xml:space="preserve">.</t>
    </r>
  </si>
  <si>
    <t xml:space="preserve">온달관광지</t>
  </si>
  <si>
    <t xml:space="preserve">Ondal Tourist Park</t>
  </si>
  <si>
    <r>
      <rPr>
        <sz val="10"/>
        <rFont val="Noto Sans CJK SC"/>
        <family val="2"/>
      </rPr>
      <t xml:space="preserve">온달동굴과 드라마 세트가 함께 있다</t>
    </r>
    <r>
      <rPr>
        <sz val="10"/>
        <rFont val="Arial"/>
        <family val="0"/>
        <charset val="1"/>
      </rPr>
      <t xml:space="preserve">.</t>
    </r>
  </si>
  <si>
    <t xml:space="preserve">온양온천</t>
  </si>
  <si>
    <t xml:space="preserve">Onyang Hot Spring</t>
  </si>
  <si>
    <r>
      <rPr>
        <sz val="10"/>
        <rFont val="Noto Sans CJK SC"/>
        <family val="2"/>
      </rPr>
      <t xml:space="preserve">조선 왕들이 찾던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년 온천</t>
    </r>
    <r>
      <rPr>
        <sz val="10"/>
        <rFont val="Arial"/>
        <family val="0"/>
        <charset val="1"/>
      </rPr>
      <t xml:space="preserve">.</t>
    </r>
  </si>
  <si>
    <t xml:space="preserve">온양온천 권역 호텔</t>
  </si>
  <si>
    <t xml:space="preserve">Onyang spa hotels</t>
  </si>
  <si>
    <t xml:space="preserve">와온해변</t>
  </si>
  <si>
    <t xml:space="preserve">Waon Beach</t>
  </si>
  <si>
    <r>
      <rPr>
        <sz val="10"/>
        <rFont val="Noto Sans CJK SC"/>
        <family val="2"/>
      </rPr>
      <t xml:space="preserve">순천만 서쪽의 갯벌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일몰로 알려져 있다</t>
    </r>
    <r>
      <rPr>
        <sz val="10"/>
        <rFont val="Arial"/>
        <family val="0"/>
        <charset val="1"/>
      </rPr>
      <t xml:space="preserve">.</t>
    </r>
  </si>
  <si>
    <t xml:space="preserve">와우정사</t>
  </si>
  <si>
    <t xml:space="preserve">Wawoo Temple</t>
  </si>
  <si>
    <r>
      <rPr>
        <sz val="10"/>
        <rFont val="Noto Sans CJK SC"/>
        <family val="2"/>
      </rPr>
      <t xml:space="preserve">거대한 와불과 불두가 있는 절</t>
    </r>
    <r>
      <rPr>
        <sz val="10"/>
        <rFont val="Arial"/>
        <family val="0"/>
        <charset val="1"/>
      </rPr>
      <t xml:space="preserve">.</t>
    </r>
  </si>
  <si>
    <t xml:space="preserve">완도수목원</t>
  </si>
  <si>
    <t xml:space="preserve">Wando Arboretum</t>
  </si>
  <si>
    <r>
      <rPr>
        <sz val="10"/>
        <rFont val="Noto Sans CJK SC"/>
        <family val="2"/>
      </rPr>
      <t xml:space="preserve">국내 최대 난대림 수목원</t>
    </r>
    <r>
      <rPr>
        <sz val="10"/>
        <rFont val="Arial"/>
        <family val="0"/>
        <charset val="1"/>
      </rPr>
      <t xml:space="preserve">.</t>
    </r>
  </si>
  <si>
    <t xml:space="preserve">완도타워</t>
  </si>
  <si>
    <t xml:space="preserve">Wando Tower</t>
  </si>
  <si>
    <r>
      <rPr>
        <sz val="10"/>
        <rFont val="Noto Sans CJK SC"/>
        <family val="2"/>
      </rPr>
      <t xml:space="preserve">다도해가 보이는 전망탑</t>
    </r>
    <r>
      <rPr>
        <sz val="10"/>
        <rFont val="Arial"/>
        <family val="0"/>
        <charset val="1"/>
      </rPr>
      <t xml:space="preserve">.</t>
    </r>
  </si>
  <si>
    <t xml:space="preserve">완산칠봉 꽃동산</t>
  </si>
  <si>
    <t xml:space="preserve">Wansan Chilbong Flower Hill</t>
  </si>
  <si>
    <r>
      <rPr>
        <sz val="10"/>
        <rFont val="Noto Sans CJK SC"/>
        <family val="2"/>
      </rPr>
      <t xml:space="preserve">겹벚꽃과 철쭉으로 덮이는 봄 언덕</t>
    </r>
    <r>
      <rPr>
        <sz val="10"/>
        <rFont val="Arial"/>
        <family val="0"/>
        <charset val="1"/>
      </rPr>
      <t xml:space="preserve">.</t>
    </r>
  </si>
  <si>
    <t xml:space="preserve">왕곡마을</t>
  </si>
  <si>
    <t xml:space="preserve">Wanggok Village</t>
  </si>
  <si>
    <r>
      <rPr>
        <sz val="10"/>
        <rFont val="Noto Sans CJK SC"/>
        <family val="2"/>
      </rPr>
      <t xml:space="preserve">북방식 기와집이 남은 전통 마을</t>
    </r>
    <r>
      <rPr>
        <sz val="10"/>
        <rFont val="Arial"/>
        <family val="0"/>
        <charset val="1"/>
      </rPr>
      <t xml:space="preserve">.</t>
    </r>
  </si>
  <si>
    <t xml:space="preserve">왕궁리 유적</t>
  </si>
  <si>
    <t xml:space="preserve">Wanggungni Site</t>
  </si>
  <si>
    <r>
      <rPr>
        <sz val="10"/>
        <rFont val="Noto Sans CJK SC"/>
        <family val="2"/>
      </rPr>
      <t xml:space="preserve">백제 왕궁터와 오층석탑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</si>
  <si>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왜목마을</t>
  </si>
  <si>
    <t xml:space="preserve">Waemok Village</t>
  </si>
  <si>
    <r>
      <rPr>
        <sz val="10"/>
        <rFont val="Noto Sans CJK SC"/>
        <family val="2"/>
      </rPr>
      <t xml:space="preserve">일출과 일몰을 한자리에서 보는 서해 마을</t>
    </r>
    <r>
      <rPr>
        <sz val="10"/>
        <rFont val="Arial"/>
        <family val="0"/>
        <charset val="1"/>
      </rPr>
      <t xml:space="preserve">.</t>
    </r>
  </si>
  <si>
    <t xml:space="preserve">왜목마을 권역 숙소</t>
  </si>
  <si>
    <t xml:space="preserve">Waemok area stays</t>
  </si>
  <si>
    <t xml:space="preserve">외고산 옹기마을</t>
  </si>
  <si>
    <t xml:space="preserve">Oegosan Onggi Village</t>
  </si>
  <si>
    <r>
      <rPr>
        <sz val="10"/>
        <rFont val="Noto Sans CJK SC"/>
        <family val="2"/>
      </rPr>
      <t xml:space="preserve">전통 옹기를 굽는 장인 마을</t>
    </r>
    <r>
      <rPr>
        <sz val="10"/>
        <rFont val="Arial"/>
        <family val="0"/>
        <charset val="1"/>
      </rPr>
      <t xml:space="preserve">.</t>
    </r>
  </si>
  <si>
    <t xml:space="preserve">외암민속마을</t>
  </si>
  <si>
    <t xml:space="preserve">Oeam Folk Village</t>
  </si>
  <si>
    <r>
      <rPr>
        <sz val="10"/>
        <rFont val="Noto Sans CJK SC"/>
        <family val="2"/>
      </rPr>
      <t xml:space="preserve">돌담이 이어진 조선 씨족 마을</t>
    </r>
    <r>
      <rPr>
        <sz val="10"/>
        <rFont val="Arial"/>
        <family val="0"/>
        <charset val="1"/>
      </rPr>
      <t xml:space="preserve">.</t>
    </r>
  </si>
  <si>
    <t xml:space="preserve">외옹치 바다향기로</t>
  </si>
  <si>
    <t xml:space="preserve">Oeongchi Seaside Trail</t>
  </si>
  <si>
    <r>
      <rPr>
        <sz val="10"/>
        <rFont val="Noto Sans CJK SC"/>
        <family val="2"/>
      </rPr>
      <t xml:space="preserve">군 경계 철책을 걷어낸 해안 데크길</t>
    </r>
    <r>
      <rPr>
        <sz val="10"/>
        <rFont val="Arial"/>
        <family val="0"/>
        <charset val="1"/>
      </rPr>
      <t xml:space="preserve">.</t>
    </r>
  </si>
  <si>
    <t xml:space="preserve">욕지도</t>
  </si>
  <si>
    <t xml:space="preserve">Yokjido</t>
  </si>
  <si>
    <r>
      <rPr>
        <sz val="10"/>
        <rFont val="Noto Sans CJK SC"/>
        <family val="2"/>
      </rPr>
      <t xml:space="preserve">모노레일과 해안 절벽길을 갖춘 남해 큰 섬</t>
    </r>
    <r>
      <rPr>
        <sz val="10"/>
        <rFont val="Arial"/>
        <family val="0"/>
        <charset val="1"/>
      </rPr>
      <t xml:space="preserve">.</t>
    </r>
  </si>
  <si>
    <t xml:space="preserve">용문사</t>
  </si>
  <si>
    <r>
      <rPr>
        <sz val="10"/>
        <rFont val="Noto Sans CJK SC"/>
        <family val="2"/>
      </rPr>
      <t xml:space="preserve">호국 사찰로 전하는 호구산 고찰</t>
    </r>
    <r>
      <rPr>
        <sz val="10"/>
        <rFont val="Arial"/>
        <family val="0"/>
        <charset val="1"/>
      </rPr>
      <t xml:space="preserve">.</t>
    </r>
  </si>
  <si>
    <t xml:space="preserve">용봉산</t>
  </si>
  <si>
    <t xml:space="preserve">Yongbongsan</t>
  </si>
  <si>
    <r>
      <rPr>
        <sz val="10"/>
        <rFont val="Noto Sans CJK SC"/>
        <family val="2"/>
      </rPr>
      <t xml:space="preserve">기암이 늘어선 낮지만 험한 바위산</t>
    </r>
    <r>
      <rPr>
        <sz val="10"/>
        <rFont val="Arial"/>
        <family val="0"/>
        <charset val="1"/>
      </rPr>
      <t xml:space="preserve">.</t>
    </r>
  </si>
  <si>
    <t xml:space="preserve">용연구름다리</t>
  </si>
  <si>
    <t xml:space="preserve">Yongyeon Bridge</t>
  </si>
  <si>
    <r>
      <rPr>
        <sz val="10"/>
        <rFont val="Noto Sans CJK SC"/>
        <family val="2"/>
      </rPr>
      <t xml:space="preserve">계곡 위를 건너는 구름다리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조명이 켜진다</t>
    </r>
    <r>
      <rPr>
        <sz val="10"/>
        <rFont val="Arial"/>
        <family val="0"/>
        <charset val="1"/>
      </rPr>
      <t xml:space="preserve">.</t>
    </r>
  </si>
  <si>
    <t xml:space="preserve">용인 대장금파크</t>
  </si>
  <si>
    <t xml:space="preserve">Dae Jang Geum Park</t>
  </si>
  <si>
    <r>
      <rPr>
        <sz val="10"/>
        <rFont val="Noto Sans CJK SC"/>
        <family val="2"/>
      </rPr>
      <t xml:space="preserve">사극을 찍는 국내 최대 규모의 야외 세트장</t>
    </r>
    <r>
      <rPr>
        <sz val="10"/>
        <rFont val="Arial"/>
        <family val="0"/>
        <charset val="1"/>
      </rPr>
      <t xml:space="preserve">.</t>
    </r>
  </si>
  <si>
    <t xml:space="preserve">용인자연휴양림</t>
  </si>
  <si>
    <t xml:space="preserve">Yongin Forest Resort</t>
  </si>
  <si>
    <r>
      <rPr>
        <sz val="10"/>
        <rFont val="Noto Sans CJK SC"/>
        <family val="2"/>
      </rPr>
      <t xml:space="preserve">수도권 가까운 산림휴양림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숲길이 이어진다</t>
    </r>
    <r>
      <rPr>
        <sz val="10"/>
        <rFont val="Arial"/>
        <family val="0"/>
        <charset val="1"/>
      </rPr>
      <t xml:space="preserve">.</t>
    </r>
  </si>
  <si>
    <t xml:space="preserve">용지호수공원</t>
  </si>
  <si>
    <t xml:space="preserve">Yongji Lake Park</t>
  </si>
  <si>
    <r>
      <rPr>
        <sz val="10"/>
        <rFont val="Noto Sans CJK SC"/>
        <family val="2"/>
      </rPr>
      <t xml:space="preserve">도심 한가운데의 호수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음악분수가 선다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</si>
  <si>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우두산 </t>
    </r>
    <r>
      <rPr>
        <sz val="10"/>
        <rFont val="Arial"/>
        <family val="0"/>
        <charset val="1"/>
      </rPr>
      <t xml:space="preserve">Y</t>
    </r>
    <r>
      <rPr>
        <sz val="10"/>
        <rFont val="Noto Sans CJK SC"/>
        <family val="2"/>
      </rPr>
      <t xml:space="preserve">자형 출렁다리</t>
    </r>
  </si>
  <si>
    <t xml:space="preserve">Udusan Y-Bridge</t>
  </si>
  <si>
    <r>
      <rPr>
        <sz val="10"/>
        <rFont val="Noto Sans CJK SC"/>
        <family val="2"/>
      </rPr>
      <t xml:space="preserve">세 갈래로 갈라진 산 위 현수교</t>
    </r>
    <r>
      <rPr>
        <sz val="10"/>
        <rFont val="Arial"/>
        <family val="0"/>
        <charset val="1"/>
      </rPr>
      <t xml:space="preserve">.</t>
    </r>
  </si>
  <si>
    <t xml:space="preserve">우포늪</t>
  </si>
  <si>
    <t xml:space="preserve">Upo Wetland</t>
  </si>
  <si>
    <r>
      <rPr>
        <sz val="10"/>
        <rFont val="Noto Sans CJK SC"/>
        <family val="2"/>
      </rPr>
      <t xml:space="preserve">국내 최대의 자연 내륙습지</t>
    </r>
    <r>
      <rPr>
        <sz val="10"/>
        <rFont val="Arial"/>
        <family val="0"/>
        <charset val="1"/>
      </rPr>
      <t xml:space="preserve">.</t>
    </r>
  </si>
  <si>
    <t xml:space="preserve">우포늪 권역 숙소</t>
  </si>
  <si>
    <t xml:space="preserve">Upo Wetland stays</t>
  </si>
  <si>
    <t xml:space="preserve">운주사</t>
  </si>
  <si>
    <t xml:space="preserve">Unjusa Temple</t>
  </si>
  <si>
    <r>
      <rPr>
        <sz val="10"/>
        <rFont val="Noto Sans CJK SC"/>
        <family val="2"/>
      </rPr>
      <t xml:space="preserve">천불천탑 전설이 남은 절</t>
    </r>
    <r>
      <rPr>
        <sz val="10"/>
        <rFont val="Arial"/>
        <family val="0"/>
        <charset val="1"/>
      </rPr>
      <t xml:space="preserve">.</t>
    </r>
  </si>
  <si>
    <t xml:space="preserve">울릉도 해상관광 유람선</t>
  </si>
  <si>
    <t xml:space="preserve">Ulleung Island Cruise</t>
  </si>
  <si>
    <r>
      <rPr>
        <sz val="10"/>
        <rFont val="Noto Sans CJK SC"/>
        <family val="2"/>
      </rPr>
      <t xml:space="preserve">섬을 한 바퀴 돌며 해안 절벽을 보는 배</t>
    </r>
    <r>
      <rPr>
        <sz val="10"/>
        <rFont val="Arial"/>
        <family val="0"/>
        <charset val="1"/>
      </rPr>
      <t xml:space="preserve">.</t>
    </r>
  </si>
  <si>
    <t xml:space="preserve">울산대공원</t>
  </si>
  <si>
    <t xml:space="preserve">Ulsan Grand Park</t>
  </si>
  <si>
    <r>
      <rPr>
        <sz val="10"/>
        <rFont val="Noto Sans CJK SC"/>
        <family val="2"/>
      </rPr>
      <t xml:space="preserve">장미원과 숲길을 둔 도심 대공원</t>
    </r>
    <r>
      <rPr>
        <sz val="10"/>
        <rFont val="Arial"/>
        <family val="0"/>
        <charset val="1"/>
      </rPr>
      <t xml:space="preserve">.</t>
    </r>
  </si>
  <si>
    <t xml:space="preserve">울산대교 전망대</t>
  </si>
  <si>
    <t xml:space="preserve">Ulsan Bridge Observatory</t>
  </si>
  <si>
    <r>
      <rPr>
        <sz val="10"/>
        <rFont val="Noto Sans CJK SC"/>
        <family val="2"/>
      </rPr>
      <t xml:space="preserve">항만과 공단 야경이 펼쳐지는 전망대</t>
    </r>
    <r>
      <rPr>
        <sz val="10"/>
        <rFont val="Arial"/>
        <family val="0"/>
        <charset val="1"/>
      </rPr>
      <t xml:space="preserve">.</t>
    </r>
  </si>
  <si>
    <t xml:space="preserve">울산박물관</t>
  </si>
  <si>
    <t xml:space="preserve">Ulsan Museum</t>
  </si>
  <si>
    <r>
      <rPr>
        <sz val="10"/>
        <rFont val="Noto Sans CJK SC"/>
        <family val="2"/>
      </rPr>
      <t xml:space="preserve">울산의 역사와 산업화를 다룬 시립 박물관</t>
    </r>
    <r>
      <rPr>
        <sz val="10"/>
        <rFont val="Arial"/>
        <family val="0"/>
        <charset val="1"/>
      </rPr>
      <t xml:space="preserve">.</t>
    </r>
  </si>
  <si>
    <t xml:space="preserve">웅천친수공원</t>
  </si>
  <si>
    <t xml:space="preserve">Ungcheon Waterfront Park</t>
  </si>
  <si>
    <r>
      <rPr>
        <sz val="10"/>
        <rFont val="Noto Sans CJK SC"/>
        <family val="2"/>
      </rPr>
      <t xml:space="preserve">인공 백사장과 해변 산책로가 있는 신도심 공원</t>
    </r>
    <r>
      <rPr>
        <sz val="10"/>
        <rFont val="Arial"/>
        <family val="0"/>
        <charset val="1"/>
      </rPr>
      <t xml:space="preserve">.</t>
    </r>
  </si>
  <si>
    <t xml:space="preserve">원대리 자작나무숲</t>
  </si>
  <si>
    <t xml:space="preserve">Wondae-ri Birch Forest</t>
  </si>
  <si>
    <r>
      <rPr>
        <sz val="10"/>
        <rFont val="Noto Sans CJK SC"/>
        <family val="2"/>
      </rPr>
      <t xml:space="preserve">흰 자작나무 </t>
    </r>
    <r>
      <rPr>
        <sz val="10"/>
        <rFont val="Arial"/>
        <family val="0"/>
        <charset val="1"/>
      </rPr>
      <t xml:space="preserve">69</t>
    </r>
    <r>
      <rPr>
        <sz val="10"/>
        <rFont val="Noto Sans CJK SC"/>
        <family val="2"/>
      </rPr>
      <t xml:space="preserve">만 그루가 선 숲</t>
    </r>
    <r>
      <rPr>
        <sz val="10"/>
        <rFont val="Arial"/>
        <family val="0"/>
        <charset val="1"/>
      </rPr>
      <t xml:space="preserve">.</t>
    </r>
  </si>
  <si>
    <t xml:space="preserve">원동 매화마을</t>
  </si>
  <si>
    <t xml:space="preserve">Wondong Plum Blossom Village</t>
  </si>
  <si>
    <r>
      <rPr>
        <sz val="10"/>
        <rFont val="Noto Sans CJK SC"/>
        <family val="2"/>
      </rPr>
      <t xml:space="preserve">낙동강변을 따라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월에 매화가 피는 마을</t>
    </r>
    <r>
      <rPr>
        <sz val="10"/>
        <rFont val="Arial"/>
        <family val="0"/>
        <charset val="1"/>
      </rPr>
      <t xml:space="preserve">.</t>
    </r>
  </si>
  <si>
    <t xml:space="preserve">원마운트</t>
  </si>
  <si>
    <t xml:space="preserve">One Mount</t>
  </si>
  <si>
    <r>
      <rPr>
        <sz val="10"/>
        <rFont val="Noto Sans CJK SC"/>
        <family val="2"/>
      </rPr>
      <t xml:space="preserve">워터파크와 스노우파크를 갖춘 복합시설</t>
    </r>
    <r>
      <rPr>
        <sz val="10"/>
        <rFont val="Arial"/>
        <family val="0"/>
        <charset val="1"/>
      </rPr>
      <t xml:space="preserve">.</t>
    </r>
  </si>
  <si>
    <t xml:space="preserve">원주 시내 호텔</t>
  </si>
  <si>
    <t xml:space="preserve">Wonju city hotels</t>
  </si>
  <si>
    <t xml:space="preserve">원주 한지테마파크</t>
  </si>
  <si>
    <t xml:space="preserve">Hanji Theme Park</t>
  </si>
  <si>
    <r>
      <rPr>
        <sz val="10"/>
        <rFont val="Noto Sans CJK SC"/>
        <family val="2"/>
      </rPr>
      <t xml:space="preserve">한지의 역사와 공예를 다룬 전시관</t>
    </r>
    <r>
      <rPr>
        <sz val="10"/>
        <rFont val="Arial"/>
        <family val="0"/>
        <charset val="1"/>
      </rPr>
      <t xml:space="preserve">.</t>
    </r>
  </si>
  <si>
    <t xml:space="preserve">원주중앙시장</t>
  </si>
  <si>
    <t xml:space="preserve">Wonju Jungang Market</t>
  </si>
  <si>
    <r>
      <rPr>
        <sz val="10"/>
        <rFont val="Noto Sans CJK SC"/>
        <family val="2"/>
      </rPr>
      <t xml:space="preserve">도심 상설시장과 미로시장 골목</t>
    </r>
    <r>
      <rPr>
        <sz val="10"/>
        <rFont val="Arial"/>
        <family val="0"/>
        <charset val="1"/>
      </rPr>
      <t xml:space="preserve">.</t>
    </r>
  </si>
  <si>
    <t xml:space="preserve">월성계곡</t>
  </si>
  <si>
    <t xml:space="preserve">Wolseong Valley</t>
  </si>
  <si>
    <r>
      <rPr>
        <sz val="10"/>
        <rFont val="Noto Sans CJK SC"/>
        <family val="2"/>
      </rPr>
      <t xml:space="preserve">덕유산 자락을 흐르는 맑은 여름 계곡</t>
    </r>
    <r>
      <rPr>
        <sz val="10"/>
        <rFont val="Arial"/>
        <family val="0"/>
        <charset val="1"/>
      </rPr>
      <t xml:space="preserve">.</t>
    </r>
  </si>
  <si>
    <t xml:space="preserve">월아산 숲속의 진주</t>
  </si>
  <si>
    <t xml:space="preserve">Wolasan Forest Park</t>
  </si>
  <si>
    <r>
      <rPr>
        <sz val="10"/>
        <rFont val="Noto Sans CJK SC"/>
        <family val="2"/>
      </rPr>
      <t xml:space="preserve">편백숲과 전망대를 둔 산림공원</t>
    </r>
    <r>
      <rPr>
        <sz val="10"/>
        <rFont val="Arial"/>
        <family val="0"/>
        <charset val="1"/>
      </rPr>
      <t xml:space="preserve">.</t>
    </r>
  </si>
  <si>
    <t xml:space="preserve">월영교</t>
  </si>
  <si>
    <t xml:space="preserve">Woryeonggyo Bridge</t>
  </si>
  <si>
    <r>
      <rPr>
        <sz val="10"/>
        <rFont val="Noto Sans CJK SC"/>
        <family val="2"/>
      </rPr>
      <t xml:space="preserve">안동호를 건너는 목책교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밤에 조명이 켜진다</t>
    </r>
    <r>
      <rPr>
        <sz val="10"/>
        <rFont val="Arial"/>
        <family val="0"/>
        <charset val="1"/>
      </rPr>
      <t xml:space="preserve">.</t>
    </r>
  </si>
  <si>
    <t xml:space="preserve">월정리역</t>
  </si>
  <si>
    <t xml:space="preserve">Woljeong-ri Station</t>
  </si>
  <si>
    <r>
      <rPr>
        <sz val="10"/>
        <rFont val="Noto Sans CJK SC"/>
        <family val="2"/>
      </rPr>
      <t xml:space="preserve">비무장지대 앞에 멈춰 선 경원선 종착역</t>
    </r>
    <r>
      <rPr>
        <sz val="10"/>
        <rFont val="Arial"/>
        <family val="0"/>
        <charset val="1"/>
      </rPr>
      <t xml:space="preserve">.</t>
    </r>
  </si>
  <si>
    <t xml:space="preserve">월포해수욕장</t>
  </si>
  <si>
    <t xml:space="preserve">Wolpo Beach</t>
  </si>
  <si>
    <r>
      <rPr>
        <sz val="10"/>
        <rFont val="Noto Sans CJK SC"/>
        <family val="2"/>
      </rPr>
      <t xml:space="preserve">서핑으로 알려진 북부 해변</t>
    </r>
    <r>
      <rPr>
        <sz val="10"/>
        <rFont val="Arial"/>
        <family val="0"/>
        <charset val="1"/>
      </rPr>
      <t xml:space="preserve">.</t>
    </r>
  </si>
  <si>
    <t xml:space="preserve">월화원</t>
  </si>
  <si>
    <t xml:space="preserve">Wolhwawon</t>
  </si>
  <si>
    <r>
      <rPr>
        <sz val="10"/>
        <rFont val="Noto Sans CJK SC"/>
        <family val="2"/>
      </rPr>
      <t xml:space="preserve">광둥식 정원을 그대로 옮겨 지은 중국 정원</t>
    </r>
    <r>
      <rPr>
        <sz val="10"/>
        <rFont val="Arial"/>
        <family val="0"/>
        <charset val="1"/>
      </rPr>
      <t xml:space="preserve">.</t>
    </r>
  </si>
  <si>
    <t xml:space="preserve">유달산</t>
  </si>
  <si>
    <t xml:space="preserve">Yudalsan</t>
  </si>
  <si>
    <r>
      <rPr>
        <sz val="10"/>
        <rFont val="Noto Sans CJK SC"/>
        <family val="2"/>
      </rPr>
      <t xml:space="preserve">목포 시내와 다도해가 보이는 바위산</t>
    </r>
    <r>
      <rPr>
        <sz val="10"/>
        <rFont val="Arial"/>
        <family val="0"/>
        <charset val="1"/>
      </rPr>
      <t xml:space="preserve">.</t>
    </r>
  </si>
  <si>
    <t xml:space="preserve">육백마지기</t>
  </si>
  <si>
    <t xml:space="preserve">Yukbaengmajigi</t>
  </si>
  <si>
    <r>
      <rPr>
        <sz val="10"/>
        <rFont val="Noto Sans CJK SC"/>
        <family val="2"/>
      </rPr>
      <t xml:space="preserve">해발 </t>
    </r>
    <r>
      <rPr>
        <sz val="10"/>
        <rFont val="Arial"/>
        <family val="0"/>
        <charset val="1"/>
      </rPr>
      <t xml:space="preserve">1256m </t>
    </r>
    <r>
      <rPr>
        <sz val="10"/>
        <rFont val="Noto Sans CJK SC"/>
        <family val="2"/>
      </rPr>
      <t xml:space="preserve">청옥산 정상의 들꽃 평원</t>
    </r>
    <r>
      <rPr>
        <sz val="10"/>
        <rFont val="Arial"/>
        <family val="0"/>
        <charset val="1"/>
      </rPr>
      <t xml:space="preserve">.</t>
    </r>
  </si>
  <si>
    <t xml:space="preserve">율포 해변 숙소</t>
  </si>
  <si>
    <t xml:space="preserve">Yulpo Beach stays</t>
  </si>
  <si>
    <t xml:space="preserve">율포솔밭해수욕장</t>
  </si>
  <si>
    <t xml:space="preserve">Yulpo Beach</t>
  </si>
  <si>
    <r>
      <rPr>
        <sz val="10"/>
        <rFont val="Noto Sans CJK SC"/>
        <family val="2"/>
      </rPr>
      <t xml:space="preserve">솔숲을 낀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해수녹차탕이 있다</t>
    </r>
    <r>
      <rPr>
        <sz val="10"/>
        <rFont val="Arial"/>
        <family val="0"/>
        <charset val="1"/>
      </rPr>
      <t xml:space="preserve">.</t>
    </r>
  </si>
  <si>
    <t xml:space="preserve">으능정이 스카이로드</t>
  </si>
  <si>
    <t xml:space="preserve">Eunhaengdong Sky Road</t>
  </si>
  <si>
    <r>
      <rPr>
        <sz val="10"/>
        <rFont val="Noto Sans CJK SC"/>
        <family val="2"/>
      </rPr>
      <t xml:space="preserve">길 위 </t>
    </r>
    <r>
      <rPr>
        <sz val="10"/>
        <rFont val="Arial"/>
        <family val="0"/>
        <charset val="1"/>
      </rPr>
      <t xml:space="preserve">214m LED </t>
    </r>
    <r>
      <rPr>
        <sz val="10"/>
        <rFont val="Noto Sans CJK SC"/>
        <family val="2"/>
      </rPr>
      <t xml:space="preserve">스크린이 덮인 번화가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성심당이 가깝다</t>
    </r>
    <r>
      <rPr>
        <sz val="10"/>
        <rFont val="Arial"/>
        <family val="0"/>
        <charset val="1"/>
      </rPr>
      <t xml:space="preserve">.</t>
    </r>
  </si>
  <si>
    <t xml:space="preserve">은파호수공원</t>
  </si>
  <si>
    <t xml:space="preserve">Eunpa Lake Park</t>
  </si>
  <si>
    <r>
      <rPr>
        <sz val="10"/>
        <rFont val="Noto Sans CJK SC"/>
        <family val="2"/>
      </rPr>
      <t xml:space="preserve">물빛다리가 놓인 도심 호수</t>
    </r>
    <r>
      <rPr>
        <sz val="10"/>
        <rFont val="Arial"/>
        <family val="0"/>
        <charset val="1"/>
      </rPr>
      <t xml:space="preserve">.</t>
    </r>
  </si>
  <si>
    <t xml:space="preserve">은하사</t>
  </si>
  <si>
    <t xml:space="preserve">Eunhasa Temple</t>
  </si>
  <si>
    <r>
      <rPr>
        <sz val="10"/>
        <rFont val="Noto Sans CJK SC"/>
        <family val="2"/>
      </rPr>
      <t xml:space="preserve">신어산 자락의 고찰</t>
    </r>
    <r>
      <rPr>
        <sz val="10"/>
        <rFont val="Arial"/>
        <family val="0"/>
        <charset val="1"/>
      </rPr>
      <t xml:space="preserve">.</t>
    </r>
  </si>
  <si>
    <t xml:space="preserve">을숙도 생태공원</t>
  </si>
  <si>
    <t xml:space="preserve">Eulsukdo Eco Park</t>
  </si>
  <si>
    <r>
      <rPr>
        <sz val="10"/>
        <rFont val="Noto Sans CJK SC"/>
        <family val="2"/>
      </rPr>
      <t xml:space="preserve">낙동강 하구의 철새 도래지 공원</t>
    </r>
    <r>
      <rPr>
        <sz val="10"/>
        <rFont val="Arial"/>
        <family val="0"/>
        <charset val="1"/>
      </rPr>
      <t xml:space="preserve">.</t>
    </r>
  </si>
  <si>
    <t xml:space="preserve">을왕리해수욕장</t>
  </si>
  <si>
    <t xml:space="preserve">Eurwangni Beach</t>
  </si>
  <si>
    <r>
      <rPr>
        <sz val="10"/>
        <rFont val="Noto Sans CJK SC"/>
        <family val="2"/>
      </rPr>
      <t xml:space="preserve">영종도 서쪽 해변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일몰과 조개구이로 알려져 있다</t>
    </r>
    <r>
      <rPr>
        <sz val="10"/>
        <rFont val="Arial"/>
        <family val="0"/>
        <charset val="1"/>
      </rPr>
      <t xml:space="preserve">.</t>
    </r>
  </si>
  <si>
    <t xml:space="preserve">응봉산 팔각정</t>
  </si>
  <si>
    <t xml:space="preserve">Eungbongsan Pavilion</t>
  </si>
  <si>
    <r>
      <rPr>
        <sz val="10"/>
        <rFont val="Noto Sans CJK SC"/>
        <family val="2"/>
      </rPr>
      <t xml:space="preserve">개나리와 한강 야경으로 알려진 전망 정자</t>
    </r>
    <r>
      <rPr>
        <sz val="10"/>
        <rFont val="Arial"/>
        <family val="0"/>
        <charset val="1"/>
      </rPr>
      <t xml:space="preserve">.</t>
    </r>
  </si>
  <si>
    <t xml:space="preserve">의림지</t>
  </si>
  <si>
    <t xml:space="preserve">Uirimji Reservoir</t>
  </si>
  <si>
    <r>
      <rPr>
        <sz val="10"/>
        <rFont val="Noto Sans CJK SC"/>
        <family val="2"/>
      </rPr>
      <t xml:space="preserve">삼한시대에 쌓았다는 저수지</t>
    </r>
    <r>
      <rPr>
        <sz val="10"/>
        <rFont val="Arial"/>
        <family val="0"/>
        <charset val="1"/>
      </rPr>
      <t xml:space="preserve">.</t>
    </r>
  </si>
  <si>
    <t xml:space="preserve">의암바위</t>
  </si>
  <si>
    <t xml:space="preserve">Uiam Rock</t>
  </si>
  <si>
    <r>
      <rPr>
        <sz val="10"/>
        <rFont val="Noto Sans CJK SC"/>
        <family val="2"/>
      </rPr>
      <t xml:space="preserve">논개가 왜장을 안고 뛰어든 강가 바위</t>
    </r>
    <r>
      <rPr>
        <sz val="10"/>
        <rFont val="Arial"/>
        <family val="0"/>
        <charset val="1"/>
      </rPr>
      <t xml:space="preserve">.</t>
    </r>
  </si>
  <si>
    <t xml:space="preserve">의암호 자전거길</t>
  </si>
  <si>
    <t xml:space="preserve">Uiamho Bike Path</t>
  </si>
  <si>
    <r>
      <rPr>
        <sz val="10"/>
        <rFont val="Noto Sans CJK SC"/>
        <family val="2"/>
      </rPr>
      <t xml:space="preserve">호수를 한 바퀴 도는 자전거길</t>
    </r>
    <r>
      <rPr>
        <sz val="10"/>
        <rFont val="Arial"/>
        <family val="0"/>
        <charset val="1"/>
      </rPr>
      <t xml:space="preserve">.</t>
    </r>
  </si>
  <si>
    <t xml:space="preserve">이가리 닻전망대</t>
  </si>
  <si>
    <t xml:space="preserve">Igari Anchor Observatory</t>
  </si>
  <si>
    <r>
      <rPr>
        <sz val="10"/>
        <rFont val="Noto Sans CJK SC"/>
        <family val="2"/>
      </rPr>
      <t xml:space="preserve">바다로 뻗은 닻 모양 전망대</t>
    </r>
    <r>
      <rPr>
        <sz val="10"/>
        <rFont val="Arial"/>
        <family val="0"/>
        <charset val="1"/>
      </rPr>
      <t xml:space="preserve">.</t>
    </r>
  </si>
  <si>
    <t xml:space="preserve">이성당</t>
  </si>
  <si>
    <t xml:space="preserve">Lee Sung Dang Bakery</t>
  </si>
  <si>
    <r>
      <rPr>
        <sz val="10"/>
        <rFont val="Arial"/>
        <family val="0"/>
        <charset val="1"/>
      </rPr>
      <t xml:space="preserve">1945</t>
    </r>
    <r>
      <rPr>
        <sz val="10"/>
        <rFont val="Noto Sans CJK SC"/>
        <family val="2"/>
      </rPr>
      <t xml:space="preserve">년에 연 한국에서 가장 오래된 빵집</t>
    </r>
    <r>
      <rPr>
        <sz val="10"/>
        <rFont val="Arial"/>
        <family val="0"/>
        <charset val="1"/>
      </rPr>
      <t xml:space="preserve">.</t>
    </r>
  </si>
  <si>
    <t xml:space="preserve">이순신순국공원</t>
  </si>
  <si>
    <t xml:space="preserve">Yi Sun-sin Memorial Park</t>
  </si>
  <si>
    <r>
      <rPr>
        <sz val="10"/>
        <rFont val="Noto Sans CJK SC"/>
        <family val="2"/>
      </rPr>
      <t xml:space="preserve">노량해전 전사지에 조성한 추모 공원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</si>
  <si>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이월드 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타워</t>
    </r>
  </si>
  <si>
    <t xml:space="preserve">E-World &amp; 83 Tower</t>
  </si>
  <si>
    <r>
      <rPr>
        <sz val="10"/>
        <rFont val="Noto Sans CJK SC"/>
        <family val="2"/>
      </rPr>
      <t xml:space="preserve">두류공원 안 놀이공원과 전망탑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야간 조명이 알려져 있다</t>
    </r>
    <r>
      <rPr>
        <sz val="10"/>
        <rFont val="Arial"/>
        <family val="0"/>
        <charset val="1"/>
      </rPr>
      <t xml:space="preserve">.</t>
    </r>
  </si>
  <si>
    <t xml:space="preserve">이응다리</t>
  </si>
  <si>
    <t xml:space="preserve">Geumgang Pedestrian Bridge</t>
  </si>
  <si>
    <r>
      <rPr>
        <sz val="10"/>
        <rFont val="Noto Sans CJK SC"/>
        <family val="2"/>
      </rPr>
      <t xml:space="preserve">금강을 원형으로 건너는 보행 전용 다리</t>
    </r>
    <r>
      <rPr>
        <sz val="10"/>
        <rFont val="Arial"/>
        <family val="0"/>
        <charset val="1"/>
      </rPr>
      <t xml:space="preserve">.</t>
    </r>
  </si>
  <si>
    <t xml:space="preserve">이천 온천</t>
  </si>
  <si>
    <t xml:space="preserve">Icheon Hot Spring</t>
  </si>
  <si>
    <r>
      <rPr>
        <sz val="10"/>
        <rFont val="Noto Sans CJK SC"/>
        <family val="2"/>
      </rPr>
      <t xml:space="preserve">수도권에서 가까운 알칼리 온천</t>
    </r>
    <r>
      <rPr>
        <sz val="10"/>
        <rFont val="Arial"/>
        <family val="0"/>
        <charset val="1"/>
      </rPr>
      <t xml:space="preserve">.</t>
    </r>
  </si>
  <si>
    <t xml:space="preserve">이천 온천 권역 숙소</t>
  </si>
  <si>
    <t xml:space="preserve">Icheon spa stays</t>
  </si>
  <si>
    <t xml:space="preserve">이천 테르메덴</t>
  </si>
  <si>
    <t xml:space="preserve">Termeden Spa</t>
  </si>
  <si>
    <r>
      <rPr>
        <sz val="10"/>
        <rFont val="Noto Sans CJK SC"/>
        <family val="2"/>
      </rPr>
      <t xml:space="preserve">독일식 노천 온천 스파</t>
    </r>
    <r>
      <rPr>
        <sz val="10"/>
        <rFont val="Arial"/>
        <family val="0"/>
        <charset val="1"/>
      </rPr>
      <t xml:space="preserve">.</t>
    </r>
  </si>
  <si>
    <t xml:space="preserve">익산 교도소세트장</t>
  </si>
  <si>
    <t xml:space="preserve">Iksan Prison Film Set</t>
  </si>
  <si>
    <r>
      <rPr>
        <sz val="10"/>
        <rFont val="Noto Sans CJK SC"/>
        <family val="2"/>
      </rPr>
      <t xml:space="preserve">영화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드라마를 찍는 폐교도소 세트</t>
    </r>
    <r>
      <rPr>
        <sz val="10"/>
        <rFont val="Arial"/>
        <family val="0"/>
        <charset val="1"/>
      </rPr>
      <t xml:space="preserve">.</t>
    </r>
  </si>
  <si>
    <t xml:space="preserve">익산 보석박물관</t>
  </si>
  <si>
    <t xml:space="preserve">Iksan Jewelry Museum</t>
  </si>
  <si>
    <r>
      <rPr>
        <sz val="10"/>
        <rFont val="Noto Sans CJK SC"/>
        <family val="2"/>
      </rPr>
      <t xml:space="preserve">보석 산지 익산의 원석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공예 전시관</t>
    </r>
    <r>
      <rPr>
        <sz val="10"/>
        <rFont val="Arial"/>
        <family val="0"/>
        <charset val="1"/>
      </rPr>
      <t xml:space="preserve">.</t>
    </r>
  </si>
  <si>
    <t xml:space="preserve">익산역 권역 호텔</t>
  </si>
  <si>
    <t xml:space="preserve">Iksan Station hotels</t>
  </si>
  <si>
    <t xml:space="preserve">인제 스피디움</t>
  </si>
  <si>
    <t xml:space="preserve">Inje Speedium</t>
  </si>
  <si>
    <r>
      <rPr>
        <sz val="10"/>
        <rFont val="Noto Sans CJK SC"/>
        <family val="2"/>
      </rPr>
      <t xml:space="preserve">산악 서킷과 호텔을 갖춘 모터스포츠 단지</t>
    </r>
    <r>
      <rPr>
        <sz val="10"/>
        <rFont val="Arial"/>
        <family val="0"/>
        <charset val="1"/>
      </rPr>
      <t xml:space="preserve">.</t>
    </r>
  </si>
  <si>
    <t xml:space="preserve">인천 개항장 거리</t>
  </si>
  <si>
    <t xml:space="preserve">Open Port Street</t>
  </si>
  <si>
    <r>
      <rPr>
        <sz val="10"/>
        <rFont val="Noto Sans CJK SC"/>
        <family val="2"/>
      </rPr>
      <t xml:space="preserve">옛 영사관과 은행 건물이 남은 근대 거리</t>
    </r>
    <r>
      <rPr>
        <sz val="10"/>
        <rFont val="Arial"/>
        <family val="0"/>
        <charset val="1"/>
      </rPr>
      <t xml:space="preserve">.</t>
    </r>
  </si>
  <si>
    <t xml:space="preserve">인천 아트플랫폼</t>
  </si>
  <si>
    <t xml:space="preserve">Incheon Art Platform</t>
  </si>
  <si>
    <r>
      <rPr>
        <sz val="10"/>
        <rFont val="Noto Sans CJK SC"/>
        <family val="2"/>
      </rPr>
      <t xml:space="preserve">근대 창고를 고친 복합 예술공간</t>
    </r>
    <r>
      <rPr>
        <sz val="10"/>
        <rFont val="Arial"/>
        <family val="0"/>
        <charset val="1"/>
      </rPr>
      <t xml:space="preserve">.</t>
    </r>
  </si>
  <si>
    <t xml:space="preserve">인천 차이나타운</t>
  </si>
  <si>
    <t xml:space="preserve">Incheon Chinatown</t>
  </si>
  <si>
    <r>
      <rPr>
        <sz val="10"/>
        <rFont val="Noto Sans CJK SC"/>
        <family val="2"/>
      </rPr>
      <t xml:space="preserve">짜장면의 시작점으로 알려진 화교 거리</t>
    </r>
    <r>
      <rPr>
        <sz val="10"/>
        <rFont val="Arial"/>
        <family val="0"/>
        <charset val="1"/>
      </rPr>
      <t xml:space="preserve">.</t>
    </r>
  </si>
  <si>
    <t xml:space="preserve">인천대공원</t>
  </si>
  <si>
    <t xml:space="preserve">Incheon Grand Park</t>
  </si>
  <si>
    <r>
      <rPr>
        <sz val="10"/>
        <rFont val="Noto Sans CJK SC"/>
        <family val="2"/>
      </rPr>
      <t xml:space="preserve">수목원과 호수를 둔 대형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봄에는 벚꽃길이 이어진다</t>
    </r>
    <r>
      <rPr>
        <sz val="10"/>
        <rFont val="Arial"/>
        <family val="0"/>
        <charset val="1"/>
      </rPr>
      <t xml:space="preserve">.</t>
    </r>
  </si>
  <si>
    <t xml:space="preserve">인천상륙작전기념관</t>
  </si>
  <si>
    <t xml:space="preserve">Incheon Landing Memorial</t>
  </si>
  <si>
    <r>
      <rPr>
        <sz val="10"/>
        <rFont val="Arial"/>
        <family val="0"/>
        <charset val="1"/>
      </rPr>
      <t xml:space="preserve">1950</t>
    </r>
    <r>
      <rPr>
        <sz val="10"/>
        <rFont val="Noto Sans CJK SC"/>
        <family val="2"/>
      </rPr>
      <t xml:space="preserve">년 상륙작전을 기록한 기념관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야외에 장비가 전시된다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</si>
  <si>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일산해변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대왕암 숙소</t>
    </r>
  </si>
  <si>
    <t xml:space="preserve">Ilsan Beach &amp; Daewangam stays</t>
  </si>
  <si>
    <t xml:space="preserve">일산호수공원</t>
  </si>
  <si>
    <t xml:space="preserve">Ilsan Lake Park</t>
  </si>
  <si>
    <r>
      <rPr>
        <sz val="10"/>
        <rFont val="Noto Sans CJK SC"/>
        <family val="2"/>
      </rPr>
      <t xml:space="preserve">국내 최대 인공 호수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꽃박람회가 열린다</t>
    </r>
    <r>
      <rPr>
        <sz val="10"/>
        <rFont val="Arial"/>
        <family val="0"/>
        <charset val="1"/>
      </rPr>
      <t xml:space="preserve">.</t>
    </r>
  </si>
  <si>
    <t xml:space="preserve">일산호수공원 권역 호텔</t>
  </si>
  <si>
    <t xml:space="preserve">Ilsan Lake hotels</t>
  </si>
  <si>
    <t xml:space="preserve">임랑해수욕장</t>
  </si>
  <si>
    <t xml:space="preserve">Imnang Beach</t>
  </si>
  <si>
    <r>
      <rPr>
        <sz val="10"/>
        <rFont val="Noto Sans CJK SC"/>
        <family val="2"/>
      </rPr>
      <t xml:space="preserve">솔숲을 낀 기장 북쪽 해변</t>
    </r>
    <r>
      <rPr>
        <sz val="10"/>
        <rFont val="Arial"/>
        <family val="0"/>
        <charset val="1"/>
      </rPr>
      <t xml:space="preserve">.</t>
    </r>
  </si>
  <si>
    <t xml:space="preserve">임진각 평화누리</t>
  </si>
  <si>
    <t xml:space="preserve">Imjingak Peace Park</t>
  </si>
  <si>
    <r>
      <rPr>
        <sz val="10"/>
        <rFont val="Noto Sans CJK SC"/>
        <family val="2"/>
      </rPr>
      <t xml:space="preserve">분단의 최전선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자유의 다리와 평화누리가 있다</t>
    </r>
    <r>
      <rPr>
        <sz val="10"/>
        <rFont val="Arial"/>
        <family val="0"/>
        <charset val="1"/>
      </rPr>
      <t xml:space="preserve">.</t>
    </r>
  </si>
  <si>
    <t xml:space="preserve">임청각</t>
  </si>
  <si>
    <t xml:space="preserve">Imcheonggak</t>
  </si>
  <si>
    <r>
      <rPr>
        <sz val="10"/>
        <rFont val="Noto Sans CJK SC"/>
        <family val="2"/>
      </rPr>
      <t xml:space="preserve">독립운동가 이상룡의 생가</t>
    </r>
    <r>
      <rPr>
        <sz val="10"/>
        <rFont val="Arial"/>
        <family val="0"/>
        <charset val="1"/>
      </rPr>
      <t xml:space="preserve">. 99</t>
    </r>
    <r>
      <rPr>
        <sz val="10"/>
        <rFont val="Noto Sans CJK SC"/>
        <family val="2"/>
      </rPr>
      <t xml:space="preserve">칸 고택이다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</si>
  <si>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자라섬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남이섬 권역 숙소</t>
    </r>
  </si>
  <si>
    <t xml:space="preserve">Jaraseom &amp; Nami stays</t>
  </si>
  <si>
    <t xml:space="preserve">자만벽화마을</t>
  </si>
  <si>
    <t xml:space="preserve">Jaman Mural Village</t>
  </si>
  <si>
    <r>
      <rPr>
        <sz val="10"/>
        <rFont val="Noto Sans CJK SC"/>
        <family val="2"/>
      </rPr>
      <t xml:space="preserve">오목대 뒤 언덕의 벽화 골목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마을에서 한옥마을이 내려다보인다</t>
    </r>
    <r>
      <rPr>
        <sz val="10"/>
        <rFont val="Arial"/>
        <family val="0"/>
        <charset val="1"/>
      </rPr>
      <t xml:space="preserve">.</t>
    </r>
  </si>
  <si>
    <t xml:space="preserve">자작나무숲 권역 숙소</t>
  </si>
  <si>
    <t xml:space="preserve">Birch Forest stays</t>
  </si>
  <si>
    <t xml:space="preserve">잠실 롯데월드타워 권역 호텔</t>
  </si>
  <si>
    <t xml:space="preserve">Jamsil tower-district hotels</t>
  </si>
  <si>
    <t xml:space="preserve">잠실야구장</t>
  </si>
  <si>
    <t xml:space="preserve">Jamsil Baseball Stadium</t>
  </si>
  <si>
    <r>
      <rPr>
        <sz val="10"/>
        <rFont val="Noto Sans CJK SC"/>
        <family val="2"/>
      </rPr>
      <t xml:space="preserve">두산</t>
    </r>
    <r>
      <rPr>
        <sz val="10"/>
        <rFont val="Arial"/>
        <family val="0"/>
        <charset val="1"/>
      </rPr>
      <t xml:space="preserve">·LG</t>
    </r>
    <r>
      <rPr>
        <sz val="10"/>
        <rFont val="Noto Sans CJK SC"/>
        <family val="2"/>
      </rPr>
      <t xml:space="preserve">의 홈구장</t>
    </r>
    <r>
      <rPr>
        <sz val="10"/>
        <rFont val="Arial"/>
        <family val="0"/>
        <charset val="1"/>
      </rPr>
      <t xml:space="preserve">.</t>
    </r>
  </si>
  <si>
    <t xml:space="preserve">잣향기푸른숲</t>
  </si>
  <si>
    <t xml:space="preserve">Pine Nut Forest</t>
  </si>
  <si>
    <r>
      <rPr>
        <sz val="10"/>
        <rFont val="Noto Sans CJK SC"/>
        <family val="2"/>
      </rPr>
      <t xml:space="preserve">잣나무 숲을 걷는 치유의 숲</t>
    </r>
    <r>
      <rPr>
        <sz val="10"/>
        <rFont val="Arial"/>
        <family val="0"/>
        <charset val="1"/>
      </rPr>
      <t xml:space="preserve">.</t>
    </r>
  </si>
  <si>
    <t xml:space="preserve">장기읍성</t>
  </si>
  <si>
    <t xml:space="preserve">Janggi Fortress</t>
  </si>
  <si>
    <r>
      <rPr>
        <sz val="10"/>
        <rFont val="Noto Sans CJK SC"/>
        <family val="2"/>
      </rPr>
      <t xml:space="preserve">정약용과 송시열이 유배된 조선 읍성</t>
    </r>
    <r>
      <rPr>
        <sz val="10"/>
        <rFont val="Arial"/>
        <family val="0"/>
        <charset val="1"/>
      </rPr>
      <t xml:space="preserve">.</t>
    </r>
  </si>
  <si>
    <t xml:space="preserve">장목면 오션뷰 펜션</t>
  </si>
  <si>
    <t xml:space="preserve">Jangmok-myeon ocean-view pensions</t>
  </si>
  <si>
    <t xml:space="preserve">장사해수욕장</t>
  </si>
  <si>
    <t xml:space="preserve">Jangsa Beach</t>
  </si>
  <si>
    <r>
      <rPr>
        <sz val="10"/>
        <rFont val="Noto Sans CJK SC"/>
        <family val="2"/>
      </rPr>
      <t xml:space="preserve">상륙작전 전승기념관이 선 해변</t>
    </r>
    <r>
      <rPr>
        <sz val="10"/>
        <rFont val="Arial"/>
        <family val="0"/>
        <charset val="1"/>
      </rPr>
      <t xml:space="preserve">.</t>
    </r>
  </si>
  <si>
    <t xml:space="preserve">장생포 고래문화마을</t>
  </si>
  <si>
    <t xml:space="preserve">Jangsaengpo Whale Village</t>
  </si>
  <si>
    <r>
      <rPr>
        <sz val="10"/>
        <rFont val="Noto Sans CJK SC"/>
        <family val="2"/>
      </rPr>
      <t xml:space="preserve">포경 시절을 재현한 마을과 고래박물관</t>
    </r>
    <r>
      <rPr>
        <sz val="10"/>
        <rFont val="Arial"/>
        <family val="0"/>
        <charset val="1"/>
      </rPr>
      <t xml:space="preserve">.</t>
    </r>
  </si>
  <si>
    <t xml:space="preserve">장성호 수변길</t>
  </si>
  <si>
    <t xml:space="preserve">Jangseongho Waterside Trail</t>
  </si>
  <si>
    <r>
      <rPr>
        <sz val="10"/>
        <rFont val="Noto Sans CJK SC"/>
        <family val="2"/>
      </rPr>
      <t xml:space="preserve">출렁다리와 데크가 이어지는 호반길</t>
    </r>
    <r>
      <rPr>
        <sz val="10"/>
        <rFont val="Arial"/>
        <family val="0"/>
        <charset val="1"/>
      </rPr>
      <t xml:space="preserve">.</t>
    </r>
  </si>
  <si>
    <t xml:space="preserve">장유대청계곡</t>
  </si>
  <si>
    <t xml:space="preserve">Daecheong Valley</t>
  </si>
  <si>
    <r>
      <rPr>
        <sz val="10"/>
        <rFont val="Noto Sans CJK SC"/>
        <family val="2"/>
      </rPr>
      <t xml:space="preserve">불모산에서 내려오는 여름 피서 계곡</t>
    </r>
    <r>
      <rPr>
        <sz val="10"/>
        <rFont val="Arial"/>
        <family val="0"/>
        <charset val="1"/>
      </rPr>
      <t xml:space="preserve">.</t>
    </r>
  </si>
  <si>
    <t xml:space="preserve">장태산자연휴양림</t>
  </si>
  <si>
    <t xml:space="preserve">Jangtaesan Forest</t>
  </si>
  <si>
    <r>
      <rPr>
        <sz val="10"/>
        <rFont val="Noto Sans CJK SC"/>
        <family val="2"/>
      </rPr>
      <t xml:space="preserve">메타세쿼이아 숲의 스카이웨이</t>
    </r>
    <r>
      <rPr>
        <sz val="10"/>
        <rFont val="Arial"/>
        <family val="0"/>
        <charset val="1"/>
      </rPr>
      <t xml:space="preserve">.</t>
    </r>
  </si>
  <si>
    <t xml:space="preserve">장호항</t>
  </si>
  <si>
    <t xml:space="preserve">Jangho Port</t>
  </si>
  <si>
    <r>
      <rPr>
        <sz val="10"/>
        <rFont val="Noto Sans CJK SC"/>
        <family val="2"/>
      </rPr>
      <t xml:space="preserve">물이 맑아 한국의 나폴리로 불리는 항구</t>
    </r>
    <r>
      <rPr>
        <sz val="10"/>
        <rFont val="Arial"/>
        <family val="0"/>
        <charset val="1"/>
      </rPr>
      <t xml:space="preserve">.</t>
    </r>
  </si>
  <si>
    <t xml:space="preserve">장흥자연휴양림</t>
  </si>
  <si>
    <t xml:space="preserve">Jangheung Forest Resort</t>
  </si>
  <si>
    <r>
      <rPr>
        <sz val="10"/>
        <rFont val="Noto Sans CJK SC"/>
        <family val="2"/>
      </rPr>
      <t xml:space="preserve">북한산 자락 계곡을 낀 숲 휴양림</t>
    </r>
    <r>
      <rPr>
        <sz val="10"/>
        <rFont val="Arial"/>
        <family val="0"/>
        <charset val="1"/>
      </rPr>
      <t xml:space="preserve">.</t>
    </r>
  </si>
  <si>
    <t xml:space="preserve">저동 촛대바위</t>
  </si>
  <si>
    <t xml:space="preserve">Jeodong Candlestick Rock</t>
  </si>
  <si>
    <r>
      <rPr>
        <sz val="10"/>
        <rFont val="Noto Sans CJK SC"/>
        <family val="2"/>
      </rPr>
      <t xml:space="preserve">저동항 방파제 끝에 선 바위와 일출</t>
    </r>
    <r>
      <rPr>
        <sz val="10"/>
        <rFont val="Arial"/>
        <family val="0"/>
        <charset val="1"/>
      </rPr>
      <t xml:space="preserve">.</t>
    </r>
  </si>
  <si>
    <t xml:space="preserve">적벽강</t>
  </si>
  <si>
    <t xml:space="preserve">Jeokbyeokgang Cliffs</t>
  </si>
  <si>
    <r>
      <rPr>
        <sz val="10"/>
        <rFont val="Noto Sans CJK SC"/>
        <family val="2"/>
      </rPr>
      <t xml:space="preserve">채석강 북쪽으로 이어지는 붉은 해식 절벽</t>
    </r>
    <r>
      <rPr>
        <sz val="10"/>
        <rFont val="Arial"/>
        <family val="0"/>
        <charset val="1"/>
      </rPr>
      <t xml:space="preserve">.</t>
    </r>
  </si>
  <si>
    <t xml:space="preserve">전동성당</t>
  </si>
  <si>
    <t xml:space="preserve">Jeondong Catholic Church</t>
  </si>
  <si>
    <r>
      <rPr>
        <sz val="10"/>
        <rFont val="Arial"/>
        <family val="0"/>
        <charset val="1"/>
      </rPr>
      <t xml:space="preserve">1914</t>
    </r>
    <r>
      <rPr>
        <sz val="10"/>
        <rFont val="Noto Sans CJK SC"/>
        <family val="2"/>
      </rPr>
      <t xml:space="preserve">년 벽돌 로마네스크 성당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한옥마을 입구에 있다</t>
    </r>
    <r>
      <rPr>
        <sz val="10"/>
        <rFont val="Arial"/>
        <family val="0"/>
        <charset val="1"/>
      </rPr>
      <t xml:space="preserve">.</t>
    </r>
  </si>
  <si>
    <t xml:space="preserve">전주역 권역 호텔</t>
  </si>
  <si>
    <t xml:space="preserve">Jeonju Station hotels</t>
  </si>
  <si>
    <t xml:space="preserve">전주한옥마을</t>
  </si>
  <si>
    <t xml:space="preserve">Jeonju Hanok Village</t>
  </si>
  <si>
    <r>
      <rPr>
        <sz val="10"/>
        <rFont val="Noto Sans CJK SC"/>
        <family val="2"/>
      </rPr>
      <t xml:space="preserve">한옥 </t>
    </r>
    <r>
      <rPr>
        <sz val="10"/>
        <rFont val="Arial"/>
        <family val="0"/>
        <charset val="1"/>
      </rPr>
      <t xml:space="preserve">700</t>
    </r>
    <r>
      <rPr>
        <sz val="10"/>
        <rFont val="Noto Sans CJK SC"/>
        <family val="2"/>
      </rPr>
      <t xml:space="preserve">여 채가 모인 마을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골목마다 공방과 찻집이 있다</t>
    </r>
    <r>
      <rPr>
        <sz val="10"/>
        <rFont val="Arial"/>
        <family val="0"/>
        <charset val="1"/>
      </rPr>
      <t xml:space="preserve">.</t>
    </r>
  </si>
  <si>
    <t xml:space="preserve">전주향교</t>
  </si>
  <si>
    <t xml:space="preserve">Jeonju Hyanggyo</t>
  </si>
  <si>
    <r>
      <rPr>
        <sz val="10"/>
        <rFont val="Noto Sans CJK SC"/>
        <family val="2"/>
      </rPr>
      <t xml:space="preserve">조선 향교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가을에는 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년 은행나무가 노랗게 물든다</t>
    </r>
    <r>
      <rPr>
        <sz val="10"/>
        <rFont val="Arial"/>
        <family val="0"/>
        <charset val="1"/>
      </rPr>
      <t xml:space="preserve">.</t>
    </r>
  </si>
  <si>
    <t xml:space="preserve">전혁림미술관</t>
  </si>
  <si>
    <t xml:space="preserve">Jeon Hyuck-lim Art Museum</t>
  </si>
  <si>
    <r>
      <rPr>
        <sz val="10"/>
        <rFont val="Noto Sans CJK SC"/>
        <family val="2"/>
      </rPr>
      <t xml:space="preserve">남해의 푸른색을 그린 화가의 타일 미술관</t>
    </r>
    <r>
      <rPr>
        <sz val="10"/>
        <rFont val="Arial"/>
        <family val="0"/>
        <charset val="1"/>
      </rPr>
      <t xml:space="preserve">.</t>
    </r>
  </si>
  <si>
    <t xml:space="preserve">절물오름</t>
  </si>
  <si>
    <t xml:space="preserve">Jeolmul Oreum</t>
  </si>
  <si>
    <r>
      <rPr>
        <sz val="10"/>
        <rFont val="Noto Sans CJK SC"/>
        <family val="2"/>
      </rPr>
      <t xml:space="preserve">절물자연휴양림 위로 오르는 분화구 오름</t>
    </r>
    <r>
      <rPr>
        <sz val="10"/>
        <rFont val="Arial"/>
        <family val="0"/>
        <charset val="1"/>
      </rPr>
      <t xml:space="preserve">.</t>
    </r>
  </si>
  <si>
    <t xml:space="preserve">정동심곡 바다부채길</t>
  </si>
  <si>
    <t xml:space="preserve">Badabuchae-gil Trail</t>
  </si>
  <si>
    <r>
      <rPr>
        <sz val="10"/>
        <rFont val="Noto Sans CJK SC"/>
        <family val="2"/>
      </rPr>
      <t xml:space="preserve">해안 단구를 따라 걷는 탐방로</t>
    </r>
    <r>
      <rPr>
        <sz val="10"/>
        <rFont val="Arial"/>
        <family val="0"/>
        <charset val="1"/>
      </rPr>
      <t xml:space="preserve">.</t>
    </r>
  </si>
  <si>
    <t xml:space="preserve">정동진</t>
  </si>
  <si>
    <t xml:space="preserve">Jeongdongjin</t>
  </si>
  <si>
    <r>
      <rPr>
        <sz val="10"/>
        <rFont val="Noto Sans CJK SC"/>
        <family val="2"/>
      </rPr>
      <t xml:space="preserve">바다에 가장 가까운 기차역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일출 명소로 알려져 있다</t>
    </r>
    <r>
      <rPr>
        <sz val="10"/>
        <rFont val="Arial"/>
        <family val="0"/>
        <charset val="1"/>
      </rPr>
      <t xml:space="preserve">.</t>
    </r>
  </si>
  <si>
    <t xml:space="preserve">정림사지 오층석탑</t>
  </si>
  <si>
    <t xml:space="preserve">Jeongnimsa Stone Pagoda</t>
  </si>
  <si>
    <r>
      <rPr>
        <sz val="10"/>
        <rFont val="Noto Sans CJK SC"/>
        <family val="2"/>
      </rPr>
      <t xml:space="preserve">백제 석탑의 전형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절터에 홀로 서 있다</t>
    </r>
    <r>
      <rPr>
        <sz val="10"/>
        <rFont val="Arial"/>
        <family val="0"/>
        <charset val="1"/>
      </rPr>
      <t xml:space="preserve">.</t>
    </r>
  </si>
  <si>
    <t xml:space="preserve">정방사</t>
  </si>
  <si>
    <t xml:space="preserve">Jeongbangsa Temple</t>
  </si>
  <si>
    <r>
      <rPr>
        <sz val="10"/>
        <rFont val="Noto Sans CJK SC"/>
        <family val="2"/>
      </rPr>
      <t xml:space="preserve">바위에 기대어 앉은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청풍호가 내려다보인다</t>
    </r>
    <r>
      <rPr>
        <sz val="10"/>
        <rFont val="Arial"/>
        <family val="0"/>
        <charset val="1"/>
      </rPr>
      <t xml:space="preserve">.</t>
    </r>
  </si>
  <si>
    <t xml:space="preserve">정서진</t>
  </si>
  <si>
    <t xml:space="preserve">Jeongseojin</t>
  </si>
  <si>
    <r>
      <rPr>
        <sz val="10"/>
        <rFont val="Noto Sans CJK SC"/>
        <family val="2"/>
      </rPr>
      <t xml:space="preserve">정동진과 마주 보는 서해 일몰 지점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아라뱃길 끝에 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</si>
  <si>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정선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일장</t>
    </r>
  </si>
  <si>
    <t xml:space="preserve">Jeongseon Five-day Market</t>
  </si>
  <si>
    <r>
      <rPr>
        <sz val="10"/>
        <rFont val="Noto Sans CJK SC"/>
        <family val="2"/>
      </rPr>
      <t xml:space="preserve">끝자리 </t>
    </r>
    <r>
      <rPr>
        <sz val="10"/>
        <rFont val="Arial"/>
        <family val="0"/>
        <charset val="1"/>
      </rPr>
      <t xml:space="preserve">2·7</t>
    </r>
    <r>
      <rPr>
        <sz val="10"/>
        <rFont val="Noto Sans CJK SC"/>
        <family val="2"/>
      </rPr>
      <t xml:space="preserve">일에 서는 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곤드레밥과 메밀전병을 판다</t>
    </r>
    <r>
      <rPr>
        <sz val="10"/>
        <rFont val="Arial"/>
        <family val="0"/>
        <charset val="1"/>
      </rPr>
      <t xml:space="preserve">.</t>
    </r>
  </si>
  <si>
    <t xml:space="preserve">정선 스카이워크</t>
  </si>
  <si>
    <t xml:space="preserve">Jeongseon Skywalk</t>
  </si>
  <si>
    <r>
      <rPr>
        <sz val="10"/>
        <rFont val="Noto Sans CJK SC"/>
        <family val="2"/>
      </rPr>
      <t xml:space="preserve">절벽 위 유리 전망대와 짚와이어</t>
    </r>
    <r>
      <rPr>
        <sz val="10"/>
        <rFont val="Arial"/>
        <family val="0"/>
        <charset val="1"/>
      </rPr>
      <t xml:space="preserve">.</t>
    </r>
  </si>
  <si>
    <t xml:space="preserve">정선읍 시내 숙소</t>
  </si>
  <si>
    <t xml:space="preserve">Jeongseon town stays</t>
  </si>
  <si>
    <t xml:space="preserve">정암사</t>
  </si>
  <si>
    <t xml:space="preserve">Jeongamsa Temple</t>
  </si>
  <si>
    <r>
      <rPr>
        <sz val="10"/>
        <rFont val="Noto Sans CJK SC"/>
        <family val="2"/>
      </rPr>
      <t xml:space="preserve">자장율사가 세운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수마노탑이 국보로 지정돼 있다</t>
    </r>
    <r>
      <rPr>
        <sz val="10"/>
        <rFont val="Arial"/>
        <family val="0"/>
        <charset val="1"/>
      </rPr>
      <t xml:space="preserve">.</t>
    </r>
  </si>
  <si>
    <t xml:space="preserve">정읍 쌍화차거리</t>
  </si>
  <si>
    <t xml:space="preserve">Jeongeup Ssanghwacha Street</t>
  </si>
  <si>
    <r>
      <rPr>
        <sz val="10"/>
        <rFont val="Noto Sans CJK SC"/>
        <family val="2"/>
      </rPr>
      <t xml:space="preserve">약재를 달인 쌍화차 찻집이 모인 거리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</si>
  <si>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땅굴</t>
    </r>
  </si>
  <si>
    <t xml:space="preserve">Second Infiltration Tunnel</t>
  </si>
  <si>
    <r>
      <rPr>
        <sz val="10"/>
        <rFont val="Arial"/>
        <family val="0"/>
        <charset val="1"/>
      </rPr>
      <t xml:space="preserve">1975</t>
    </r>
    <r>
      <rPr>
        <sz val="10"/>
        <rFont val="Noto Sans CJK SC"/>
        <family val="2"/>
      </rPr>
      <t xml:space="preserve">년 발견된 남침용 땅굴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안보관광으로 들어간다</t>
    </r>
    <r>
      <rPr>
        <sz val="10"/>
        <rFont val="Arial"/>
        <family val="0"/>
        <charset val="1"/>
      </rPr>
      <t xml:space="preserve">.</t>
    </r>
  </si>
  <si>
    <t xml:space="preserve">제민천 원도심</t>
  </si>
  <si>
    <t xml:space="preserve">Jemincheon Old Town</t>
  </si>
  <si>
    <r>
      <rPr>
        <sz val="10"/>
        <rFont val="Noto Sans CJK SC"/>
        <family val="2"/>
      </rPr>
      <t xml:space="preserve">하천을 따라 책방과 카페가 늘어선 옛 시가지</t>
    </r>
    <r>
      <rPr>
        <sz val="10"/>
        <rFont val="Arial"/>
        <family val="0"/>
        <charset val="1"/>
      </rPr>
      <t xml:space="preserve">.</t>
    </r>
  </si>
  <si>
    <t xml:space="preserve">제이드가든</t>
  </si>
  <si>
    <t xml:space="preserve">Jade Garden</t>
  </si>
  <si>
    <r>
      <rPr>
        <sz val="10"/>
        <rFont val="Noto Sans CJK SC"/>
        <family val="2"/>
      </rPr>
      <t xml:space="preserve">숲속에 조성한 유럽식 수목원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</si>
  <si>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제주시 연동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노형 호텔</t>
    </r>
  </si>
  <si>
    <t xml:space="preserve">Jeju City hotels</t>
  </si>
  <si>
    <t xml:space="preserve">제황산공원 진해탑</t>
  </si>
  <si>
    <t xml:space="preserve">Jehwangsan Park Tower</t>
  </si>
  <si>
    <r>
      <rPr>
        <sz val="10"/>
        <rFont val="Noto Sans CJK SC"/>
        <family val="2"/>
      </rPr>
      <t xml:space="preserve">진해 시가지를 내려다보는 군함 모양 전망탑</t>
    </r>
    <r>
      <rPr>
        <sz val="10"/>
        <rFont val="Arial"/>
        <family val="0"/>
        <charset val="1"/>
      </rPr>
      <t xml:space="preserve">.</t>
    </r>
  </si>
  <si>
    <t xml:space="preserve">조계산</t>
  </si>
  <si>
    <t xml:space="preserve">Jogyesan</t>
  </si>
  <si>
    <r>
      <rPr>
        <sz val="10"/>
        <rFont val="Noto Sans CJK SC"/>
        <family val="2"/>
      </rPr>
      <t xml:space="preserve">선암사와 송광사를 잇는 산길</t>
    </r>
    <r>
      <rPr>
        <sz val="10"/>
        <rFont val="Arial"/>
        <family val="0"/>
        <charset val="1"/>
      </rPr>
      <t xml:space="preserve">.</t>
    </r>
  </si>
  <si>
    <t xml:space="preserve">조안면 강변 숙소</t>
  </si>
  <si>
    <t xml:space="preserve">Joan riverside stays</t>
  </si>
  <si>
    <t xml:space="preserve">주남저수지</t>
  </si>
  <si>
    <t xml:space="preserve">Junam Reservoir</t>
  </si>
  <si>
    <r>
      <rPr>
        <sz val="10"/>
        <rFont val="Noto Sans CJK SC"/>
        <family val="2"/>
      </rPr>
      <t xml:space="preserve">겨울 철새가 내리는 저수지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탐조대가 있다</t>
    </r>
    <r>
      <rPr>
        <sz val="10"/>
        <rFont val="Arial"/>
        <family val="0"/>
        <charset val="1"/>
      </rPr>
      <t xml:space="preserve">.</t>
    </r>
  </si>
  <si>
    <t xml:space="preserve">주문진항</t>
  </si>
  <si>
    <t xml:space="preserve">Jumunjin Port</t>
  </si>
  <si>
    <r>
      <rPr>
        <sz val="10"/>
        <rFont val="Noto Sans CJK SC"/>
        <family val="2"/>
      </rPr>
      <t xml:space="preserve">활어시장과 건어물 좌판이 늘어선 항구</t>
    </r>
    <r>
      <rPr>
        <sz val="10"/>
        <rFont val="Arial"/>
        <family val="0"/>
        <charset val="1"/>
      </rPr>
      <t xml:space="preserve">.</t>
    </r>
  </si>
  <si>
    <t xml:space="preserve">주산지</t>
  </si>
  <si>
    <t xml:space="preserve">Jusanji Pond</t>
  </si>
  <si>
    <r>
      <rPr>
        <sz val="10"/>
        <rFont val="Noto Sans CJK SC"/>
        <family val="2"/>
      </rPr>
      <t xml:space="preserve">물에 잠긴 왕버들로 알려진 저수지</t>
    </r>
    <r>
      <rPr>
        <sz val="10"/>
        <rFont val="Arial"/>
        <family val="0"/>
        <charset val="1"/>
      </rPr>
      <t xml:space="preserve">.</t>
    </r>
  </si>
  <si>
    <t xml:space="preserve">주왕산 국립공원</t>
  </si>
  <si>
    <t xml:space="preserve">Juwangsan National Park</t>
  </si>
  <si>
    <r>
      <rPr>
        <sz val="10"/>
        <rFont val="Noto Sans CJK SC"/>
        <family val="2"/>
      </rPr>
      <t xml:space="preserve">기암 협곡과 폭포가 이어지는 국립공원</t>
    </r>
    <r>
      <rPr>
        <sz val="10"/>
        <rFont val="Arial"/>
        <family val="0"/>
        <charset val="1"/>
      </rPr>
      <t xml:space="preserve">.</t>
    </r>
  </si>
  <si>
    <t xml:space="preserve">주왕산 권역 숙소</t>
  </si>
  <si>
    <t xml:space="preserve">Juwangsan area stays</t>
  </si>
  <si>
    <t xml:space="preserve">주전 몽돌해변</t>
  </si>
  <si>
    <t xml:space="preserve">Jujeon Pebble Beach</t>
  </si>
  <si>
    <r>
      <rPr>
        <sz val="10"/>
        <rFont val="Noto Sans CJK SC"/>
        <family val="2"/>
      </rPr>
      <t xml:space="preserve">검은 자갈이 파도에 구르는 해변</t>
    </r>
    <r>
      <rPr>
        <sz val="10"/>
        <rFont val="Arial"/>
        <family val="0"/>
        <charset val="1"/>
      </rPr>
      <t xml:space="preserve">.</t>
    </r>
  </si>
  <si>
    <t xml:space="preserve">죽녹원</t>
  </si>
  <si>
    <t xml:space="preserve">Juknokwon Bamboo Forest</t>
  </si>
  <si>
    <r>
      <rPr>
        <sz val="10"/>
        <rFont val="Noto Sans CJK SC"/>
        <family val="2"/>
      </rPr>
      <t xml:space="preserve">대숲 사이로 산책로가 난 정원</t>
    </r>
    <r>
      <rPr>
        <sz val="10"/>
        <rFont val="Arial"/>
        <family val="0"/>
        <charset val="1"/>
      </rPr>
      <t xml:space="preserve">.</t>
    </r>
  </si>
  <si>
    <t xml:space="preserve">죽녹원 권역 숙소</t>
  </si>
  <si>
    <t xml:space="preserve">Juknokwon area stays</t>
  </si>
  <si>
    <t xml:space="preserve">죽도</t>
  </si>
  <si>
    <t xml:space="preserve">Jukdo Islet</t>
  </si>
  <si>
    <r>
      <rPr>
        <sz val="10"/>
        <rFont val="Noto Sans CJK SC"/>
        <family val="2"/>
      </rPr>
      <t xml:space="preserve">나선형 계단을 올라 더덕밭이 펼쳐지는 부속 섬</t>
    </r>
    <r>
      <rPr>
        <sz val="10"/>
        <rFont val="Arial"/>
        <family val="0"/>
        <charset val="1"/>
      </rPr>
      <t xml:space="preserve">.</t>
    </r>
  </si>
  <si>
    <t xml:space="preserve">죽도 물회거리</t>
  </si>
  <si>
    <t xml:space="preserve">Jukdo Mulhoe Street</t>
  </si>
  <si>
    <r>
      <rPr>
        <sz val="10"/>
        <rFont val="Noto Sans CJK SC"/>
        <family val="2"/>
      </rPr>
      <t xml:space="preserve">포항 물회 식당이 모인 거리</t>
    </r>
    <r>
      <rPr>
        <sz val="10"/>
        <rFont val="Arial"/>
        <family val="0"/>
        <charset val="1"/>
      </rPr>
      <t xml:space="preserve">.</t>
    </r>
  </si>
  <si>
    <t xml:space="preserve">죽도해변</t>
  </si>
  <si>
    <t xml:space="preserve">Jukdo Beach</t>
  </si>
  <si>
    <r>
      <rPr>
        <sz val="10"/>
        <rFont val="Noto Sans CJK SC"/>
        <family val="2"/>
      </rPr>
      <t xml:space="preserve">서핑 문화로 붐비는 해변</t>
    </r>
    <r>
      <rPr>
        <sz val="10"/>
        <rFont val="Arial"/>
        <family val="0"/>
        <charset val="1"/>
      </rPr>
      <t xml:space="preserve">.</t>
    </r>
  </si>
  <si>
    <t xml:space="preserve">죽변해안스카이레일</t>
  </si>
  <si>
    <t xml:space="preserve">Jukbyeon Sky Rail</t>
  </si>
  <si>
    <r>
      <rPr>
        <sz val="10"/>
        <rFont val="Noto Sans CJK SC"/>
        <family val="2"/>
      </rPr>
      <t xml:space="preserve">바다 위를 달리는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인승 레일</t>
    </r>
    <r>
      <rPr>
        <sz val="10"/>
        <rFont val="Arial"/>
        <family val="0"/>
        <charset val="1"/>
      </rPr>
      <t xml:space="preserve">.</t>
    </r>
  </si>
  <si>
    <t xml:space="preserve">죽서루</t>
  </si>
  <si>
    <t xml:space="preserve">Jukseoru</t>
  </si>
  <si>
    <r>
      <rPr>
        <sz val="10"/>
        <rFont val="Noto Sans CJK SC"/>
        <family val="2"/>
      </rPr>
      <t xml:space="preserve">오십천 절벽 위 관동팔경의 누각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</si>
  <si>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동성로 숙소</t>
    </r>
  </si>
  <si>
    <t xml:space="preserve">Jungang-ro &amp; Dongseong-ro stays</t>
  </si>
  <si>
    <t xml:space="preserve">중앙탑공원</t>
  </si>
  <si>
    <t xml:space="preserve">Jungangtap Park</t>
  </si>
  <si>
    <r>
      <rPr>
        <sz val="10"/>
        <rFont val="Noto Sans CJK SC"/>
        <family val="2"/>
      </rPr>
      <t xml:space="preserve">통일신라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층 석탑이 선 강변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탄금호와 이어진다</t>
    </r>
    <r>
      <rPr>
        <sz val="10"/>
        <rFont val="Arial"/>
        <family val="0"/>
        <charset val="1"/>
      </rPr>
      <t xml:space="preserve">.</t>
    </r>
  </si>
  <si>
    <t xml:space="preserve">중원 미륵리사지</t>
  </si>
  <si>
    <t xml:space="preserve">Mireungni Temple Site</t>
  </si>
  <si>
    <r>
      <rPr>
        <sz val="10"/>
        <rFont val="Noto Sans CJK SC"/>
        <family val="2"/>
      </rPr>
      <t xml:space="preserve">고려 석불입상이 선 옛 절터</t>
    </r>
    <r>
      <rPr>
        <sz val="10"/>
        <rFont val="Arial"/>
        <family val="0"/>
        <charset val="1"/>
      </rPr>
      <t xml:space="preserve">.</t>
    </r>
  </si>
  <si>
    <t xml:space="preserve">증도 리조트</t>
  </si>
  <si>
    <t xml:space="preserve">Jeungdo resorts</t>
  </si>
  <si>
    <t xml:space="preserve">증도 태평염전</t>
  </si>
  <si>
    <t xml:space="preserve">Taepyeong Salt Farm</t>
  </si>
  <si>
    <r>
      <rPr>
        <sz val="10"/>
        <rFont val="Noto Sans CJK SC"/>
        <family val="2"/>
      </rPr>
      <t xml:space="preserve">국내 최대 단일 천일염전</t>
    </r>
    <r>
      <rPr>
        <sz val="10"/>
        <rFont val="Arial"/>
        <family val="0"/>
        <charset val="1"/>
      </rPr>
      <t xml:space="preserve">.</t>
    </r>
  </si>
  <si>
    <t xml:space="preserve">지리산 뱀사골</t>
  </si>
  <si>
    <t xml:space="preserve">Baemsagol Valley</t>
  </si>
  <si>
    <r>
      <rPr>
        <sz val="10"/>
        <rFont val="Noto Sans CJK SC"/>
        <family val="2"/>
      </rPr>
      <t xml:space="preserve">지리산 북쪽의 계곡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단풍으로 알려져 있다</t>
    </r>
    <r>
      <rPr>
        <sz val="10"/>
        <rFont val="Arial"/>
        <family val="0"/>
        <charset val="1"/>
      </rPr>
      <t xml:space="preserve">.</t>
    </r>
  </si>
  <si>
    <t xml:space="preserve">지리산 정령치</t>
  </si>
  <si>
    <t xml:space="preserve">Jeongnyeongchi Pass</t>
  </si>
  <si>
    <r>
      <rPr>
        <sz val="10"/>
        <rFont val="Noto Sans CJK SC"/>
        <family val="2"/>
      </rPr>
      <t xml:space="preserve">해발 </t>
    </r>
    <r>
      <rPr>
        <sz val="10"/>
        <rFont val="Arial"/>
        <family val="0"/>
        <charset val="1"/>
      </rPr>
      <t xml:space="preserve">1172m </t>
    </r>
    <r>
      <rPr>
        <sz val="10"/>
        <rFont val="Noto Sans CJK SC"/>
        <family val="2"/>
      </rPr>
      <t xml:space="preserve">고갯마루 전망대</t>
    </r>
    <r>
      <rPr>
        <sz val="10"/>
        <rFont val="Arial"/>
        <family val="0"/>
        <charset val="1"/>
      </rPr>
      <t xml:space="preserve">.</t>
    </r>
  </si>
  <si>
    <t xml:space="preserve">지산동 고분군</t>
  </si>
  <si>
    <t xml:space="preserve">Jisan-dong Tombs</t>
  </si>
  <si>
    <r>
      <rPr>
        <sz val="10"/>
        <rFont val="Noto Sans CJK SC"/>
        <family val="2"/>
      </rPr>
      <t xml:space="preserve">대가야 왕릉군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</si>
  <si>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지중해마을</t>
  </si>
  <si>
    <t xml:space="preserve">Mediterranean Village</t>
  </si>
  <si>
    <r>
      <rPr>
        <sz val="10"/>
        <rFont val="Noto Sans CJK SC"/>
        <family val="2"/>
      </rPr>
      <t xml:space="preserve">남유럽풍 상점 거리</t>
    </r>
    <r>
      <rPr>
        <sz val="10"/>
        <rFont val="Arial"/>
        <family val="0"/>
        <charset val="1"/>
      </rPr>
      <t xml:space="preserve">.</t>
    </r>
  </si>
  <si>
    <t xml:space="preserve">직탕폭포</t>
  </si>
  <si>
    <t xml:space="preserve">Jiktang Falls</t>
  </si>
  <si>
    <r>
      <rPr>
        <sz val="10"/>
        <rFont val="Noto Sans CJK SC"/>
        <family val="2"/>
      </rPr>
      <t xml:space="preserve">한탄강을 가로지르는 넓고 낮은 폭포</t>
    </r>
    <r>
      <rPr>
        <sz val="10"/>
        <rFont val="Arial"/>
        <family val="0"/>
        <charset val="1"/>
      </rPr>
      <t xml:space="preserve">.</t>
    </r>
  </si>
  <si>
    <t xml:space="preserve">진남관</t>
  </si>
  <si>
    <t xml:space="preserve">Jinnamgwan</t>
  </si>
  <si>
    <r>
      <rPr>
        <sz val="10"/>
        <rFont val="Noto Sans CJK SC"/>
        <family val="2"/>
      </rPr>
      <t xml:space="preserve">임진왜란 수군 본영 자리의 객사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국보로 지정돼 있다</t>
    </r>
    <r>
      <rPr>
        <sz val="10"/>
        <rFont val="Arial"/>
        <family val="0"/>
        <charset val="1"/>
      </rPr>
      <t xml:space="preserve">.</t>
    </r>
  </si>
  <si>
    <t xml:space="preserve">진양호 동물원</t>
  </si>
  <si>
    <t xml:space="preserve">Jinyangho Zoo</t>
  </si>
  <si>
    <r>
      <rPr>
        <sz val="10"/>
        <rFont val="Noto Sans CJK SC"/>
        <family val="2"/>
      </rPr>
      <t xml:space="preserve">진양호 공원 안의 소규모 동물원</t>
    </r>
    <r>
      <rPr>
        <sz val="10"/>
        <rFont val="Arial"/>
        <family val="0"/>
        <charset val="1"/>
      </rPr>
      <t xml:space="preserve">.</t>
    </r>
  </si>
  <si>
    <t xml:space="preserve">진양호 전망대</t>
  </si>
  <si>
    <t xml:space="preserve">Jinyangho Lookout</t>
  </si>
  <si>
    <r>
      <rPr>
        <sz val="10"/>
        <rFont val="Noto Sans CJK SC"/>
        <family val="2"/>
      </rPr>
      <t xml:space="preserve">노을로 알려진 호수 전망 데크</t>
    </r>
    <r>
      <rPr>
        <sz val="10"/>
        <rFont val="Arial"/>
        <family val="0"/>
        <charset val="1"/>
      </rPr>
      <t xml:space="preserve">.</t>
    </r>
  </si>
  <si>
    <t xml:space="preserve">진주 남강</t>
  </si>
  <si>
    <t xml:space="preserve">Nam River</t>
  </si>
  <si>
    <r>
      <rPr>
        <sz val="10"/>
        <rFont val="Noto Sans CJK SC"/>
        <family val="2"/>
      </rPr>
      <t xml:space="preserve">유등축제가 열리는 강변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밤에 등이 뜬다</t>
    </r>
    <r>
      <rPr>
        <sz val="10"/>
        <rFont val="Arial"/>
        <family val="0"/>
        <charset val="1"/>
      </rPr>
      <t xml:space="preserve">.</t>
    </r>
  </si>
  <si>
    <t xml:space="preserve">진주 망경동 벽화마을</t>
  </si>
  <si>
    <t xml:space="preserve">Manggyeong-dong Mural Village</t>
  </si>
  <si>
    <r>
      <rPr>
        <sz val="10"/>
        <rFont val="Noto Sans CJK SC"/>
        <family val="2"/>
      </rPr>
      <t xml:space="preserve">남강 건너 언덕에 자리한 골목 마을</t>
    </r>
    <r>
      <rPr>
        <sz val="10"/>
        <rFont val="Arial"/>
        <family val="0"/>
        <charset val="1"/>
      </rPr>
      <t xml:space="preserve">.</t>
    </r>
  </si>
  <si>
    <t xml:space="preserve">진주 비봉산 산책로</t>
  </si>
  <si>
    <t xml:space="preserve">Bibongsan Walk</t>
  </si>
  <si>
    <r>
      <rPr>
        <sz val="10"/>
        <rFont val="Noto Sans CJK SC"/>
        <family val="2"/>
      </rPr>
      <t xml:space="preserve">시가지를 내려다보는 도심 뒷산 길</t>
    </r>
    <r>
      <rPr>
        <sz val="10"/>
        <rFont val="Arial"/>
        <family val="0"/>
        <charset val="1"/>
      </rPr>
      <t xml:space="preserve">.</t>
    </r>
  </si>
  <si>
    <t xml:space="preserve">진주 유등테마공원</t>
  </si>
  <si>
    <t xml:space="preserve">Jinju Lantern Park</t>
  </si>
  <si>
    <r>
      <rPr>
        <sz val="10"/>
        <rFont val="Noto Sans CJK SC"/>
        <family val="2"/>
      </rPr>
      <t xml:space="preserve">남강 유등축제를 상설로 옮겨 놓은 공원</t>
    </r>
    <r>
      <rPr>
        <sz val="10"/>
        <rFont val="Arial"/>
        <family val="0"/>
        <charset val="1"/>
      </rPr>
      <t xml:space="preserve">.</t>
    </r>
  </si>
  <si>
    <t xml:space="preserve">진주성</t>
  </si>
  <si>
    <t xml:space="preserve">Jinjuseong Fortress</t>
  </si>
  <si>
    <r>
      <rPr>
        <sz val="10"/>
        <rFont val="Noto Sans CJK SC"/>
        <family val="2"/>
      </rPr>
      <t xml:space="preserve">임진왜란 진주대첩의 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남강을 따라 성벽이 돈다</t>
    </r>
    <r>
      <rPr>
        <sz val="10"/>
        <rFont val="Arial"/>
        <family val="0"/>
        <charset val="1"/>
      </rPr>
      <t xml:space="preserve">.</t>
    </r>
  </si>
  <si>
    <t xml:space="preserve">진주성 권역 숙소</t>
  </si>
  <si>
    <t xml:space="preserve">Jinjuseong area stays</t>
  </si>
  <si>
    <t xml:space="preserve">진주역 권역 호텔</t>
  </si>
  <si>
    <t xml:space="preserve">Jinju Station hotels</t>
  </si>
  <si>
    <t xml:space="preserve">진주중앙시장</t>
  </si>
  <si>
    <t xml:space="preserve">Jinju Jungang Market</t>
  </si>
  <si>
    <r>
      <rPr>
        <sz val="10"/>
        <rFont val="Noto Sans CJK SC"/>
        <family val="2"/>
      </rPr>
      <t xml:space="preserve">진주냉면과 비빔밥으로 알려진 도심 시장</t>
    </r>
    <r>
      <rPr>
        <sz val="10"/>
        <rFont val="Arial"/>
        <family val="0"/>
        <charset val="1"/>
      </rPr>
      <t xml:space="preserve">.</t>
    </r>
  </si>
  <si>
    <t xml:space="preserve">진하해수욕장</t>
  </si>
  <si>
    <t xml:space="preserve">Jinha Beach</t>
  </si>
  <si>
    <r>
      <rPr>
        <sz val="10"/>
        <rFont val="Noto Sans CJK SC"/>
        <family val="2"/>
      </rPr>
      <t xml:space="preserve">명선도가 보이는 남부권 해변</t>
    </r>
    <r>
      <rPr>
        <sz val="10"/>
        <rFont val="Arial"/>
        <family val="0"/>
        <charset val="1"/>
      </rPr>
      <t xml:space="preserve">.</t>
    </r>
  </si>
  <si>
    <t xml:space="preserve">진해 군항 권역 숙소</t>
  </si>
  <si>
    <t xml:space="preserve">Jinhae naval port stays</t>
  </si>
  <si>
    <t xml:space="preserve">진해 여좌천</t>
  </si>
  <si>
    <t xml:space="preserve">Yeojwacheon Stream</t>
  </si>
  <si>
    <r>
      <rPr>
        <sz val="10"/>
        <rFont val="Noto Sans CJK SC"/>
        <family val="2"/>
      </rPr>
      <t xml:space="preserve">벚꽃 터널로 알려진 하천길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군항제 때 절정이다</t>
    </r>
    <r>
      <rPr>
        <sz val="10"/>
        <rFont val="Arial"/>
        <family val="0"/>
        <charset val="1"/>
      </rPr>
      <t xml:space="preserve">.</t>
    </r>
  </si>
  <si>
    <t xml:space="preserve">진해루</t>
  </si>
  <si>
    <t xml:space="preserve">Jinhaeru Pavilion</t>
  </si>
  <si>
    <r>
      <rPr>
        <sz val="10"/>
        <rFont val="Noto Sans CJK SC"/>
        <family val="2"/>
      </rPr>
      <t xml:space="preserve">속천항 바다 위로 선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층 누각</t>
    </r>
    <r>
      <rPr>
        <sz val="10"/>
        <rFont val="Arial"/>
        <family val="0"/>
        <charset val="1"/>
      </rPr>
      <t xml:space="preserve">.</t>
    </r>
  </si>
  <si>
    <t xml:space="preserve">진해해양공원</t>
  </si>
  <si>
    <t xml:space="preserve">Jinhae Maritime Park</t>
  </si>
  <si>
    <r>
      <rPr>
        <sz val="10"/>
        <rFont val="Noto Sans CJK SC"/>
        <family val="2"/>
      </rPr>
      <t xml:space="preserve">솔라타워와 짚트랙을 둔 해양공원</t>
    </r>
    <r>
      <rPr>
        <sz val="10"/>
        <rFont val="Arial"/>
        <family val="0"/>
        <charset val="1"/>
      </rPr>
      <t xml:space="preserve">.</t>
    </r>
  </si>
  <si>
    <t xml:space="preserve">진현동 게스트하우스</t>
  </si>
  <si>
    <t xml:space="preserve">Jinhyeon-dong guesthouses</t>
  </si>
  <si>
    <t xml:space="preserve">창동예술촌</t>
  </si>
  <si>
    <t xml:space="preserve">Changdong Art Village</t>
  </si>
  <si>
    <r>
      <rPr>
        <sz val="10"/>
        <rFont val="Noto Sans CJK SC"/>
        <family val="2"/>
      </rPr>
      <t xml:space="preserve">옛 마산 도심의 골목 공방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갤러리 거리</t>
    </r>
    <r>
      <rPr>
        <sz val="10"/>
        <rFont val="Arial"/>
        <family val="0"/>
        <charset val="1"/>
      </rPr>
      <t xml:space="preserve">.</t>
    </r>
  </si>
  <si>
    <t xml:space="preserve">창룡문</t>
  </si>
  <si>
    <t xml:space="preserve">Changnyongmun Gate</t>
  </si>
  <si>
    <r>
      <rPr>
        <sz val="10"/>
        <rFont val="Noto Sans CJK SC"/>
        <family val="2"/>
      </rPr>
      <t xml:space="preserve">화성의 동쪽 성문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활쏘기 체험장이 붙어 있다</t>
    </r>
    <r>
      <rPr>
        <sz val="10"/>
        <rFont val="Arial"/>
        <family val="0"/>
        <charset val="1"/>
      </rPr>
      <t xml:space="preserve">.</t>
    </r>
  </si>
  <si>
    <t xml:space="preserve">채미정</t>
  </si>
  <si>
    <t xml:space="preserve">Chaemijeong</t>
  </si>
  <si>
    <r>
      <rPr>
        <sz val="10"/>
        <rFont val="Noto Sans CJK SC"/>
        <family val="2"/>
      </rPr>
      <t xml:space="preserve">길재를 기려 세운 정자</t>
    </r>
    <r>
      <rPr>
        <sz val="10"/>
        <rFont val="Arial"/>
        <family val="0"/>
        <charset val="1"/>
      </rPr>
      <t xml:space="preserve">.</t>
    </r>
  </si>
  <si>
    <t xml:space="preserve">채석강</t>
  </si>
  <si>
    <t xml:space="preserve">Chaeseokgang Cliffs</t>
  </si>
  <si>
    <r>
      <rPr>
        <sz val="10"/>
        <rFont val="Noto Sans CJK SC"/>
        <family val="2"/>
      </rPr>
      <t xml:space="preserve">책을 쌓은 듯한 해식 절벽</t>
    </r>
    <r>
      <rPr>
        <sz val="10"/>
        <rFont val="Arial"/>
        <family val="0"/>
        <charset val="1"/>
      </rPr>
      <t xml:space="preserve">.</t>
    </r>
  </si>
  <si>
    <t xml:space="preserve">척산온천</t>
  </si>
  <si>
    <t xml:space="preserve">Cheoksan Hot Spring</t>
  </si>
  <si>
    <r>
      <rPr>
        <sz val="10"/>
        <rFont val="Noto Sans CJK SC"/>
        <family val="2"/>
      </rPr>
      <t xml:space="preserve">설악산 자락의 온천 휴양지</t>
    </r>
    <r>
      <rPr>
        <sz val="10"/>
        <rFont val="Arial"/>
        <family val="0"/>
        <charset val="1"/>
      </rPr>
      <t xml:space="preserve">.</t>
    </r>
  </si>
  <si>
    <t xml:space="preserve">천리포수목원</t>
  </si>
  <si>
    <t xml:space="preserve">Chollipo Arboretum</t>
  </si>
  <si>
    <r>
      <rPr>
        <sz val="10"/>
        <rFont val="Noto Sans CJK SC"/>
        <family val="2"/>
      </rPr>
      <t xml:space="preserve">목련으로 이름난 바닷가 수목원</t>
    </r>
    <r>
      <rPr>
        <sz val="10"/>
        <rFont val="Arial"/>
        <family val="0"/>
        <charset val="1"/>
      </rPr>
      <t xml:space="preserve">.</t>
    </r>
  </si>
  <si>
    <t xml:space="preserve">천성산 화엄벌</t>
  </si>
  <si>
    <t xml:space="preserve">Cheonseongsan Hwaeombeol</t>
  </si>
  <si>
    <r>
      <rPr>
        <sz val="10"/>
        <rFont val="Noto Sans CJK SC"/>
        <family val="2"/>
      </rPr>
      <t xml:space="preserve">억새가 덮인 정상 고원 능선</t>
    </r>
    <r>
      <rPr>
        <sz val="10"/>
        <rFont val="Arial"/>
        <family val="0"/>
        <charset val="1"/>
      </rPr>
      <t xml:space="preserve">.</t>
    </r>
  </si>
  <si>
    <t xml:space="preserve">천안 시내 숙소</t>
  </si>
  <si>
    <t xml:space="preserve">Cheonan downtown stays</t>
  </si>
  <si>
    <t xml:space="preserve">천안삼거리공원</t>
  </si>
  <si>
    <t xml:space="preserve">Cheonan Samgeori Park</t>
  </si>
  <si>
    <r>
      <rPr>
        <sz val="10"/>
        <rFont val="Noto Sans CJK SC"/>
        <family val="2"/>
      </rPr>
      <t xml:space="preserve">흥타령으로 알려진 옛 길목의 공원</t>
    </r>
    <r>
      <rPr>
        <sz val="10"/>
        <rFont val="Arial"/>
        <family val="0"/>
        <charset val="1"/>
      </rPr>
      <t xml:space="preserve">.</t>
    </r>
  </si>
  <si>
    <t xml:space="preserve">천안아산역 권역 호텔</t>
  </si>
  <si>
    <t xml:space="preserve">Cheonan-Asan Station hotels</t>
  </si>
  <si>
    <t xml:space="preserve">천전리 각석</t>
  </si>
  <si>
    <t xml:space="preserve">Cheonjeon-ri Petroglyphs</t>
  </si>
  <si>
    <r>
      <rPr>
        <sz val="10"/>
        <rFont val="Noto Sans CJK SC"/>
        <family val="2"/>
      </rPr>
      <t xml:space="preserve">반구대와 함께 남은 선사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신라 시대 각석</t>
    </r>
    <r>
      <rPr>
        <sz val="10"/>
        <rFont val="Arial"/>
        <family val="0"/>
        <charset val="1"/>
      </rPr>
      <t xml:space="preserve">.</t>
    </r>
  </si>
  <si>
    <t xml:space="preserve">철원 노동당사</t>
  </si>
  <si>
    <t xml:space="preserve">Cheorwon Workers Party HQ</t>
  </si>
  <si>
    <r>
      <rPr>
        <sz val="10"/>
        <rFont val="Noto Sans CJK SC"/>
        <family val="2"/>
      </rPr>
      <t xml:space="preserve">분단 전 지어진 건물 골조가 남은 근대 유적</t>
    </r>
    <r>
      <rPr>
        <sz val="10"/>
        <rFont val="Arial"/>
        <family val="0"/>
        <charset val="1"/>
      </rPr>
      <t xml:space="preserve">.</t>
    </r>
  </si>
  <si>
    <t xml:space="preserve">철원 두루미 월동지</t>
  </si>
  <si>
    <t xml:space="preserve">Cheorwon Crane Fields</t>
  </si>
  <si>
    <r>
      <rPr>
        <sz val="10"/>
        <rFont val="Noto Sans CJK SC"/>
        <family val="2"/>
      </rPr>
      <t xml:space="preserve">겨울마다 두루미가 내려앉는 민통선 들녘</t>
    </r>
    <r>
      <rPr>
        <sz val="10"/>
        <rFont val="Arial"/>
        <family val="0"/>
        <charset val="1"/>
      </rPr>
      <t xml:space="preserve">.</t>
    </r>
  </si>
  <si>
    <t xml:space="preserve">철원 승일교</t>
  </si>
  <si>
    <t xml:space="preserve">Seungil Bridge</t>
  </si>
  <si>
    <r>
      <rPr>
        <sz val="10"/>
        <rFont val="Noto Sans CJK SC"/>
        <family val="2"/>
      </rPr>
      <t xml:space="preserve">남북이 나누어 놓은 아치 교량</t>
    </r>
    <r>
      <rPr>
        <sz val="10"/>
        <rFont val="Arial"/>
        <family val="0"/>
        <charset val="1"/>
      </rPr>
      <t xml:space="preserve">.</t>
    </r>
  </si>
  <si>
    <t xml:space="preserve">철원 학저수지</t>
  </si>
  <si>
    <t xml:space="preserve">Hak Reservoir</t>
  </si>
  <si>
    <r>
      <rPr>
        <sz val="10"/>
        <rFont val="Noto Sans CJK SC"/>
        <family val="2"/>
      </rPr>
      <t xml:space="preserve">철새와 낚시로 알려진 평야 속 저수지</t>
    </r>
    <r>
      <rPr>
        <sz val="10"/>
        <rFont val="Arial"/>
        <family val="0"/>
        <charset val="1"/>
      </rPr>
      <t xml:space="preserve">.</t>
    </r>
  </si>
  <si>
    <t xml:space="preserve">철원평화전망대</t>
  </si>
  <si>
    <t xml:space="preserve">Cheorwon Peace Observatory</t>
  </si>
  <si>
    <r>
      <rPr>
        <sz val="10"/>
        <rFont val="Noto Sans CJK SC"/>
        <family val="2"/>
      </rPr>
      <t xml:space="preserve">비무장지대와 철원평야가 보이는 전망대</t>
    </r>
    <r>
      <rPr>
        <sz val="10"/>
        <rFont val="Arial"/>
        <family val="0"/>
        <charset val="1"/>
      </rPr>
      <t xml:space="preserve">.</t>
    </r>
  </si>
  <si>
    <t xml:space="preserve">청남대</t>
  </si>
  <si>
    <t xml:space="preserve">Cheongnamdae</t>
  </si>
  <si>
    <r>
      <rPr>
        <sz val="10"/>
        <rFont val="Noto Sans CJK SC"/>
        <family val="2"/>
      </rPr>
      <t xml:space="preserve">옛 대통령 별장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대청호를 낀 정원이 넓다</t>
    </r>
    <r>
      <rPr>
        <sz val="10"/>
        <rFont val="Arial"/>
        <family val="0"/>
        <charset val="1"/>
      </rPr>
      <t xml:space="preserve">.</t>
    </r>
  </si>
  <si>
    <t xml:space="preserve">청라호수공원</t>
  </si>
  <si>
    <t xml:space="preserve">Cheongna Lake Park</t>
  </si>
  <si>
    <r>
      <rPr>
        <sz val="10"/>
        <rFont val="Noto Sans CJK SC"/>
        <family val="2"/>
      </rPr>
      <t xml:space="preserve">신도시 한가운데의 호수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음악분수가 선다</t>
    </r>
    <r>
      <rPr>
        <sz val="10"/>
        <rFont val="Arial"/>
        <family val="0"/>
        <charset val="1"/>
      </rPr>
      <t xml:space="preserve">.</t>
    </r>
  </si>
  <si>
    <t xml:space="preserve">영월</t>
  </si>
  <si>
    <t xml:space="preserve">청령포 관음송</t>
  </si>
  <si>
    <t xml:space="preserve">Gwaneumsong Pine</t>
  </si>
  <si>
    <r>
      <rPr>
        <sz val="10"/>
        <rFont val="Noto Sans CJK SC"/>
        <family val="2"/>
      </rPr>
      <t xml:space="preserve">단종의 유배를 지켜봤다는 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년 소나무</t>
    </r>
    <r>
      <rPr>
        <sz val="10"/>
        <rFont val="Arial"/>
        <family val="0"/>
        <charset val="1"/>
      </rPr>
      <t xml:space="preserve">.</t>
    </r>
  </si>
  <si>
    <t xml:space="preserve">청사포 다릿돌전망대</t>
  </si>
  <si>
    <t xml:space="preserve">Cheongsapo Daritdol Observatory</t>
  </si>
  <si>
    <r>
      <rPr>
        <sz val="10"/>
        <rFont val="Noto Sans CJK SC"/>
        <family val="2"/>
      </rPr>
      <t xml:space="preserve">바다 위로 뻗은 유리 전망대</t>
    </r>
    <r>
      <rPr>
        <sz val="10"/>
        <rFont val="Arial"/>
        <family val="0"/>
        <charset val="1"/>
      </rPr>
      <t xml:space="preserve">.</t>
    </r>
  </si>
  <si>
    <t xml:space="preserve">청산도</t>
  </si>
  <si>
    <t xml:space="preserve">Cheongsando</t>
  </si>
  <si>
    <r>
      <rPr>
        <sz val="10"/>
        <rFont val="Noto Sans CJK SC"/>
        <family val="2"/>
      </rPr>
      <t xml:space="preserve">슬로시티로 지정된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구들장논이 남아 있다</t>
    </r>
    <r>
      <rPr>
        <sz val="10"/>
        <rFont val="Arial"/>
        <family val="0"/>
        <charset val="1"/>
      </rPr>
      <t xml:space="preserve">.</t>
    </r>
  </si>
  <si>
    <t xml:space="preserve">청송 얼음골</t>
  </si>
  <si>
    <t xml:space="preserve">Cheongsong Ice Valley</t>
  </si>
  <si>
    <r>
      <rPr>
        <sz val="10"/>
        <rFont val="Noto Sans CJK SC"/>
        <family val="2"/>
      </rPr>
      <t xml:space="preserve">여름에 찬바람이 나고 겨울에 빙벽이 서는 골</t>
    </r>
    <r>
      <rPr>
        <sz val="10"/>
        <rFont val="Arial"/>
        <family val="0"/>
        <charset val="1"/>
      </rPr>
      <t xml:space="preserve">.</t>
    </r>
  </si>
  <si>
    <t xml:space="preserve">청와대</t>
  </si>
  <si>
    <t xml:space="preserve">Cheong Wa Dae</t>
  </si>
  <si>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개방된 옛 대통령 관저</t>
    </r>
    <r>
      <rPr>
        <sz val="10"/>
        <rFont val="Arial"/>
        <family val="0"/>
        <charset val="1"/>
      </rPr>
      <t xml:space="preserve">.</t>
    </r>
  </si>
  <si>
    <t xml:space="preserve">청주 시내 호텔</t>
  </si>
  <si>
    <t xml:space="preserve">Cheongju city hotels</t>
  </si>
  <si>
    <t xml:space="preserve">청초호수공원</t>
  </si>
  <si>
    <t xml:space="preserve">Cheongchoho Park</t>
  </si>
  <si>
    <r>
      <rPr>
        <sz val="10"/>
        <rFont val="Noto Sans CJK SC"/>
        <family val="2"/>
      </rPr>
      <t xml:space="preserve">석호를 두른 공원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엑스포타워 전망대가 있다</t>
    </r>
    <r>
      <rPr>
        <sz val="10"/>
        <rFont val="Arial"/>
        <family val="0"/>
        <charset val="1"/>
      </rPr>
      <t xml:space="preserve">.</t>
    </r>
  </si>
  <si>
    <t xml:space="preserve">청평사</t>
  </si>
  <si>
    <t xml:space="preserve">Cheongpyeongsa Temple</t>
  </si>
  <si>
    <r>
      <rPr>
        <sz val="10"/>
        <rFont val="Noto Sans CJK SC"/>
        <family val="2"/>
      </rPr>
      <t xml:space="preserve">소양호를 배로 건너 오르는 고려 고찰</t>
    </r>
    <r>
      <rPr>
        <sz val="10"/>
        <rFont val="Arial"/>
        <family val="0"/>
        <charset val="1"/>
      </rPr>
      <t xml:space="preserve">.</t>
    </r>
  </si>
  <si>
    <t xml:space="preserve">청평호반</t>
  </si>
  <si>
    <t xml:space="preserve">Cheongpyeong Lake</t>
  </si>
  <si>
    <r>
      <rPr>
        <sz val="10"/>
        <rFont val="Noto Sans CJK SC"/>
        <family val="2"/>
      </rPr>
      <t xml:space="preserve">수상레저로 붐비는 북한강 호반</t>
    </r>
    <r>
      <rPr>
        <sz val="10"/>
        <rFont val="Arial"/>
        <family val="0"/>
        <charset val="1"/>
      </rPr>
      <t xml:space="preserve">.</t>
    </r>
  </si>
  <si>
    <t xml:space="preserve">청풍호 권역 리조트</t>
  </si>
  <si>
    <t xml:space="preserve">Cheongpung Lake resorts</t>
  </si>
  <si>
    <t xml:space="preserve">청풍호반케이블카</t>
  </si>
  <si>
    <t xml:space="preserve">Cheongpung Lake Cable Car</t>
  </si>
  <si>
    <r>
      <rPr>
        <sz val="10"/>
        <rFont val="Noto Sans CJK SC"/>
        <family val="2"/>
      </rPr>
      <t xml:space="preserve">비봉산 정상으로 오르는 케이블카</t>
    </r>
    <r>
      <rPr>
        <sz val="10"/>
        <rFont val="Arial"/>
        <family val="0"/>
        <charset val="1"/>
      </rPr>
      <t xml:space="preserve">.</t>
    </r>
  </si>
  <si>
    <t xml:space="preserve">초양도</t>
  </si>
  <si>
    <t xml:space="preserve">Choyangdo</t>
  </si>
  <si>
    <r>
      <rPr>
        <sz val="10"/>
        <rFont val="Noto Sans CJK SC"/>
        <family val="2"/>
      </rPr>
      <t xml:space="preserve">케이블카가 닿는 작은 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전망 데크가 있다</t>
    </r>
    <r>
      <rPr>
        <sz val="10"/>
        <rFont val="Arial"/>
        <family val="0"/>
        <charset val="1"/>
      </rPr>
      <t xml:space="preserve">.</t>
    </r>
  </si>
  <si>
    <t xml:space="preserve">초원사진관</t>
  </si>
  <si>
    <t xml:space="preserve">Chowon Photo Studio</t>
  </si>
  <si>
    <r>
      <rPr>
        <sz val="10"/>
        <rFont val="Noto Sans CJK SC"/>
        <family val="2"/>
      </rPr>
      <t xml:space="preserve">영화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월의 크리스마스 촬영지</t>
    </r>
    <r>
      <rPr>
        <sz val="10"/>
        <rFont val="Arial"/>
        <family val="0"/>
        <charset val="1"/>
      </rPr>
      <t xml:space="preserve">.</t>
    </r>
  </si>
  <si>
    <t xml:space="preserve">촉석루</t>
  </si>
  <si>
    <t xml:space="preserve">Chokseongnu</t>
  </si>
  <si>
    <r>
      <rPr>
        <sz val="10"/>
        <rFont val="Noto Sans CJK SC"/>
        <family val="2"/>
      </rPr>
      <t xml:space="preserve">남강 절벽 위의 누각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논개의 의암이 아래에 있다</t>
    </r>
    <r>
      <rPr>
        <sz val="10"/>
        <rFont val="Arial"/>
        <family val="0"/>
        <charset val="1"/>
      </rPr>
      <t xml:space="preserve">.</t>
    </r>
  </si>
  <si>
    <t xml:space="preserve">최참판댁</t>
  </si>
  <si>
    <t xml:space="preserve">Choi Champandaek</t>
  </si>
  <si>
    <r>
      <rPr>
        <sz val="10"/>
        <rFont val="Noto Sans CJK SC"/>
        <family val="2"/>
      </rPr>
      <t xml:space="preserve">소설 『토지』의 무대로 지은 평사리 한옥</t>
    </r>
    <r>
      <rPr>
        <sz val="10"/>
        <rFont val="Arial"/>
        <family val="0"/>
        <charset val="1"/>
      </rPr>
      <t xml:space="preserve">.</t>
    </r>
  </si>
  <si>
    <t xml:space="preserve">추사고택</t>
  </si>
  <si>
    <t xml:space="preserve">Kim Jeong-hui House</t>
  </si>
  <si>
    <r>
      <rPr>
        <sz val="10"/>
        <rFont val="Noto Sans CJK SC"/>
        <family val="2"/>
      </rPr>
      <t xml:space="preserve">추사 김정희가 나고 자란 한옥과 묘소</t>
    </r>
    <r>
      <rPr>
        <sz val="10"/>
        <rFont val="Arial"/>
        <family val="0"/>
        <charset val="1"/>
      </rPr>
      <t xml:space="preserve">.</t>
    </r>
  </si>
  <si>
    <t xml:space="preserve">축령산 편백숲</t>
  </si>
  <si>
    <t xml:space="preserve">Chungnyeongsan Cypress Forest</t>
  </si>
  <si>
    <r>
      <rPr>
        <sz val="10"/>
        <rFont val="Noto Sans CJK SC"/>
        <family val="2"/>
      </rPr>
      <t xml:space="preserve">사람이 심어 기른 편백 조림지</t>
    </r>
    <r>
      <rPr>
        <sz val="10"/>
        <rFont val="Arial"/>
        <family val="0"/>
        <charset val="1"/>
      </rPr>
      <t xml:space="preserve">.</t>
    </r>
  </si>
  <si>
    <t xml:space="preserve">축령산자연휴양림</t>
  </si>
  <si>
    <t xml:space="preserve">Chungnyeongsan Forest Resort</t>
  </si>
  <si>
    <r>
      <rPr>
        <sz val="10"/>
        <rFont val="Noto Sans CJK SC"/>
        <family val="2"/>
      </rPr>
      <t xml:space="preserve">잣나무 숲이 깊은 경기 동북부 휴양림</t>
    </r>
    <r>
      <rPr>
        <sz val="10"/>
        <rFont val="Arial"/>
        <family val="0"/>
        <charset val="1"/>
      </rPr>
      <t xml:space="preserve">.</t>
    </r>
  </si>
  <si>
    <t xml:space="preserve">춘천 명동 숙소</t>
  </si>
  <si>
    <t xml:space="preserve">Chuncheon downtown stays</t>
  </si>
  <si>
    <t xml:space="preserve">춘향테마파크</t>
  </si>
  <si>
    <t xml:space="preserve">Chunhyang Theme Park</t>
  </si>
  <si>
    <r>
      <rPr>
        <sz val="10"/>
        <rFont val="Noto Sans CJK SC"/>
        <family val="2"/>
      </rPr>
      <t xml:space="preserve">춘향전을 전시와 세트로 풀어낸 공원</t>
    </r>
    <r>
      <rPr>
        <sz val="10"/>
        <rFont val="Arial"/>
        <family val="0"/>
        <charset val="1"/>
      </rPr>
      <t xml:space="preserve">.</t>
    </r>
  </si>
  <si>
    <t xml:space="preserve">충주 고구려비 전시관</t>
  </si>
  <si>
    <t xml:space="preserve">Chungju Goguryeo Stele Museum</t>
  </si>
  <si>
    <r>
      <rPr>
        <sz val="10"/>
        <rFont val="Noto Sans CJK SC"/>
        <family val="2"/>
      </rPr>
      <t xml:space="preserve">남한에 하나뿐인 고구려비를 보관한 전시관</t>
    </r>
    <r>
      <rPr>
        <sz val="10"/>
        <rFont val="Arial"/>
        <family val="0"/>
        <charset val="1"/>
      </rPr>
      <t xml:space="preserve">.</t>
    </r>
  </si>
  <si>
    <t xml:space="preserve">충주 라이트월드</t>
  </si>
  <si>
    <t xml:space="preserve">Chungju Light World</t>
  </si>
  <si>
    <r>
      <rPr>
        <sz val="10"/>
        <rFont val="Noto Sans CJK SC"/>
        <family val="2"/>
      </rPr>
      <t xml:space="preserve">야간 조명 테마파크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호수 옆 산책 코스와 이어진다</t>
    </r>
    <r>
      <rPr>
        <sz val="10"/>
        <rFont val="Arial"/>
        <family val="0"/>
        <charset val="1"/>
      </rPr>
      <t xml:space="preserve">.</t>
    </r>
  </si>
  <si>
    <t xml:space="preserve">충주 시내 호텔</t>
  </si>
  <si>
    <t xml:space="preserve">Chungju city hotels</t>
  </si>
  <si>
    <r>
      <rPr>
        <sz val="10"/>
        <rFont val="Noto Sans CJK SC"/>
        <family val="2"/>
      </rPr>
      <t xml:space="preserve">충주호 유람선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충주나루</t>
    </r>
    <r>
      <rPr>
        <sz val="10"/>
        <rFont val="Arial"/>
        <family val="0"/>
        <charset val="1"/>
      </rPr>
      <t xml:space="preserve">)</t>
    </r>
  </si>
  <si>
    <t xml:space="preserve">Chungjuho Cruise</t>
  </si>
  <si>
    <r>
      <rPr>
        <sz val="10"/>
        <rFont val="Noto Sans CJK SC"/>
        <family val="2"/>
      </rPr>
      <t xml:space="preserve">충주호를 도는 유람선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월악산 자락을 물 위에서 본다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</si>
  <si>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충주호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수안보 온천 숙소</t>
    </r>
  </si>
  <si>
    <t xml:space="preserve">Chungjuho &amp; Suanbo stays</t>
  </si>
  <si>
    <t xml:space="preserve">충청수영성</t>
  </si>
  <si>
    <t xml:space="preserve">Chungcheong Naval Fortress</t>
  </si>
  <si>
    <r>
      <rPr>
        <sz val="10"/>
        <rFont val="Noto Sans CJK SC"/>
        <family val="2"/>
      </rPr>
      <t xml:space="preserve">서해를 지키던 조선 수군 진영</t>
    </r>
    <r>
      <rPr>
        <sz val="10"/>
        <rFont val="Arial"/>
        <family val="0"/>
        <charset val="1"/>
      </rPr>
      <t xml:space="preserve">.</t>
    </r>
  </si>
  <si>
    <t xml:space="preserve">치명자산성지</t>
  </si>
  <si>
    <t xml:space="preserve">Chimyeongjasan Holy Ground</t>
  </si>
  <si>
    <r>
      <rPr>
        <sz val="10"/>
        <rFont val="Noto Sans CJK SC"/>
        <family val="2"/>
      </rPr>
      <t xml:space="preserve">순교자를 모신 언덕 성지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전주 시내가 보인다</t>
    </r>
    <r>
      <rPr>
        <sz val="10"/>
        <rFont val="Arial"/>
        <family val="0"/>
        <charset val="1"/>
      </rPr>
      <t xml:space="preserve">.</t>
    </r>
  </si>
  <si>
    <t xml:space="preserve">치악산 구룡사</t>
  </si>
  <si>
    <t xml:space="preserve">Guryongsa Temple</t>
  </si>
  <si>
    <r>
      <rPr>
        <sz val="10"/>
        <rFont val="Noto Sans CJK SC"/>
        <family val="2"/>
      </rPr>
      <t xml:space="preserve">치악산 자락의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금강송 숲길이 이어진다</t>
    </r>
    <r>
      <rPr>
        <sz val="10"/>
        <rFont val="Arial"/>
        <family val="0"/>
        <charset val="1"/>
      </rPr>
      <t xml:space="preserve">.</t>
    </r>
  </si>
  <si>
    <t xml:space="preserve">캐리비안베이</t>
  </si>
  <si>
    <t xml:space="preserve">Caribbean Bay</t>
  </si>
  <si>
    <r>
      <rPr>
        <sz val="10"/>
        <rFont val="Noto Sans CJK SC"/>
        <family val="2"/>
      </rPr>
      <t xml:space="preserve">에버랜드에 붙은 대형 워터파크</t>
    </r>
    <r>
      <rPr>
        <sz val="10"/>
        <rFont val="Arial"/>
        <family val="0"/>
        <charset val="1"/>
      </rPr>
      <t xml:space="preserve">.</t>
    </r>
  </si>
  <si>
    <t xml:space="preserve">클레이아크김해미술관</t>
  </si>
  <si>
    <t xml:space="preserve">Clayarch Gimhae Museum</t>
  </si>
  <si>
    <r>
      <rPr>
        <sz val="10"/>
        <rFont val="Noto Sans CJK SC"/>
        <family val="2"/>
      </rPr>
      <t xml:space="preserve">건축 도자를 주제로 한 미술관</t>
    </r>
    <r>
      <rPr>
        <sz val="10"/>
        <rFont val="Arial"/>
        <family val="0"/>
        <charset val="1"/>
      </rPr>
      <t xml:space="preserve">.</t>
    </r>
  </si>
  <si>
    <t xml:space="preserve">킨텍스</t>
  </si>
  <si>
    <t xml:space="preserve">KINTEX</t>
  </si>
  <si>
    <r>
      <rPr>
        <sz val="10"/>
        <rFont val="Noto Sans CJK SC"/>
        <family val="2"/>
      </rPr>
      <t xml:space="preserve">국내 최대 전시컨벤션센터</t>
    </r>
    <r>
      <rPr>
        <sz val="10"/>
        <rFont val="Arial"/>
        <family val="0"/>
        <charset val="1"/>
      </rPr>
      <t xml:space="preserve">.</t>
    </r>
  </si>
  <si>
    <t xml:space="preserve">탄금대</t>
  </si>
  <si>
    <t xml:space="preserve">Tangeumdae</t>
  </si>
  <si>
    <r>
      <rPr>
        <sz val="10"/>
        <rFont val="Noto Sans CJK SC"/>
        <family val="2"/>
      </rPr>
      <t xml:space="preserve">우륵이 가야금을 탔다는 절벽 대</t>
    </r>
    <r>
      <rPr>
        <sz val="10"/>
        <rFont val="Arial"/>
        <family val="0"/>
        <charset val="1"/>
      </rPr>
      <t xml:space="preserve">.</t>
    </r>
  </si>
  <si>
    <t xml:space="preserve">탑정호 권역 숙소</t>
  </si>
  <si>
    <t xml:space="preserve">Tapjeongho area stays</t>
  </si>
  <si>
    <t xml:space="preserve">탑정호 출렁다리</t>
  </si>
  <si>
    <t xml:space="preserve">Tapjeongho Suspension Bridge</t>
  </si>
  <si>
    <r>
      <rPr>
        <sz val="10"/>
        <rFont val="Noto Sans CJK SC"/>
        <family val="2"/>
      </rPr>
      <t xml:space="preserve">호수를 건너는 </t>
    </r>
    <r>
      <rPr>
        <sz val="10"/>
        <rFont val="Arial"/>
        <family val="0"/>
        <charset val="1"/>
      </rPr>
      <t xml:space="preserve">600m </t>
    </r>
    <r>
      <rPr>
        <sz val="10"/>
        <rFont val="Noto Sans CJK SC"/>
        <family val="2"/>
      </rPr>
      <t xml:space="preserve">보행 현수교</t>
    </r>
    <r>
      <rPr>
        <sz val="10"/>
        <rFont val="Arial"/>
        <family val="0"/>
        <charset val="1"/>
      </rPr>
      <t xml:space="preserve">.</t>
    </r>
  </si>
  <si>
    <t xml:space="preserve">태권도원</t>
  </si>
  <si>
    <t xml:space="preserve">Taekwondowon</t>
  </si>
  <si>
    <r>
      <rPr>
        <sz val="10"/>
        <rFont val="Noto Sans CJK SC"/>
        <family val="2"/>
      </rPr>
      <t xml:space="preserve">태권도 수련과 전시를 위한 국제 단지</t>
    </r>
    <r>
      <rPr>
        <sz val="10"/>
        <rFont val="Arial"/>
        <family val="0"/>
        <charset val="1"/>
      </rPr>
      <t xml:space="preserve">.</t>
    </r>
  </si>
  <si>
    <t xml:space="preserve">태백 시내 숙소</t>
  </si>
  <si>
    <t xml:space="preserve">Taebaek town stays</t>
  </si>
  <si>
    <t xml:space="preserve">태백산 국립공원</t>
  </si>
  <si>
    <t xml:space="preserve">Taebaeksan National Park</t>
  </si>
  <si>
    <r>
      <rPr>
        <sz val="10"/>
        <rFont val="Noto Sans CJK SC"/>
        <family val="2"/>
      </rPr>
      <t xml:space="preserve">천제단이 선 민족의 영산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겨울 눈꽃이 유명하다</t>
    </r>
    <r>
      <rPr>
        <sz val="10"/>
        <rFont val="Arial"/>
        <family val="0"/>
        <charset val="1"/>
      </rPr>
      <t xml:space="preserve">.</t>
    </r>
  </si>
  <si>
    <t xml:space="preserve">태백산맥문학관</t>
  </si>
  <si>
    <t xml:space="preserve">Taebaek Sanmaek Literary Hall</t>
  </si>
  <si>
    <r>
      <rPr>
        <sz val="10"/>
        <rFont val="Noto Sans CJK SC"/>
        <family val="2"/>
      </rPr>
      <t xml:space="preserve">소설 『태백산맥』의 무대 벌교에 선 문학관</t>
    </r>
    <r>
      <rPr>
        <sz val="10"/>
        <rFont val="Arial"/>
        <family val="0"/>
        <charset val="1"/>
      </rPr>
      <t xml:space="preserve">.</t>
    </r>
  </si>
  <si>
    <t xml:space="preserve">태화강 국가정원</t>
  </si>
  <si>
    <t xml:space="preserve">Taehwagang National Garden</t>
  </si>
  <si>
    <r>
      <rPr>
        <sz val="10"/>
        <rFont val="Noto Sans CJK SC"/>
        <family val="2"/>
      </rPr>
      <t xml:space="preserve">국가정원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십리대숲이 강을 따라 이어진다</t>
    </r>
    <r>
      <rPr>
        <sz val="10"/>
        <rFont val="Arial"/>
        <family val="0"/>
        <charset val="1"/>
      </rPr>
      <t xml:space="preserve">.</t>
    </r>
  </si>
  <si>
    <t xml:space="preserve">태화강 권역 호텔</t>
  </si>
  <si>
    <t xml:space="preserve">Taehwagang area hotels</t>
  </si>
  <si>
    <t xml:space="preserve">태화루</t>
  </si>
  <si>
    <t xml:space="preserve">Taehwaru Pavilion</t>
  </si>
  <si>
    <r>
      <rPr>
        <sz val="10"/>
        <rFont val="Noto Sans CJK SC"/>
        <family val="2"/>
      </rPr>
      <t xml:space="preserve">태화강을 굽어보는 복원 누각</t>
    </r>
    <r>
      <rPr>
        <sz val="10"/>
        <rFont val="Arial"/>
        <family val="0"/>
        <charset val="1"/>
      </rPr>
      <t xml:space="preserve">.</t>
    </r>
  </si>
  <si>
    <t xml:space="preserve">통도사</t>
  </si>
  <si>
    <t xml:space="preserve">Tongdosa Temple</t>
  </si>
  <si>
    <r>
      <rPr>
        <sz val="10"/>
        <rFont val="Noto Sans CJK SC"/>
        <family val="2"/>
      </rPr>
      <t xml:space="preserve">부처 진신사리를 모신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산사에 든다</t>
    </r>
    <r>
      <rPr>
        <sz val="10"/>
        <rFont val="Arial"/>
        <family val="0"/>
        <charset val="1"/>
      </rPr>
      <t xml:space="preserve">.</t>
    </r>
  </si>
  <si>
    <t xml:space="preserve">통도사 권역 숙소</t>
  </si>
  <si>
    <t xml:space="preserve">Tongdosa area stays</t>
  </si>
  <si>
    <t xml:space="preserve">통도환타지아</t>
  </si>
  <si>
    <t xml:space="preserve">Tongdo Fantasia</t>
  </si>
  <si>
    <r>
      <rPr>
        <sz val="10"/>
        <rFont val="Noto Sans CJK SC"/>
        <family val="2"/>
      </rPr>
      <t xml:space="preserve">통도사 인근의 놀이공원</t>
    </r>
    <r>
      <rPr>
        <sz val="10"/>
        <rFont val="Arial"/>
        <family val="0"/>
        <charset val="1"/>
      </rPr>
      <t xml:space="preserve">.</t>
    </r>
  </si>
  <si>
    <t xml:space="preserve">통리탄탄파크</t>
  </si>
  <si>
    <t xml:space="preserve">Tongni Coal Park</t>
  </si>
  <si>
    <r>
      <rPr>
        <sz val="10"/>
        <rFont val="Noto Sans CJK SC"/>
        <family val="2"/>
      </rPr>
      <t xml:space="preserve">폐광 시설을 고친 탄광 체험 공원</t>
    </r>
    <r>
      <rPr>
        <sz val="10"/>
        <rFont val="Arial"/>
        <family val="0"/>
        <charset val="1"/>
      </rPr>
      <t xml:space="preserve">.</t>
    </r>
  </si>
  <si>
    <t xml:space="preserve">통영해저터널</t>
  </si>
  <si>
    <t xml:space="preserve">Tongyeong Undersea Tunnel</t>
  </si>
  <si>
    <r>
      <rPr>
        <sz val="10"/>
        <rFont val="Arial"/>
        <family val="0"/>
        <charset val="1"/>
      </rPr>
      <t xml:space="preserve">1932</t>
    </r>
    <r>
      <rPr>
        <sz val="10"/>
        <rFont val="Noto Sans CJK SC"/>
        <family val="2"/>
      </rPr>
      <t xml:space="preserve">년에 뚫린 동양 최초의 해저 터널</t>
    </r>
    <r>
      <rPr>
        <sz val="10"/>
        <rFont val="Arial"/>
        <family val="0"/>
        <charset val="1"/>
      </rPr>
      <t xml:space="preserve">.</t>
    </r>
  </si>
  <si>
    <t xml:space="preserve">트윈터널</t>
  </si>
  <si>
    <t xml:space="preserve">Twin Tunnel</t>
  </si>
  <si>
    <r>
      <rPr>
        <sz val="10"/>
        <rFont val="Noto Sans CJK SC"/>
        <family val="2"/>
      </rPr>
      <t xml:space="preserve">폐터널을 빛으로 꾸민 전시 공간</t>
    </r>
    <r>
      <rPr>
        <sz val="10"/>
        <rFont val="Arial"/>
        <family val="0"/>
        <charset val="1"/>
      </rPr>
      <t xml:space="preserve">.</t>
    </r>
  </si>
  <si>
    <t xml:space="preserve">파래소폭포</t>
  </si>
  <si>
    <t xml:space="preserve">Paraeso Falls</t>
  </si>
  <si>
    <r>
      <rPr>
        <sz val="10"/>
        <rFont val="Noto Sans CJK SC"/>
        <family val="2"/>
      </rPr>
      <t xml:space="preserve">배내골 안쪽 숲길 끝의 소와 폭포</t>
    </r>
    <r>
      <rPr>
        <sz val="10"/>
        <rFont val="Arial"/>
        <family val="0"/>
        <charset val="1"/>
      </rPr>
      <t xml:space="preserve">.</t>
    </r>
  </si>
  <si>
    <t xml:space="preserve">파주 프로방스마을</t>
  </si>
  <si>
    <t xml:space="preserve">Provence Village</t>
  </si>
  <si>
    <r>
      <rPr>
        <sz val="10"/>
        <rFont val="Noto Sans CJK SC"/>
        <family val="2"/>
      </rPr>
      <t xml:space="preserve">유럽풍 상점과 조명으로 꾸민 마을</t>
    </r>
    <r>
      <rPr>
        <sz val="10"/>
        <rFont val="Arial"/>
        <family val="0"/>
        <charset val="1"/>
      </rPr>
      <t xml:space="preserve">.</t>
    </r>
  </si>
  <si>
    <t xml:space="preserve">파주 프리미엄아울렛</t>
  </si>
  <si>
    <t xml:space="preserve">Paju Premium Outlets</t>
  </si>
  <si>
    <r>
      <rPr>
        <sz val="10"/>
        <rFont val="Noto Sans CJK SC"/>
        <family val="2"/>
      </rPr>
      <t xml:space="preserve">자유로변의 대형 아울렛</t>
    </r>
    <r>
      <rPr>
        <sz val="10"/>
        <rFont val="Arial"/>
        <family val="0"/>
        <charset val="1"/>
      </rPr>
      <t xml:space="preserve">.</t>
    </r>
  </si>
  <si>
    <t xml:space="preserve">팔공산 갓바위</t>
  </si>
  <si>
    <t xml:space="preserve">Gatbawi Buddha</t>
  </si>
  <si>
    <r>
      <rPr>
        <sz val="10"/>
        <rFont val="Noto Sans CJK SC"/>
        <family val="2"/>
      </rPr>
      <t xml:space="preserve">소원 하나는 들어준다는 산 정상의 석불</t>
    </r>
    <r>
      <rPr>
        <sz val="10"/>
        <rFont val="Arial"/>
        <family val="0"/>
        <charset val="1"/>
      </rPr>
      <t xml:space="preserve">.</t>
    </r>
  </si>
  <si>
    <t xml:space="preserve">팔공산 동화사</t>
  </si>
  <si>
    <t xml:space="preserve">Donghwasa Temple</t>
  </si>
  <si>
    <r>
      <rPr>
        <sz val="10"/>
        <rFont val="Noto Sans CJK SC"/>
        <family val="2"/>
      </rPr>
      <t xml:space="preserve">신라 때 세운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통일약사여래대불이 서 있다</t>
    </r>
    <r>
      <rPr>
        <sz val="10"/>
        <rFont val="Arial"/>
        <family val="0"/>
        <charset val="1"/>
      </rPr>
      <t xml:space="preserve">.</t>
    </r>
  </si>
  <si>
    <t xml:space="preserve">팔달문시장</t>
  </si>
  <si>
    <t xml:space="preserve">Paldalmun Market</t>
  </si>
  <si>
    <r>
      <rPr>
        <sz val="10"/>
        <rFont val="Noto Sans CJK SC"/>
        <family val="2"/>
      </rPr>
      <t xml:space="preserve">팔달문 앞 재래시장 군락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통닭거리가 이어진다</t>
    </r>
    <r>
      <rPr>
        <sz val="10"/>
        <rFont val="Arial"/>
        <family val="0"/>
        <charset val="1"/>
      </rPr>
      <t xml:space="preserve">.</t>
    </r>
  </si>
  <si>
    <t xml:space="preserve">팔당물안개공원</t>
  </si>
  <si>
    <t xml:space="preserve">Paldang Mist Park</t>
  </si>
  <si>
    <r>
      <rPr>
        <sz val="10"/>
        <rFont val="Noto Sans CJK SC"/>
        <family val="2"/>
      </rPr>
      <t xml:space="preserve">팔당호 물안개가 오르는 강변 잔디 공원</t>
    </r>
    <r>
      <rPr>
        <sz val="10"/>
        <rFont val="Arial"/>
        <family val="0"/>
        <charset val="1"/>
      </rPr>
      <t xml:space="preserve">.</t>
    </r>
  </si>
  <si>
    <t xml:space="preserve">펭귄마을</t>
  </si>
  <si>
    <t xml:space="preserve">Penguin Village</t>
  </si>
  <si>
    <r>
      <rPr>
        <sz val="10"/>
        <rFont val="Noto Sans CJK SC"/>
        <family val="2"/>
      </rPr>
      <t xml:space="preserve">고물로 꾸민 골목 예술마을</t>
    </r>
    <r>
      <rPr>
        <sz val="10"/>
        <rFont val="Arial"/>
        <family val="0"/>
        <charset val="1"/>
      </rPr>
      <t xml:space="preserve">.</t>
    </r>
  </si>
  <si>
    <t xml:space="preserve">평강랜드</t>
  </si>
  <si>
    <t xml:space="preserve">Pyeonggang Botanical Garden</t>
  </si>
  <si>
    <r>
      <rPr>
        <sz val="10"/>
        <rFont val="Noto Sans CJK SC"/>
        <family val="2"/>
      </rPr>
      <t xml:space="preserve">고산 습지원과 암석원을 둔 정원</t>
    </r>
    <r>
      <rPr>
        <sz val="10"/>
        <rFont val="Arial"/>
        <family val="0"/>
        <charset val="1"/>
      </rPr>
      <t xml:space="preserve">.</t>
    </r>
  </si>
  <si>
    <t xml:space="preserve">평화광장 춤추는바다분수</t>
  </si>
  <si>
    <t xml:space="preserve">Dancing Sea Fountain</t>
  </si>
  <si>
    <r>
      <rPr>
        <sz val="10"/>
        <rFont val="Noto Sans CJK SC"/>
        <family val="2"/>
      </rPr>
      <t xml:space="preserve">바다 위에서 음악에 맞춰 솟는 분수</t>
    </r>
    <r>
      <rPr>
        <sz val="10"/>
        <rFont val="Arial"/>
        <family val="0"/>
        <charset val="1"/>
      </rPr>
      <t xml:space="preserve">.</t>
    </r>
  </si>
  <si>
    <t xml:space="preserve">평화광장 해변 호텔</t>
  </si>
  <si>
    <t xml:space="preserve">Peace Plaza seafront hotels</t>
  </si>
  <si>
    <t xml:space="preserve">포천 아트밸리</t>
  </si>
  <si>
    <t xml:space="preserve">Pocheon Art Valley</t>
  </si>
  <si>
    <r>
      <rPr>
        <sz val="10"/>
        <rFont val="Noto Sans CJK SC"/>
        <family val="2"/>
      </rPr>
      <t xml:space="preserve">폐채석장을 고친 호수와 조각 공원</t>
    </r>
    <r>
      <rPr>
        <sz val="10"/>
        <rFont val="Arial"/>
        <family val="0"/>
        <charset val="1"/>
      </rPr>
      <t xml:space="preserve">.</t>
    </r>
  </si>
  <si>
    <t xml:space="preserve">포항 스페이스워크</t>
  </si>
  <si>
    <t xml:space="preserve">Pohang Space Walk</t>
  </si>
  <si>
    <r>
      <rPr>
        <sz val="10"/>
        <rFont val="Noto Sans CJK SC"/>
        <family val="2"/>
      </rPr>
      <t xml:space="preserve">환호공원 언덕에 놓인 강철 트랙 조형물</t>
    </r>
    <r>
      <rPr>
        <sz val="10"/>
        <rFont val="Arial"/>
        <family val="0"/>
        <charset val="1"/>
      </rPr>
      <t xml:space="preserve">.</t>
    </r>
  </si>
  <si>
    <t xml:space="preserve">포항역 권역 숙소</t>
  </si>
  <si>
    <t xml:space="preserve">Pohang Station stays</t>
  </si>
  <si>
    <t xml:space="preserve">포항운하</t>
  </si>
  <si>
    <t xml:space="preserve">Pohang Canal</t>
  </si>
  <si>
    <r>
      <rPr>
        <sz val="10"/>
        <rFont val="Noto Sans CJK SC"/>
        <family val="2"/>
      </rPr>
      <t xml:space="preserve">형산강과 동빈내항을 잇는 뱃길</t>
    </r>
    <r>
      <rPr>
        <sz val="10"/>
        <rFont val="Arial"/>
        <family val="0"/>
        <charset val="1"/>
      </rPr>
      <t xml:space="preserve">.</t>
    </r>
  </si>
  <si>
    <t xml:space="preserve">표충사</t>
  </si>
  <si>
    <t xml:space="preserve">Pyochungsa Temple</t>
  </si>
  <si>
    <r>
      <rPr>
        <sz val="10"/>
        <rFont val="Noto Sans CJK SC"/>
        <family val="2"/>
      </rPr>
      <t xml:space="preserve">사명대사를 기리는 재약산 자락의 절</t>
    </r>
    <r>
      <rPr>
        <sz val="10"/>
        <rFont val="Arial"/>
        <family val="0"/>
        <charset val="1"/>
      </rPr>
      <t xml:space="preserve">.</t>
    </r>
  </si>
  <si>
    <t xml:space="preserve">피아노폭포</t>
  </si>
  <si>
    <t xml:space="preserve">Piano Waterfall</t>
  </si>
  <si>
    <r>
      <rPr>
        <sz val="10"/>
        <rFont val="Noto Sans CJK SC"/>
        <family val="2"/>
      </rPr>
      <t xml:space="preserve">댐 방류구를 피아노 모양으로 꾸민 인공폭포</t>
    </r>
    <r>
      <rPr>
        <sz val="10"/>
        <rFont val="Arial"/>
        <family val="0"/>
        <charset val="1"/>
      </rPr>
      <t xml:space="preserve">.</t>
    </r>
  </si>
  <si>
    <t xml:space="preserve">필암서원</t>
  </si>
  <si>
    <t xml:space="preserve">Pilam Seowon</t>
  </si>
  <si>
    <r>
      <rPr>
        <sz val="10"/>
        <rFont val="Noto Sans CJK SC"/>
        <family val="2"/>
      </rPr>
      <t xml:space="preserve">김인후를 모신 서원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</si>
  <si>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하동 녹차밭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도심다원</t>
    </r>
    <r>
      <rPr>
        <sz val="10"/>
        <rFont val="Arial"/>
        <family val="0"/>
        <charset val="1"/>
      </rPr>
      <t xml:space="preserve">)</t>
    </r>
  </si>
  <si>
    <t xml:space="preserve">Hadong Tea Fields</t>
  </si>
  <si>
    <r>
      <rPr>
        <sz val="10"/>
        <rFont val="Noto Sans CJK SC"/>
        <family val="2"/>
      </rPr>
      <t xml:space="preserve">우리나라 차 시배지로 전하는 비탈 차밭</t>
    </r>
    <r>
      <rPr>
        <sz val="10"/>
        <rFont val="Arial"/>
        <family val="0"/>
        <charset val="1"/>
      </rPr>
      <t xml:space="preserve">.</t>
    </r>
  </si>
  <si>
    <t xml:space="preserve">하동 십리벚꽃길</t>
  </si>
  <si>
    <t xml:space="preserve">Hwagae Cherry Blossom Road</t>
  </si>
  <si>
    <r>
      <rPr>
        <sz val="10"/>
        <rFont val="Noto Sans CJK SC"/>
        <family val="2"/>
      </rPr>
      <t xml:space="preserve">화개장터에서 쌍계사까지 이어지는 벚꽃길</t>
    </r>
    <r>
      <rPr>
        <sz val="10"/>
        <rFont val="Arial"/>
        <family val="0"/>
        <charset val="1"/>
      </rPr>
      <t xml:space="preserve">.</t>
    </r>
  </si>
  <si>
    <t xml:space="preserve">하이원 리조트</t>
  </si>
  <si>
    <t xml:space="preserve">High1 Resort</t>
  </si>
  <si>
    <t xml:space="preserve">하조대</t>
  </si>
  <si>
    <t xml:space="preserve">Hajodae</t>
  </si>
  <si>
    <r>
      <rPr>
        <sz val="10"/>
        <rFont val="Noto Sans CJK SC"/>
        <family val="2"/>
      </rPr>
      <t xml:space="preserve">바위 절벽 위 정자와 등대</t>
    </r>
    <r>
      <rPr>
        <sz val="10"/>
        <rFont val="Arial"/>
        <family val="0"/>
        <charset val="1"/>
      </rPr>
      <t xml:space="preserve">.</t>
    </r>
  </si>
  <si>
    <t xml:space="preserve">하화도 꽃섬</t>
  </si>
  <si>
    <t xml:space="preserve">Hwahado Flower Island</t>
  </si>
  <si>
    <r>
      <rPr>
        <sz val="10"/>
        <rFont val="Noto Sans CJK SC"/>
        <family val="2"/>
      </rPr>
      <t xml:space="preserve">야생화 둘레길이 도는 작은 섬</t>
    </r>
    <r>
      <rPr>
        <sz val="10"/>
        <rFont val="Arial"/>
        <family val="0"/>
        <charset val="1"/>
      </rPr>
      <t xml:space="preserve">.</t>
    </r>
  </si>
  <si>
    <t xml:space="preserve">하회마을 고택 스테이</t>
  </si>
  <si>
    <t xml:space="preserve">Hahoe hanok stays</t>
  </si>
  <si>
    <t xml:space="preserve">하회세계탈박물관</t>
  </si>
  <si>
    <t xml:space="preserve">Hahoe Mask Museum</t>
  </si>
  <si>
    <r>
      <rPr>
        <sz val="10"/>
        <rFont val="Noto Sans CJK SC"/>
        <family val="2"/>
      </rPr>
      <t xml:space="preserve">하회탈과 세계 각국 탈을 모은 박물관</t>
    </r>
    <r>
      <rPr>
        <sz val="10"/>
        <rFont val="Arial"/>
        <family val="0"/>
        <charset val="1"/>
      </rPr>
      <t xml:space="preserve">.</t>
    </r>
  </si>
  <si>
    <t xml:space="preserve">학동몽돌해변 펜션</t>
  </si>
  <si>
    <t xml:space="preserve">Hakdong Pebble Beach pensions</t>
  </si>
  <si>
    <t xml:space="preserve">학원농장 청보리밭</t>
  </si>
  <si>
    <t xml:space="preserve">Hakwon Farm Barley Field</t>
  </si>
  <si>
    <r>
      <rPr>
        <sz val="10"/>
        <rFont val="Noto Sans CJK SC"/>
        <family val="2"/>
      </rPr>
      <t xml:space="preserve">봄에는 청보리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가을에는 메밀이 덮는 언덕 농장</t>
    </r>
    <r>
      <rPr>
        <sz val="10"/>
        <rFont val="Arial"/>
        <family val="0"/>
        <charset val="1"/>
      </rPr>
      <t xml:space="preserve">.</t>
    </r>
  </si>
  <si>
    <t xml:space="preserve">한국국학진흥원</t>
  </si>
  <si>
    <t xml:space="preserve">Korean Studies Institute</t>
  </si>
  <si>
    <r>
      <rPr>
        <sz val="10"/>
        <rFont val="Noto Sans CJK SC"/>
        <family val="2"/>
      </rPr>
      <t xml:space="preserve">유교 목판과 고문서를 보관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전시하는 곳</t>
    </r>
    <r>
      <rPr>
        <sz val="10"/>
        <rFont val="Arial"/>
        <family val="0"/>
        <charset val="1"/>
      </rPr>
      <t xml:space="preserve">.</t>
    </r>
  </si>
  <si>
    <t xml:space="preserve">한국민속촌</t>
  </si>
  <si>
    <t xml:space="preserve">Korean Folk Village</t>
  </si>
  <si>
    <r>
      <rPr>
        <sz val="10"/>
        <rFont val="Noto Sans CJK SC"/>
        <family val="2"/>
      </rPr>
      <t xml:space="preserve">조선 마을을 재현한 민속촌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공연이 이어진다</t>
    </r>
    <r>
      <rPr>
        <sz val="10"/>
        <rFont val="Arial"/>
        <family val="0"/>
        <charset val="1"/>
      </rPr>
      <t xml:space="preserve">.</t>
    </r>
  </si>
  <si>
    <t xml:space="preserve">한라산 어리목</t>
  </si>
  <si>
    <t xml:space="preserve">Hallasan Eorimok</t>
  </si>
  <si>
    <r>
      <rPr>
        <sz val="10"/>
        <rFont val="Noto Sans CJK SC"/>
        <family val="2"/>
      </rPr>
      <t xml:space="preserve">한라산 서쪽 들머리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윗세오름까지 왕복 다섯 시간쯤 걸린다</t>
    </r>
    <r>
      <rPr>
        <sz val="10"/>
        <rFont val="Arial"/>
        <family val="0"/>
        <charset val="1"/>
      </rPr>
      <t xml:space="preserve">.</t>
    </r>
  </si>
  <si>
    <t xml:space="preserve">한려수도 조망케이블카</t>
  </si>
  <si>
    <t xml:space="preserve">Hallyeosudo Cable Car</t>
  </si>
  <si>
    <r>
      <rPr>
        <sz val="10"/>
        <rFont val="Noto Sans CJK SC"/>
        <family val="2"/>
      </rPr>
      <t xml:space="preserve">미륵산 정상으로 오르는 케이블카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한려수도가 펼쳐진다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</si>
  <si>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한림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협재 해변 숙소</t>
    </r>
  </si>
  <si>
    <t xml:space="preserve">Hallim &amp; Hyeopjae stays</t>
  </si>
  <si>
    <t xml:space="preserve">한산도 제승당</t>
  </si>
  <si>
    <t xml:space="preserve">Hansando Jeseungdang</t>
  </si>
  <si>
    <r>
      <rPr>
        <sz val="10"/>
        <rFont val="Noto Sans CJK SC"/>
        <family val="2"/>
      </rPr>
      <t xml:space="preserve">이순신이 삼도수군을 지휘하던 진영 터</t>
    </r>
    <r>
      <rPr>
        <sz val="10"/>
        <rFont val="Arial"/>
        <family val="0"/>
        <charset val="1"/>
      </rPr>
      <t xml:space="preserve">.</t>
    </r>
  </si>
  <si>
    <t xml:space="preserve">한옥마을 한옥스테이</t>
  </si>
  <si>
    <t xml:space="preserve">Hanok Village stays</t>
  </si>
  <si>
    <t xml:space="preserve">한탄강 권역 펜션</t>
  </si>
  <si>
    <t xml:space="preserve">Hantan River pensions</t>
  </si>
  <si>
    <t xml:space="preserve">한탄강 물윗길</t>
  </si>
  <si>
    <t xml:space="preserve">Hantan River Water Trail</t>
  </si>
  <si>
    <r>
      <rPr>
        <sz val="10"/>
        <rFont val="Noto Sans CJK SC"/>
        <family val="2"/>
      </rPr>
      <t xml:space="preserve">강 위에 띄운 부교를 걷는 겨울 코스</t>
    </r>
    <r>
      <rPr>
        <sz val="10"/>
        <rFont val="Arial"/>
        <family val="0"/>
        <charset val="1"/>
      </rPr>
      <t xml:space="preserve">.</t>
    </r>
  </si>
  <si>
    <t xml:space="preserve">한탄강 은하수교</t>
  </si>
  <si>
    <t xml:space="preserve">Hantan River Sky Bridge</t>
  </si>
  <si>
    <r>
      <rPr>
        <sz val="10"/>
        <rFont val="Noto Sans CJK SC"/>
        <family val="2"/>
      </rPr>
      <t xml:space="preserve">협곡을 건너는 보행 현수교</t>
    </r>
    <r>
      <rPr>
        <sz val="10"/>
        <rFont val="Arial"/>
        <family val="0"/>
        <charset val="1"/>
      </rPr>
      <t xml:space="preserve">.</t>
    </r>
  </si>
  <si>
    <t xml:space="preserve">한탄강 주상절리길</t>
  </si>
  <si>
    <t xml:space="preserve">Hantangang Columnar Joint Path</t>
  </si>
  <si>
    <r>
      <rPr>
        <sz val="10"/>
        <rFont val="Noto Sans CJK SC"/>
        <family val="2"/>
      </rPr>
      <t xml:space="preserve">협곡 절벽에 매단 잔도를 따라 걷는 길</t>
    </r>
    <r>
      <rPr>
        <sz val="10"/>
        <rFont val="Arial"/>
        <family val="0"/>
        <charset val="1"/>
      </rPr>
      <t xml:space="preserve">.</t>
    </r>
  </si>
  <si>
    <t xml:space="preserve">한탄강 하늘다리</t>
  </si>
  <si>
    <r>
      <rPr>
        <sz val="10"/>
        <rFont val="Noto Sans CJK SC"/>
        <family val="2"/>
      </rPr>
      <t xml:space="preserve">협곡 위를 건너는 </t>
    </r>
    <r>
      <rPr>
        <sz val="10"/>
        <rFont val="Arial"/>
        <family val="0"/>
        <charset val="1"/>
      </rPr>
      <t xml:space="preserve">200m </t>
    </r>
    <r>
      <rPr>
        <sz val="10"/>
        <rFont val="Noto Sans CJK SC"/>
        <family val="2"/>
      </rPr>
      <t xml:space="preserve">현수교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</si>
  <si>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함덕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조천 스테이</t>
    </r>
  </si>
  <si>
    <t xml:space="preserve">Hamdeok &amp; Jocheon stays</t>
  </si>
  <si>
    <t xml:space="preserve">함안박물관</t>
  </si>
  <si>
    <t xml:space="preserve">Haman Museum</t>
  </si>
  <si>
    <r>
      <rPr>
        <sz val="10"/>
        <rFont val="Noto Sans CJK SC"/>
        <family val="2"/>
      </rPr>
      <t xml:space="preserve">말이산 출토품을 모은 박물관</t>
    </r>
    <r>
      <rPr>
        <sz val="10"/>
        <rFont val="Arial"/>
        <family val="0"/>
        <charset val="1"/>
      </rPr>
      <t xml:space="preserve">.</t>
    </r>
  </si>
  <si>
    <t xml:space="preserve">합천 읍내 숙소</t>
  </si>
  <si>
    <t xml:space="preserve">Hapcheon town stays</t>
  </si>
  <si>
    <t xml:space="preserve">합천영상테마파크</t>
  </si>
  <si>
    <t xml:space="preserve">Hapcheon Film Set</t>
  </si>
  <si>
    <r>
      <rPr>
        <sz val="10"/>
        <rFont val="Noto Sans CJK SC"/>
        <family val="2"/>
      </rPr>
      <t xml:space="preserve">근현대 거리를 재현한 촬영 세트장</t>
    </r>
    <r>
      <rPr>
        <sz val="10"/>
        <rFont val="Arial"/>
        <family val="0"/>
        <charset val="1"/>
      </rPr>
      <t xml:space="preserve">.</t>
    </r>
  </si>
  <si>
    <t xml:space="preserve">합천호</t>
  </si>
  <si>
    <t xml:space="preserve">Hapcheon Lake</t>
  </si>
  <si>
    <r>
      <rPr>
        <sz val="10"/>
        <rFont val="Noto Sans CJK SC"/>
        <family val="2"/>
      </rPr>
      <t xml:space="preserve">댐이 만든 호수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호반 드라이브 길이 돈다</t>
    </r>
    <r>
      <rPr>
        <sz val="10"/>
        <rFont val="Arial"/>
        <family val="0"/>
        <charset val="1"/>
      </rPr>
      <t xml:space="preserve">.</t>
    </r>
  </si>
  <si>
    <t xml:space="preserve">해미읍성</t>
  </si>
  <si>
    <t xml:space="preserve">Haemi Fortress</t>
  </si>
  <si>
    <r>
      <rPr>
        <sz val="10"/>
        <rFont val="Noto Sans CJK SC"/>
        <family val="2"/>
      </rPr>
      <t xml:space="preserve">성벽과 관아가 남은 조선 읍성</t>
    </r>
    <r>
      <rPr>
        <sz val="10"/>
        <rFont val="Arial"/>
        <family val="0"/>
        <charset val="1"/>
      </rPr>
      <t xml:space="preserve">.</t>
    </r>
  </si>
  <si>
    <t xml:space="preserve">해미읍성 권역 숙소</t>
  </si>
  <si>
    <t xml:space="preserve">Haemi area stays</t>
  </si>
  <si>
    <t xml:space="preserve">해안산책로</t>
  </si>
  <si>
    <t xml:space="preserve">Coastal Walkway</t>
  </si>
  <si>
    <r>
      <rPr>
        <sz val="10"/>
        <rFont val="Noto Sans CJK SC"/>
        <family val="2"/>
      </rPr>
      <t xml:space="preserve">절벽을 따라 놓인 해안 데크길</t>
    </r>
    <r>
      <rPr>
        <sz val="10"/>
        <rFont val="Arial"/>
        <family val="0"/>
        <charset val="1"/>
      </rPr>
      <t xml:space="preserve">.</t>
    </r>
  </si>
  <si>
    <t xml:space="preserve">해운대 해변 호텔</t>
  </si>
  <si>
    <t xml:space="preserve">Haeundae beachfront hotels</t>
  </si>
  <si>
    <t xml:space="preserve">해인사</t>
  </si>
  <si>
    <t xml:space="preserve">Haeinsa Temple</t>
  </si>
  <si>
    <r>
      <rPr>
        <sz val="10"/>
        <rFont val="Noto Sans CJK SC"/>
        <family val="2"/>
      </rPr>
      <t xml:space="preserve">팔만대장경을 모신 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장경판전이 유네스코 세계유산이다</t>
    </r>
    <r>
      <rPr>
        <sz val="10"/>
        <rFont val="Arial"/>
        <family val="0"/>
        <charset val="1"/>
      </rPr>
      <t xml:space="preserve">.</t>
    </r>
  </si>
  <si>
    <t xml:space="preserve">해인사 권역 숙소</t>
  </si>
  <si>
    <t xml:space="preserve">Haeinsa area stays</t>
  </si>
  <si>
    <t xml:space="preserve">행궁동 게스트하우스</t>
  </si>
  <si>
    <t xml:space="preserve">Haenggung-dong guesthouses</t>
  </si>
  <si>
    <r>
      <rPr>
        <sz val="10"/>
        <rFont val="Noto Sans CJK SC"/>
        <family val="2"/>
      </rPr>
      <t xml:space="preserve">행궁동 한옥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게스트하우스</t>
    </r>
  </si>
  <si>
    <t xml:space="preserve">Haenggung-dong stays</t>
  </si>
  <si>
    <t xml:space="preserve">행남해안산책로</t>
  </si>
  <si>
    <t xml:space="preserve">Haengnam Coastal Path</t>
  </si>
  <si>
    <r>
      <rPr>
        <sz val="10"/>
        <rFont val="Noto Sans CJK SC"/>
        <family val="2"/>
      </rPr>
      <t xml:space="preserve">도동과 저동을 잇는 절벽 데크길</t>
    </r>
    <r>
      <rPr>
        <sz val="10"/>
        <rFont val="Arial"/>
        <family val="0"/>
        <charset val="1"/>
      </rPr>
      <t xml:space="preserve">.</t>
    </r>
  </si>
  <si>
    <t xml:space="preserve">향일암</t>
  </si>
  <si>
    <t xml:space="preserve">Hyangiram Hermitage</t>
  </si>
  <si>
    <r>
      <rPr>
        <sz val="10"/>
        <rFont val="Noto Sans CJK SC"/>
        <family val="2"/>
      </rPr>
      <t xml:space="preserve">금오산 절벽에 앉은 암자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남해 일출로 알려져 있다</t>
    </r>
    <r>
      <rPr>
        <sz val="10"/>
        <rFont val="Arial"/>
        <family val="0"/>
        <charset val="1"/>
      </rPr>
      <t xml:space="preserve">.</t>
    </r>
  </si>
  <si>
    <t xml:space="preserve">허브나라농원</t>
  </si>
  <si>
    <t xml:space="preserve">Herbnara Farm</t>
  </si>
  <si>
    <r>
      <rPr>
        <sz val="10"/>
        <rFont val="Noto Sans CJK SC"/>
        <family val="2"/>
      </rPr>
      <t xml:space="preserve">흥정계곡을 낀 허브 정원</t>
    </r>
    <r>
      <rPr>
        <sz val="10"/>
        <rFont val="Arial"/>
        <family val="0"/>
        <charset val="1"/>
      </rPr>
      <t xml:space="preserve">.</t>
    </r>
  </si>
  <si>
    <t xml:space="preserve">허브아일랜드</t>
  </si>
  <si>
    <t xml:space="preserve">Herb Island</t>
  </si>
  <si>
    <r>
      <rPr>
        <sz val="10"/>
        <rFont val="Noto Sans CJK SC"/>
        <family val="2"/>
      </rPr>
      <t xml:space="preserve">허브 정원과 라벤더 축제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불빛 동화마을</t>
    </r>
    <r>
      <rPr>
        <sz val="10"/>
        <rFont val="Arial"/>
        <family val="0"/>
        <charset val="1"/>
      </rPr>
      <t xml:space="preserve">.</t>
    </r>
  </si>
  <si>
    <t xml:space="preserve">헤이리 권역 숙소</t>
  </si>
  <si>
    <t xml:space="preserve">Heyri area stays</t>
  </si>
  <si>
    <t xml:space="preserve">헤이리 예술마을</t>
  </si>
  <si>
    <t xml:space="preserve">Heyri Art Village</t>
  </si>
  <si>
    <r>
      <rPr>
        <sz val="10"/>
        <rFont val="Noto Sans CJK SC"/>
        <family val="2"/>
      </rPr>
      <t xml:space="preserve">작가들이 지은 갤러리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공방 마을</t>
    </r>
    <r>
      <rPr>
        <sz val="10"/>
        <rFont val="Arial"/>
        <family val="0"/>
        <charset val="1"/>
      </rPr>
      <t xml:space="preserve">.</t>
    </r>
  </si>
  <si>
    <t xml:space="preserve">현충사</t>
  </si>
  <si>
    <t xml:space="preserve">Hyeonchungsa Shrine</t>
  </si>
  <si>
    <r>
      <rPr>
        <sz val="10"/>
        <rFont val="Noto Sans CJK SC"/>
        <family val="2"/>
      </rPr>
      <t xml:space="preserve">이순신을 모신 사당과 고택</t>
    </r>
    <r>
      <rPr>
        <sz val="10"/>
        <rFont val="Arial"/>
        <family val="0"/>
        <charset val="1"/>
      </rPr>
      <t xml:space="preserve">.</t>
    </r>
  </si>
  <si>
    <t xml:space="preserve">현포항 노을</t>
  </si>
  <si>
    <t xml:space="preserve">Hyeonpo Port Sunset</t>
  </si>
  <si>
    <r>
      <rPr>
        <sz val="10"/>
        <rFont val="Noto Sans CJK SC"/>
        <family val="2"/>
      </rPr>
      <t xml:space="preserve">코끼리바위와 함께 해가 지는 북서쪽 항구</t>
    </r>
    <r>
      <rPr>
        <sz val="10"/>
        <rFont val="Arial"/>
        <family val="0"/>
        <charset val="1"/>
      </rPr>
      <t xml:space="preserve">.</t>
    </r>
  </si>
  <si>
    <t xml:space="preserve">호명호수</t>
  </si>
  <si>
    <t xml:space="preserve">Homyeong Lake</t>
  </si>
  <si>
    <r>
      <rPr>
        <sz val="10"/>
        <rFont val="Noto Sans CJK SC"/>
        <family val="2"/>
      </rPr>
      <t xml:space="preserve">산 위에 만든 양수발전 호수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전망대가 있다</t>
    </r>
    <r>
      <rPr>
        <sz val="10"/>
        <rFont val="Arial"/>
        <family val="0"/>
        <charset val="1"/>
      </rPr>
      <t xml:space="preserve">.</t>
    </r>
  </si>
  <si>
    <t xml:space="preserve">호미곶 해맞이광장</t>
  </si>
  <si>
    <t xml:space="preserve">Homigot Sunrise Square</t>
  </si>
  <si>
    <r>
      <rPr>
        <sz val="10"/>
        <rFont val="Noto Sans CJK SC"/>
        <family val="2"/>
      </rPr>
      <t xml:space="preserve">바다에 선 상생의 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한반도 동쪽 끝 일출 자리다</t>
    </r>
    <r>
      <rPr>
        <sz val="10"/>
        <rFont val="Arial"/>
        <family val="0"/>
        <charset val="1"/>
      </rPr>
      <t xml:space="preserve">.</t>
    </r>
  </si>
  <si>
    <t xml:space="preserve">호미반도 해안둘레길</t>
  </si>
  <si>
    <t xml:space="preserve">Homi Peninsula Trail</t>
  </si>
  <si>
    <r>
      <rPr>
        <sz val="10"/>
        <rFont val="Noto Sans CJK SC"/>
        <family val="2"/>
      </rPr>
      <t xml:space="preserve">기암과 데크가 이어지는 해안 도보길</t>
    </r>
    <r>
      <rPr>
        <sz val="10"/>
        <rFont val="Arial"/>
        <family val="0"/>
        <charset val="1"/>
      </rPr>
      <t xml:space="preserve">.</t>
    </r>
  </si>
  <si>
    <t xml:space="preserve">호박소</t>
  </si>
  <si>
    <t xml:space="preserve">Hobakso</t>
  </si>
  <si>
    <r>
      <rPr>
        <sz val="10"/>
        <rFont val="Noto Sans CJK SC"/>
        <family val="2"/>
      </rPr>
      <t xml:space="preserve">화강암이 패어 만든 푸른 소</t>
    </r>
    <r>
      <rPr>
        <sz val="10"/>
        <rFont val="Arial"/>
        <family val="0"/>
        <charset val="1"/>
      </rPr>
      <t xml:space="preserve">.</t>
    </r>
  </si>
  <si>
    <t xml:space="preserve">혼불문학관</t>
  </si>
  <si>
    <t xml:space="preserve">Honbul Literary Hall</t>
  </si>
  <si>
    <r>
      <rPr>
        <sz val="10"/>
        <rFont val="Noto Sans CJK SC"/>
        <family val="2"/>
      </rPr>
      <t xml:space="preserve">최명희의 소설 혼불을 다룬 문학관</t>
    </r>
    <r>
      <rPr>
        <sz val="10"/>
        <rFont val="Arial"/>
        <family val="0"/>
        <charset val="1"/>
      </rPr>
      <t xml:space="preserve">.</t>
    </r>
  </si>
  <si>
    <t xml:space="preserve">홍룡폭포</t>
  </si>
  <si>
    <t xml:space="preserve">Hongnyong Falls</t>
  </si>
  <si>
    <r>
      <rPr>
        <sz val="10"/>
        <rFont val="Noto Sans CJK SC"/>
        <family val="2"/>
      </rPr>
      <t xml:space="preserve">천성산 자락의 삼단 폭포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</si>
  <si>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홍릉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유릉</t>
    </r>
  </si>
  <si>
    <t xml:space="preserve">Hongneung &amp; Yureung</t>
  </si>
  <si>
    <r>
      <rPr>
        <sz val="10"/>
        <rFont val="Noto Sans CJK SC"/>
        <family val="2"/>
      </rPr>
      <t xml:space="preserve">대한제국 황제릉이 나란히 선 능역</t>
    </r>
    <r>
      <rPr>
        <sz val="10"/>
        <rFont val="Arial"/>
        <family val="0"/>
        <charset val="1"/>
      </rPr>
      <t xml:space="preserve">.</t>
    </r>
  </si>
  <si>
    <t xml:space="preserve">홍주읍성</t>
  </si>
  <si>
    <t xml:space="preserve">Hongju Fortress</t>
  </si>
  <si>
    <r>
      <rPr>
        <sz val="10"/>
        <rFont val="Noto Sans CJK SC"/>
        <family val="2"/>
      </rPr>
      <t xml:space="preserve">동헌과 성벽이 남은 조선 읍성</t>
    </r>
    <r>
      <rPr>
        <sz val="10"/>
        <rFont val="Arial"/>
        <family val="0"/>
        <charset val="1"/>
      </rPr>
      <t xml:space="preserve">.</t>
    </r>
  </si>
  <si>
    <t xml:space="preserve">화담숲</t>
  </si>
  <si>
    <t xml:space="preserve">Hwadam Forest</t>
  </si>
  <si>
    <r>
      <rPr>
        <sz val="10"/>
        <rFont val="Noto Sans CJK SC"/>
        <family val="2"/>
      </rPr>
      <t xml:space="preserve">계곡을 따라 조성한 수목원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모노레일이 오른다</t>
    </r>
    <r>
      <rPr>
        <sz val="10"/>
        <rFont val="Arial"/>
        <family val="0"/>
        <charset val="1"/>
      </rPr>
      <t xml:space="preserve">.</t>
    </r>
  </si>
  <si>
    <t xml:space="preserve">화성행궁</t>
  </si>
  <si>
    <t xml:space="preserve">Hwaseong Haenggung</t>
  </si>
  <si>
    <r>
      <rPr>
        <sz val="10"/>
        <rFont val="Noto Sans CJK SC"/>
        <family val="2"/>
      </rPr>
      <t xml:space="preserve">정조가 머물던 행궁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무예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기 시연이 열린다</t>
    </r>
    <r>
      <rPr>
        <sz val="10"/>
        <rFont val="Arial"/>
        <family val="0"/>
        <charset val="1"/>
      </rPr>
      <t xml:space="preserve">.</t>
    </r>
  </si>
  <si>
    <t xml:space="preserve">화순 고인돌 유적</t>
  </si>
  <si>
    <t xml:space="preserve">Hwasun Dolmen Site</t>
  </si>
  <si>
    <r>
      <rPr>
        <sz val="10"/>
        <rFont val="Noto Sans CJK SC"/>
        <family val="2"/>
      </rPr>
      <t xml:space="preserve">계곡을 따라 늘어선 고인돌군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유네스코 세계유산이다</t>
    </r>
    <r>
      <rPr>
        <sz val="10"/>
        <rFont val="Arial"/>
        <family val="0"/>
        <charset val="1"/>
      </rPr>
      <t xml:space="preserve">.</t>
    </r>
  </si>
  <si>
    <t xml:space="preserve">화순 읍내 숙소</t>
  </si>
  <si>
    <t xml:space="preserve">Hwasun town stays</t>
  </si>
  <si>
    <t xml:space="preserve">화순적벽</t>
  </si>
  <si>
    <t xml:space="preserve">Hwasun Jeokbyeok</t>
  </si>
  <si>
    <r>
      <rPr>
        <sz val="10"/>
        <rFont val="Noto Sans CJK SC"/>
        <family val="2"/>
      </rPr>
      <t xml:space="preserve">호수 위로 솟은 붉은 절벽</t>
    </r>
    <r>
      <rPr>
        <sz val="10"/>
        <rFont val="Arial"/>
        <family val="0"/>
        <charset val="1"/>
      </rPr>
      <t xml:space="preserve">.</t>
    </r>
  </si>
  <si>
    <t xml:space="preserve">화암동굴</t>
  </si>
  <si>
    <t xml:space="preserve">Hwaam Cave</t>
  </si>
  <si>
    <r>
      <rPr>
        <sz val="10"/>
        <rFont val="Noto Sans CJK SC"/>
        <family val="2"/>
      </rPr>
      <t xml:space="preserve">금광 갱도를 걸어 들어가는 석회동굴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모노레일로 오른다</t>
    </r>
    <r>
      <rPr>
        <sz val="10"/>
        <rFont val="Arial"/>
        <family val="0"/>
        <charset val="1"/>
      </rPr>
      <t xml:space="preserve">.</t>
    </r>
  </si>
  <si>
    <t xml:space="preserve">화왕산</t>
  </si>
  <si>
    <t xml:space="preserve">Hwawangsan</t>
  </si>
  <si>
    <r>
      <rPr>
        <sz val="10"/>
        <rFont val="Noto Sans CJK SC"/>
        <family val="2"/>
      </rPr>
      <t xml:space="preserve">억새 평원으로 알려진 산성 봉우리</t>
    </r>
    <r>
      <rPr>
        <sz val="10"/>
        <rFont val="Arial"/>
        <family val="0"/>
        <charset val="1"/>
      </rPr>
      <t xml:space="preserve">.</t>
    </r>
  </si>
  <si>
    <t xml:space="preserve">화진포</t>
  </si>
  <si>
    <t xml:space="preserve">Hwajinpo</t>
  </si>
  <si>
    <r>
      <rPr>
        <sz val="10"/>
        <rFont val="Noto Sans CJK SC"/>
        <family val="2"/>
      </rPr>
      <t xml:space="preserve">석호와 해변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김일성 별장이 함께 있다</t>
    </r>
    <r>
      <rPr>
        <sz val="10"/>
        <rFont val="Arial"/>
        <family val="0"/>
        <charset val="1"/>
      </rPr>
      <t xml:space="preserve">.</t>
    </r>
  </si>
  <si>
    <t xml:space="preserve">화진포 권역 숙소</t>
  </si>
  <si>
    <t xml:space="preserve">Hwajinpo area stays</t>
  </si>
  <si>
    <t xml:space="preserve">화포천 습지생태공원</t>
  </si>
  <si>
    <t xml:space="preserve">Hwapocheon Wetland Park</t>
  </si>
  <si>
    <r>
      <rPr>
        <sz val="10"/>
        <rFont val="Noto Sans CJK SC"/>
        <family val="2"/>
      </rPr>
      <t xml:space="preserve">철새가 찾아오는 하천 습지</t>
    </r>
    <r>
      <rPr>
        <sz val="10"/>
        <rFont val="Arial"/>
        <family val="0"/>
        <charset val="1"/>
      </rPr>
      <t xml:space="preserve">.</t>
    </r>
  </si>
  <si>
    <t xml:space="preserve">활옥동굴</t>
  </si>
  <si>
    <t xml:space="preserve">Hwarok Cave</t>
  </si>
  <si>
    <r>
      <rPr>
        <sz val="10"/>
        <rFont val="Noto Sans CJK SC"/>
        <family val="2"/>
      </rPr>
      <t xml:space="preserve">활석 광산을 고친 동굴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지하 호수에서 카약을 탄다</t>
    </r>
    <r>
      <rPr>
        <sz val="10"/>
        <rFont val="Arial"/>
        <family val="0"/>
        <charset val="1"/>
      </rPr>
      <t xml:space="preserve">.</t>
    </r>
  </si>
  <si>
    <t xml:space="preserve">황남빵 본점</t>
  </si>
  <si>
    <t xml:space="preserve">Hwangnam Bread</t>
  </si>
  <si>
    <r>
      <rPr>
        <sz val="10"/>
        <rFont val="Arial"/>
        <family val="0"/>
        <charset val="1"/>
      </rPr>
      <t xml:space="preserve">1939</t>
    </r>
    <r>
      <rPr>
        <sz val="10"/>
        <rFont val="Noto Sans CJK SC"/>
        <family val="2"/>
      </rPr>
      <t xml:space="preserve">년에 연 경주의 팥빵집</t>
    </r>
    <r>
      <rPr>
        <sz val="10"/>
        <rFont val="Arial"/>
        <family val="0"/>
        <charset val="1"/>
      </rPr>
      <t xml:space="preserve">.</t>
    </r>
  </si>
  <si>
    <t xml:space="preserve">황령산 봉수대</t>
  </si>
  <si>
    <t xml:space="preserve">Hwangnyeongsan Beacon</t>
  </si>
  <si>
    <r>
      <rPr>
        <sz val="10"/>
        <rFont val="Noto Sans CJK SC"/>
        <family val="2"/>
      </rPr>
      <t xml:space="preserve">부산 전역과 광안대교가 보이는 야경 전망대</t>
    </r>
    <r>
      <rPr>
        <sz val="10"/>
        <rFont val="Arial"/>
        <family val="0"/>
        <charset val="1"/>
      </rPr>
      <t xml:space="preserve">.</t>
    </r>
  </si>
  <si>
    <t xml:space="preserve">황리단길 한옥스테이</t>
  </si>
  <si>
    <t xml:space="preserve">Hwangnidan-gil hanok stays</t>
  </si>
  <si>
    <t xml:space="preserve">황매산 군립공원</t>
  </si>
  <si>
    <t xml:space="preserve">Hwangmaesan Park</t>
  </si>
  <si>
    <r>
      <rPr>
        <sz val="10"/>
        <rFont val="Noto Sans CJK SC"/>
        <family val="2"/>
      </rPr>
      <t xml:space="preserve">철쭉과 억새로 알려진 고원</t>
    </r>
    <r>
      <rPr>
        <sz val="10"/>
        <rFont val="Arial"/>
        <family val="0"/>
        <charset val="1"/>
      </rPr>
      <t xml:space="preserve">. 5</t>
    </r>
    <r>
      <rPr>
        <sz val="10"/>
        <rFont val="Noto Sans CJK SC"/>
        <family val="2"/>
      </rPr>
      <t xml:space="preserve">월과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월이 절정이다</t>
    </r>
    <r>
      <rPr>
        <sz val="10"/>
        <rFont val="Arial"/>
        <family val="0"/>
        <charset val="1"/>
      </rPr>
      <t xml:space="preserve">.</t>
    </r>
  </si>
  <si>
    <t xml:space="preserve">황산공원</t>
  </si>
  <si>
    <t xml:space="preserve">Hwangsan Park</t>
  </si>
  <si>
    <r>
      <rPr>
        <sz val="10"/>
        <rFont val="Noto Sans CJK SC"/>
        <family val="2"/>
      </rPr>
      <t xml:space="preserve">낙동강변의 넓은 둔치 공원</t>
    </r>
    <r>
      <rPr>
        <sz val="10"/>
        <rFont val="Arial"/>
        <family val="0"/>
        <charset val="1"/>
      </rPr>
      <t xml:space="preserve">.</t>
    </r>
  </si>
  <si>
    <t xml:space="preserve">황산마을 옛담장</t>
  </si>
  <si>
    <t xml:space="preserve">Hwangsan Village Walls</t>
  </si>
  <si>
    <r>
      <rPr>
        <sz val="10"/>
        <rFont val="Noto Sans CJK SC"/>
        <family val="2"/>
      </rPr>
      <t xml:space="preserve">돌담과 기와집이 남은 동계 종택 마을</t>
    </r>
    <r>
      <rPr>
        <sz val="10"/>
        <rFont val="Arial"/>
        <family val="0"/>
        <charset val="1"/>
      </rPr>
      <t xml:space="preserve">.</t>
    </r>
  </si>
  <si>
    <t xml:space="preserve">황산베랑길</t>
  </si>
  <si>
    <t xml:space="preserve">Hwangsan Berang Trail</t>
  </si>
  <si>
    <r>
      <rPr>
        <sz val="10"/>
        <rFont val="Noto Sans CJK SC"/>
        <family val="2"/>
      </rPr>
      <t xml:space="preserve">낙동강 절벽을 따라 난 자전거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도보길</t>
    </r>
    <r>
      <rPr>
        <sz val="10"/>
        <rFont val="Arial"/>
        <family val="0"/>
        <charset val="1"/>
      </rPr>
      <t xml:space="preserve">.</t>
    </r>
  </si>
  <si>
    <t xml:space="preserve">황학산수목원</t>
  </si>
  <si>
    <t xml:space="preserve">Hwanghaksan Arboretum</t>
  </si>
  <si>
    <r>
      <rPr>
        <sz val="10"/>
        <rFont val="Noto Sans CJK SC"/>
        <family val="2"/>
      </rPr>
      <t xml:space="preserve">습지원과 물맞이 정원이 있는 시립 수목원</t>
    </r>
    <r>
      <rPr>
        <sz val="10"/>
        <rFont val="Arial"/>
        <family val="0"/>
        <charset val="1"/>
      </rPr>
      <t xml:space="preserve">.</t>
    </r>
  </si>
  <si>
    <t xml:space="preserve">회암사지</t>
  </si>
  <si>
    <t xml:space="preserve">Hoeamsa Temple Site</t>
  </si>
  <si>
    <r>
      <rPr>
        <sz val="10"/>
        <rFont val="Noto Sans CJK SC"/>
        <family val="2"/>
      </rPr>
      <t xml:space="preserve">고려말 최대 사찰이 있던 거대한 터</t>
    </r>
    <r>
      <rPr>
        <sz val="10"/>
        <rFont val="Arial"/>
        <family val="0"/>
        <charset val="1"/>
      </rPr>
      <t xml:space="preserve">.</t>
    </r>
  </si>
  <si>
    <t xml:space="preserve">휴휴암</t>
  </si>
  <si>
    <t xml:space="preserve">Hyuhyuam Hermitage</t>
  </si>
  <si>
    <r>
      <rPr>
        <sz val="10"/>
        <rFont val="Noto Sans CJK SC"/>
        <family val="2"/>
      </rPr>
      <t xml:space="preserve">바닷가 바위에 앉은 암자</t>
    </r>
    <r>
      <rPr>
        <sz val="10"/>
        <rFont val="Arial"/>
        <family val="0"/>
        <charset val="1"/>
      </rPr>
      <t xml:space="preserve">.</t>
    </r>
  </si>
  <si>
    <t xml:space="preserve">흑산도</t>
  </si>
  <si>
    <t xml:space="preserve">Heuksando</t>
  </si>
  <si>
    <r>
      <rPr>
        <sz val="10"/>
        <rFont val="Noto Sans CJK SC"/>
        <family val="2"/>
      </rPr>
      <t xml:space="preserve">상라산 전망과 홍어로 알려진 먼바다 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</si>
  <si>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흔들바위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울산바위</t>
    </r>
  </si>
  <si>
    <t xml:space="preserve">Heundeulbawi &amp; Ulsanbawi</t>
  </si>
  <si>
    <r>
      <rPr>
        <sz val="10"/>
        <rFont val="Noto Sans CJK SC"/>
        <family val="2"/>
      </rPr>
      <t xml:space="preserve">설악산 바위 능선으로 오르는 대표 등산로</t>
    </r>
    <r>
      <rPr>
        <sz val="10"/>
        <rFont val="Arial"/>
        <family val="0"/>
        <charset val="1"/>
      </rPr>
      <t xml:space="preserve">.</t>
    </r>
  </si>
  <si>
    <t xml:space="preserve">흥국사</t>
  </si>
  <si>
    <t xml:space="preserve">Heungguksa Temple</t>
  </si>
  <si>
    <r>
      <rPr>
        <sz val="10"/>
        <rFont val="Noto Sans CJK SC"/>
        <family val="2"/>
      </rPr>
      <t xml:space="preserve">승병의 근거지로 전하는 영취산 고찰</t>
    </r>
    <r>
      <rPr>
        <sz val="10"/>
        <rFont val="Arial"/>
        <family val="0"/>
        <charset val="1"/>
      </rPr>
      <t xml:space="preserve">.</t>
    </r>
  </si>
  <si>
    <t xml:space="preserve">희방폭포</t>
  </si>
  <si>
    <t xml:space="preserve">Huibang Falls</t>
  </si>
  <si>
    <r>
      <rPr>
        <sz val="10"/>
        <rFont val="Noto Sans CJK SC"/>
        <family val="2"/>
      </rPr>
      <t xml:space="preserve">영남 제일의 폭포로 불리는 </t>
    </r>
    <r>
      <rPr>
        <sz val="10"/>
        <rFont val="Arial"/>
        <family val="0"/>
        <charset val="1"/>
      </rPr>
      <t xml:space="preserve">28m </t>
    </r>
    <r>
      <rPr>
        <sz val="10"/>
        <rFont val="Noto Sans CJK SC"/>
        <family val="2"/>
      </rPr>
      <t xml:space="preserve">물줄기</t>
    </r>
    <r>
      <rPr>
        <sz val="10"/>
        <rFont val="Arial"/>
        <family val="0"/>
        <charset val="1"/>
      </rPr>
      <t xml:space="preserve">.</t>
    </r>
  </si>
  <si>
    <r>
      <rPr>
        <b val="true"/>
        <sz val="12"/>
        <color rgb="FF153B3D"/>
        <rFont val="Noto Sans CJK SC"/>
        <family val="2"/>
      </rPr>
      <t xml:space="preserve">테마별 카테고리 구성비 — 새 방식</t>
    </r>
    <r>
      <rPr>
        <b val="true"/>
        <sz val="12"/>
        <color rgb="FF153B3D"/>
        <rFont val="Arial"/>
        <family val="0"/>
        <charset val="1"/>
      </rPr>
      <t xml:space="preserve">(</t>
    </r>
    <r>
      <rPr>
        <b val="true"/>
        <sz val="12"/>
        <color rgb="FF153B3D"/>
        <rFont val="Noto Sans CJK SC"/>
        <family val="2"/>
      </rPr>
      <t xml:space="preserve">주 </t>
    </r>
    <r>
      <rPr>
        <b val="true"/>
        <sz val="12"/>
        <color rgb="FF153B3D"/>
        <rFont val="Arial"/>
        <family val="0"/>
        <charset val="1"/>
      </rPr>
      <t xml:space="preserve">0.6 + </t>
    </r>
    <r>
      <rPr>
        <b val="true"/>
        <sz val="12"/>
        <color rgb="FF153B3D"/>
        <rFont val="Noto Sans CJK SC"/>
        <family val="2"/>
      </rPr>
      <t xml:space="preserve">보조 </t>
    </r>
    <r>
      <rPr>
        <b val="true"/>
        <sz val="12"/>
        <color rgb="FF153B3D"/>
        <rFont val="Arial"/>
        <family val="0"/>
        <charset val="1"/>
      </rPr>
      <t xml:space="preserve">0.4)</t>
    </r>
    <r>
      <rPr>
        <b val="true"/>
        <sz val="12"/>
        <color rgb="FF153B3D"/>
        <rFont val="Noto Sans CJK SC"/>
        <family val="2"/>
      </rPr>
      <t xml:space="preserve">과 기존 앱 분류 비교</t>
    </r>
  </si>
  <si>
    <t xml:space="preserve">테마</t>
  </si>
  <si>
    <t xml:space="preserve">장소 수</t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</si>
  <si>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역사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문화</t>
    </r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</si>
  <si>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힐링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생태</t>
    </r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</si>
  <si>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테마파크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액티비티</t>
    </r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</si>
  <si>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로컬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먹거리</t>
    </r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</si>
  <si>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해양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자연</t>
    </r>
  </si>
  <si>
    <r>
      <rPr>
        <b val="true"/>
        <sz val="10"/>
        <color rgb="FFFFFFFF"/>
        <rFont val="Noto Sans CJK SC"/>
        <family val="2"/>
      </rPr>
      <t xml:space="preserve">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야경 비중</t>
    </r>
  </si>
  <si>
    <r>
      <rPr>
        <b val="true"/>
        <sz val="10"/>
        <color rgb="FFFFFFFF"/>
        <rFont val="Noto Sans CJK SC"/>
        <family val="2"/>
      </rPr>
      <t xml:space="preserve">기존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역사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문화</t>
    </r>
  </si>
  <si>
    <r>
      <rPr>
        <b val="true"/>
        <sz val="10"/>
        <color rgb="FFFFFFFF"/>
        <rFont val="Noto Sans CJK SC"/>
        <family val="2"/>
      </rPr>
      <t xml:space="preserve">기존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힐링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생태</t>
    </r>
  </si>
  <si>
    <r>
      <rPr>
        <b val="true"/>
        <sz val="10"/>
        <color rgb="FFFFFFFF"/>
        <rFont val="Noto Sans CJK SC"/>
        <family val="2"/>
      </rPr>
      <t xml:space="preserve">기존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테마파크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액티비티</t>
    </r>
  </si>
  <si>
    <r>
      <rPr>
        <b val="true"/>
        <sz val="10"/>
        <color rgb="FFFFFFFF"/>
        <rFont val="Noto Sans CJK SC"/>
        <family val="2"/>
      </rPr>
      <t xml:space="preserve">기존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로컬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먹거리</t>
    </r>
  </si>
  <si>
    <r>
      <rPr>
        <b val="true"/>
        <sz val="10"/>
        <color rgb="FFFFFFFF"/>
        <rFont val="Noto Sans CJK SC"/>
        <family val="2"/>
      </rPr>
      <t xml:space="preserve">기존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해양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자연</t>
    </r>
  </si>
  <si>
    <r>
      <rPr>
        <b val="true"/>
        <sz val="10"/>
        <rFont val="Noto Sans CJK SC"/>
        <family val="2"/>
      </rPr>
      <t xml:space="preserve">제주 </t>
    </r>
    <r>
      <rPr>
        <b val="true"/>
        <sz val="10"/>
        <rFont val="Arial"/>
        <family val="0"/>
        <charset val="1"/>
      </rPr>
      <t xml:space="preserve">K-Drama</t>
    </r>
  </si>
  <si>
    <r>
      <rPr>
        <i val="true"/>
        <sz val="10"/>
        <color rgb="FF6B6B6B"/>
        <rFont val="Noto Sans CJK SC"/>
        <family val="2"/>
      </rPr>
      <t xml:space="preserve">기존 값은 앱 테마 파일</t>
    </r>
    <r>
      <rPr>
        <i val="true"/>
        <sz val="10"/>
        <color rgb="FF6B6B6B"/>
        <rFont val="Arial"/>
        <family val="0"/>
        <charset val="1"/>
      </rPr>
      <t xml:space="preserve">(.dc.html)</t>
    </r>
    <r>
      <rPr>
        <i val="true"/>
        <sz val="10"/>
        <color rgb="FF6B6B6B"/>
        <rFont val="Noto Sans CJK SC"/>
        <family val="2"/>
      </rPr>
      <t xml:space="preserve">의 </t>
    </r>
    <r>
      <rPr>
        <i val="true"/>
        <sz val="10"/>
        <color rgb="FF6B6B6B"/>
        <rFont val="Arial"/>
        <family val="0"/>
        <charset val="1"/>
      </rPr>
      <t xml:space="preserve">cat </t>
    </r>
    <r>
      <rPr>
        <i val="true"/>
        <sz val="10"/>
        <color rgb="FF6B6B6B"/>
        <rFont val="Noto Sans CJK SC"/>
        <family val="2"/>
      </rPr>
      <t xml:space="preserve">코드를 센 값</t>
    </r>
    <r>
      <rPr>
        <i val="true"/>
        <sz val="10"/>
        <color rgb="FF6B6B6B"/>
        <rFont val="Arial"/>
        <family val="0"/>
        <charset val="1"/>
      </rPr>
      <t xml:space="preserve">(</t>
    </r>
    <r>
      <rPr>
        <i val="true"/>
        <sz val="10"/>
        <color rgb="FF6B6B6B"/>
        <rFont val="Noto Sans CJK SC"/>
        <family val="2"/>
      </rPr>
      <t xml:space="preserve">고정값</t>
    </r>
    <r>
      <rPr>
        <i val="true"/>
        <sz val="10"/>
        <color rgb="FF6B6B6B"/>
        <rFont val="Arial"/>
        <family val="0"/>
        <charset val="1"/>
      </rPr>
      <t xml:space="preserve">). </t>
    </r>
    <r>
      <rPr>
        <i val="true"/>
        <sz val="10"/>
        <color rgb="FF6B6B6B"/>
        <rFont val="Noto Sans CJK SC"/>
        <family val="2"/>
      </rPr>
      <t xml:space="preserve">새 값은 「장소 분류」 시트에서 자동 계산</t>
    </r>
    <r>
      <rPr>
        <i val="true"/>
        <sz val="10"/>
        <color rgb="FF6B6B6B"/>
        <rFont val="Arial"/>
        <family val="0"/>
        <charset val="1"/>
      </rPr>
      <t xml:space="preserve">.</t>
    </r>
  </si>
  <si>
    <r>
      <rPr>
        <b val="true"/>
        <sz val="12"/>
        <color rgb="FF153B3D"/>
        <rFont val="Noto Sans CJK SC"/>
        <family val="2"/>
      </rPr>
      <t xml:space="preserve">군집 </t>
    </r>
    <r>
      <rPr>
        <b val="true"/>
        <sz val="12"/>
        <color rgb="FF153B3D"/>
        <rFont val="Arial"/>
        <family val="0"/>
        <charset val="1"/>
      </rPr>
      <t xml:space="preserve">× </t>
    </r>
    <r>
      <rPr>
        <b val="true"/>
        <sz val="12"/>
        <color rgb="FF153B3D"/>
        <rFont val="Noto Sans CJK SC"/>
        <family val="2"/>
      </rPr>
      <t xml:space="preserve">테마 적합 점수 </t>
    </r>
    <r>
      <rPr>
        <b val="true"/>
        <sz val="12"/>
        <color rgb="FF153B3D"/>
        <rFont val="Arial"/>
        <family val="0"/>
        <charset val="1"/>
      </rPr>
      <t xml:space="preserve">= </t>
    </r>
    <r>
      <rPr>
        <b val="true"/>
        <sz val="12"/>
        <color rgb="FF153B3D"/>
        <rFont val="Noto Sans CJK SC"/>
        <family val="2"/>
      </rPr>
      <t xml:space="preserve">테마 구성비 </t>
    </r>
    <r>
      <rPr>
        <b val="true"/>
        <sz val="12"/>
        <color rgb="FF153B3D"/>
        <rFont val="Arial"/>
        <family val="0"/>
        <charset val="1"/>
      </rPr>
      <t xml:space="preserve">× </t>
    </r>
    <r>
      <rPr>
        <b val="true"/>
        <sz val="12"/>
        <color rgb="FF153B3D"/>
        <rFont val="Noto Sans CJK SC"/>
        <family val="2"/>
      </rPr>
      <t xml:space="preserve">군집 카테고리 가중치 </t>
    </r>
    <r>
      <rPr>
        <b val="true"/>
        <sz val="12"/>
        <color rgb="FF153B3D"/>
        <rFont val="Arial"/>
        <family val="0"/>
        <charset val="1"/>
      </rPr>
      <t xml:space="preserve">(SUMPRODUCT)</t>
    </r>
  </si>
  <si>
    <r>
      <rPr>
        <i val="true"/>
        <sz val="10"/>
        <color rgb="FF6B6B6B"/>
        <rFont val="Noto Sans CJK SC"/>
        <family val="2"/>
      </rPr>
      <t xml:space="preserve">노란 칸 가중치는 가설값</t>
    </r>
    <r>
      <rPr>
        <i val="true"/>
        <sz val="10"/>
        <color rgb="FF6B6B6B"/>
        <rFont val="Arial"/>
        <family val="0"/>
        <charset val="1"/>
      </rPr>
      <t xml:space="preserve">(</t>
    </r>
    <r>
      <rPr>
        <i val="true"/>
        <sz val="10"/>
        <color rgb="FF6B6B6B"/>
        <rFont val="Noto Sans CJK SC"/>
        <family val="2"/>
      </rPr>
      <t xml:space="preserve">문항 구성안 </t>
    </r>
    <r>
      <rPr>
        <i val="true"/>
        <sz val="10"/>
        <color rgb="FF6B6B6B"/>
        <rFont val="Arial"/>
        <family val="0"/>
        <charset val="1"/>
      </rPr>
      <t xml:space="preserve">6-2). </t>
    </r>
    <r>
      <rPr>
        <i val="true"/>
        <sz val="10"/>
        <color rgb="FF6B6B6B"/>
        <rFont val="Noto Sans CJK SC"/>
        <family val="2"/>
      </rPr>
      <t xml:space="preserve">군집 산출 시나리오 </t>
    </r>
    <r>
      <rPr>
        <i val="true"/>
        <sz val="10"/>
        <color rgb="FF6B6B6B"/>
        <rFont val="Arial"/>
        <family val="0"/>
        <charset val="1"/>
      </rPr>
      <t xml:space="preserve">3</t>
    </r>
    <r>
      <rPr>
        <i val="true"/>
        <sz val="10"/>
        <color rgb="FF6B6B6B"/>
        <rFont val="Noto Sans CJK SC"/>
        <family val="2"/>
      </rPr>
      <t xml:space="preserve">단계에서 데이터 기반 값으로 교체</t>
    </r>
    <r>
      <rPr>
        <i val="true"/>
        <sz val="10"/>
        <color rgb="FF6B6B6B"/>
        <rFont val="Arial"/>
        <family val="0"/>
        <charset val="1"/>
      </rPr>
      <t xml:space="preserve">.</t>
    </r>
  </si>
  <si>
    <t xml:space="preserve">군집</t>
  </si>
  <si>
    <r>
      <rPr>
        <b val="true"/>
        <sz val="10"/>
        <color rgb="FFFFFFFF"/>
        <rFont val="Noto Sans CJK SC"/>
        <family val="2"/>
      </rPr>
      <t xml:space="preserve">역사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문화</t>
    </r>
  </si>
  <si>
    <r>
      <rPr>
        <b val="true"/>
        <sz val="10"/>
        <color rgb="FFFFFFFF"/>
        <rFont val="Noto Sans CJK SC"/>
        <family val="2"/>
      </rPr>
      <t xml:space="preserve">힐링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생태</t>
    </r>
  </si>
  <si>
    <r>
      <rPr>
        <b val="true"/>
        <sz val="10"/>
        <color rgb="FFFFFFFF"/>
        <rFont val="Noto Sans CJK SC"/>
        <family val="2"/>
      </rPr>
      <t xml:space="preserve">테마파크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액티비티</t>
    </r>
  </si>
  <si>
    <r>
      <rPr>
        <b val="true"/>
        <sz val="10"/>
        <color rgb="FFFFFFFF"/>
        <rFont val="Noto Sans CJK SC"/>
        <family val="2"/>
      </rPr>
      <t xml:space="preserve">로컬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먹거리</t>
    </r>
  </si>
  <si>
    <r>
      <rPr>
        <b val="true"/>
        <sz val="10"/>
        <color rgb="FFFFFFFF"/>
        <rFont val="Noto Sans CJK SC"/>
        <family val="2"/>
      </rPr>
      <t xml:space="preserve">해양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자연</t>
    </r>
  </si>
  <si>
    <r>
      <rPr>
        <b val="true"/>
        <sz val="10"/>
        <rFont val="Arial"/>
        <family val="0"/>
        <charset val="1"/>
      </rPr>
      <t xml:space="preserve">C1 MZ </t>
    </r>
    <r>
      <rPr>
        <b val="true"/>
        <sz val="10"/>
        <rFont val="Noto Sans CJK SC"/>
        <family val="2"/>
      </rPr>
      <t xml:space="preserve">트렌드</t>
    </r>
  </si>
  <si>
    <r>
      <rPr>
        <b val="true"/>
        <sz val="10"/>
        <rFont val="Arial"/>
        <family val="0"/>
        <charset val="1"/>
      </rPr>
      <t xml:space="preserve">C2 </t>
    </r>
    <r>
      <rPr>
        <b val="true"/>
        <sz val="10"/>
        <rFont val="Noto Sans CJK SC"/>
        <family val="2"/>
      </rPr>
      <t xml:space="preserve">커플 감성</t>
    </r>
  </si>
  <si>
    <r>
      <rPr>
        <b val="true"/>
        <sz val="10"/>
        <rFont val="Arial"/>
        <family val="0"/>
        <charset val="1"/>
      </rPr>
      <t xml:space="preserve">C3 </t>
    </r>
    <r>
      <rPr>
        <b val="true"/>
        <sz val="10"/>
        <rFont val="Noto Sans CJK SC"/>
        <family val="2"/>
      </rPr>
      <t xml:space="preserve">키즈 가족</t>
    </r>
  </si>
  <si>
    <r>
      <rPr>
        <b val="true"/>
        <sz val="10"/>
        <rFont val="Arial"/>
        <family val="0"/>
        <charset val="1"/>
      </rPr>
      <t xml:space="preserve">C4 </t>
    </r>
    <r>
      <rPr>
        <b val="true"/>
        <sz val="10"/>
        <rFont val="Noto Sans CJK SC"/>
        <family val="2"/>
      </rPr>
      <t xml:space="preserve">액티브 시니어</t>
    </r>
  </si>
  <si>
    <r>
      <rPr>
        <b val="true"/>
        <sz val="10"/>
        <rFont val="Arial"/>
        <family val="0"/>
        <charset val="1"/>
      </rPr>
      <t xml:space="preserve">C5 </t>
    </r>
    <r>
      <rPr>
        <b val="true"/>
        <sz val="10"/>
        <rFont val="Noto Sans CJK SC"/>
        <family val="2"/>
      </rPr>
      <t xml:space="preserve">나홀로 힐링</t>
    </r>
  </si>
  <si>
    <r>
      <rPr>
        <b val="true"/>
        <sz val="10"/>
        <rFont val="Arial"/>
        <family val="0"/>
        <charset val="1"/>
      </rPr>
      <t xml:space="preserve">C6 </t>
    </r>
    <r>
      <rPr>
        <b val="true"/>
        <sz val="10"/>
        <rFont val="Noto Sans CJK SC"/>
        <family val="2"/>
      </rPr>
      <t xml:space="preserve">미식 로컬</t>
    </r>
  </si>
  <si>
    <r>
      <rPr>
        <b val="true"/>
        <sz val="10"/>
        <rFont val="Arial"/>
        <family val="0"/>
        <charset val="1"/>
      </rPr>
      <t xml:space="preserve">C7 </t>
    </r>
    <r>
      <rPr>
        <b val="true"/>
        <sz val="10"/>
        <rFont val="Noto Sans CJK SC"/>
        <family val="2"/>
      </rPr>
      <t xml:space="preserve">외래객 </t>
    </r>
    <r>
      <rPr>
        <b val="true"/>
        <sz val="10"/>
        <rFont val="Arial"/>
        <family val="0"/>
        <charset val="1"/>
      </rPr>
      <t xml:space="preserve">K-</t>
    </r>
    <r>
      <rPr>
        <b val="true"/>
        <sz val="10"/>
        <rFont val="Noto Sans CJK SC"/>
        <family val="2"/>
      </rPr>
      <t xml:space="preserve">컬처</t>
    </r>
  </si>
  <si>
    <r>
      <rPr>
        <b val="true"/>
        <sz val="10"/>
        <rFont val="Arial"/>
        <family val="0"/>
        <charset val="1"/>
      </rPr>
      <t xml:space="preserve">C8 </t>
    </r>
    <r>
      <rPr>
        <b val="true"/>
        <sz val="10"/>
        <rFont val="Noto Sans CJK SC"/>
        <family val="2"/>
      </rPr>
      <t xml:space="preserve">외래객 웰니스</t>
    </r>
  </si>
  <si>
    <r>
      <rPr>
        <b val="true"/>
        <sz val="10"/>
        <color rgb="FFFFFFFF"/>
        <rFont val="Noto Sans CJK SC"/>
        <family val="2"/>
      </rPr>
      <t xml:space="preserve">제주 </t>
    </r>
    <r>
      <rPr>
        <b val="true"/>
        <sz val="10"/>
        <color rgb="FFFFFFFF"/>
        <rFont val="Arial"/>
        <family val="0"/>
        <charset val="1"/>
      </rPr>
      <t xml:space="preserve">K-Drama</t>
    </r>
  </si>
  <si>
    <r>
      <rPr>
        <b val="true"/>
        <sz val="12"/>
        <color rgb="FF153B3D"/>
        <rFont val="Noto Sans CJK SC"/>
        <family val="2"/>
      </rPr>
      <t xml:space="preserve">가상 새 테마 </t>
    </r>
    <r>
      <rPr>
        <b val="true"/>
        <sz val="12"/>
        <color rgb="FF153B3D"/>
        <rFont val="Arial"/>
        <family val="0"/>
        <charset val="1"/>
      </rPr>
      <t xml:space="preserve">3</t>
    </r>
    <r>
      <rPr>
        <b val="true"/>
        <sz val="12"/>
        <color rgb="FF153B3D"/>
        <rFont val="Noto Sans CJK SC"/>
        <family val="2"/>
      </rPr>
      <t xml:space="preserve">개 — 장소별 주</t>
    </r>
    <r>
      <rPr>
        <b val="true"/>
        <sz val="12"/>
        <color rgb="FF153B3D"/>
        <rFont val="Arial"/>
        <family val="0"/>
        <charset val="1"/>
      </rPr>
      <t xml:space="preserve">·</t>
    </r>
    <r>
      <rPr>
        <b val="true"/>
        <sz val="12"/>
        <color rgb="FF153B3D"/>
        <rFont val="Noto Sans CJK SC"/>
        <family val="2"/>
      </rPr>
      <t xml:space="preserve">보조 카테고리와 야경 태그 </t>
    </r>
    <r>
      <rPr>
        <b val="true"/>
        <sz val="12"/>
        <color rgb="FF153B3D"/>
        <rFont val="Arial"/>
        <family val="0"/>
        <charset val="1"/>
      </rPr>
      <t xml:space="preserve">(</t>
    </r>
    <r>
      <rPr>
        <b val="true"/>
        <sz val="12"/>
        <color rgb="FF153B3D"/>
        <rFont val="Noto Sans CJK SC"/>
        <family val="2"/>
      </rPr>
      <t xml:space="preserve">문항 구성안 </t>
    </r>
    <r>
      <rPr>
        <b val="true"/>
        <sz val="12"/>
        <color rgb="FF153B3D"/>
        <rFont val="Arial"/>
        <family val="0"/>
        <charset val="1"/>
      </rPr>
      <t xml:space="preserve">7</t>
    </r>
    <r>
      <rPr>
        <b val="true"/>
        <sz val="12"/>
        <color rgb="FF153B3D"/>
        <rFont val="Noto Sans CJK SC"/>
        <family val="2"/>
      </rPr>
      <t xml:space="preserve">장</t>
    </r>
    <r>
      <rPr>
        <b val="true"/>
        <sz val="12"/>
        <color rgb="FF153B3D"/>
        <rFont val="Arial"/>
        <family val="0"/>
        <charset val="1"/>
      </rPr>
      <t xml:space="preserve">)</t>
    </r>
  </si>
  <si>
    <t xml:space="preserve">가상 테마</t>
  </si>
  <si>
    <t xml:space="preserve">장소</t>
  </si>
  <si>
    <t xml:space="preserve">주 카테고리</t>
  </si>
  <si>
    <t xml:space="preserve">보조 카테고리</t>
  </si>
  <si>
    <t xml:space="preserve">태그</t>
  </si>
  <si>
    <r>
      <rPr>
        <sz val="10"/>
        <rFont val="Noto Sans CJK SC"/>
        <family val="2"/>
      </rPr>
      <t xml:space="preserve">통영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남해 섬 로맨스</t>
    </r>
  </si>
  <si>
    <t xml:space="preserve">동피랑 벽화마을</t>
  </si>
  <si>
    <t xml:space="preserve">통영 케이블카</t>
  </si>
  <si>
    <t xml:space="preserve">남해 다랭이마을</t>
  </si>
  <si>
    <t xml:space="preserve">통영 중앙시장</t>
  </si>
  <si>
    <t xml:space="preserve">강구안 야경 산책</t>
  </si>
  <si>
    <t xml:space="preserve">남해 보리암</t>
  </si>
  <si>
    <t xml:space="preserve">키즈 애니 어드벤처</t>
  </si>
  <si>
    <t xml:space="preserve">레고랜드</t>
  </si>
  <si>
    <t xml:space="preserve">국립과천과학관</t>
  </si>
  <si>
    <t xml:space="preserve">파주 퍼스트가든</t>
  </si>
  <si>
    <t xml:space="preserve">춘천 애니메이션박물관</t>
  </si>
  <si>
    <t xml:space="preserve">춘천 닭갈비골목</t>
  </si>
  <si>
    <t xml:space="preserve">국립수목원</t>
  </si>
  <si>
    <r>
      <rPr>
        <sz val="10"/>
        <rFont val="Noto Sans CJK SC"/>
        <family val="2"/>
      </rPr>
      <t xml:space="preserve">대구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안동 먹방 예능 로드</t>
    </r>
  </si>
  <si>
    <t xml:space="preserve">안지랑 곱창골목</t>
  </si>
  <si>
    <t xml:space="preserve">김광석 다시그리기길</t>
  </si>
  <si>
    <t xml:space="preserve">안동 찜닭골목</t>
  </si>
  <si>
    <t xml:space="preserve">안동구시장</t>
  </si>
  <si>
    <t xml:space="preserve">하회마을</t>
  </si>
  <si>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타워</t>
    </r>
  </si>
  <si>
    <t xml:space="preserve">헛제사밥 까치구멍집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</si>
</sst>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3B3D"/>
      <name val="Arial"/>
      <family val="0"/>
      <charset val="1"/>
    </font>
    <font>
      <b val="true"/>
      <sz val="14"/>
      <color rgb="FF153B3D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B8431C"/>
      <name val="Noto Sans CJK SC"/>
      <family val="2"/>
    </font>
    <font>
      <b val="true"/>
      <sz val="10"/>
      <color rgb="FFB8431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6B6B6B"/>
      <name val="Arial"/>
      <family val="0"/>
      <charset val="1"/>
    </font>
    <font>
      <b val="true"/>
      <sz val="12"/>
      <color rgb="FF153B3D"/>
      <name val="Noto Sans CJK SC"/>
      <family val="2"/>
    </font>
    <font>
      <b val="true"/>
      <sz val="12"/>
      <color rgb="FF153B3D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color rgb="FF6B6B6B"/>
      <name val="Noto Sans CJK SC"/>
      <family val="2"/>
    </font>
    <font>
      <i val="true"/>
      <sz val="10"/>
      <color rgb="FF6B6B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3B3D"/>
        <bgColor rgb="FF003366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8AA"/>
      </left>
      <right style="thin">
        <color rgb="FFBFB8AA"/>
      </right>
      <top style="thin">
        <color rgb="FFBFB8AA"/>
      </top>
      <bottom style="thin">
        <color rgb="FFBFB8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53B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6B6B6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A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B8431C"/>
      <rgbColor rgb="FF993366"/>
      <rgbColor rgb="FF333399"/>
      <rgbColor rgb="FF153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2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9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9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4" t="n">
        <f aca="false">COUNTA('장소 분류'!D2:D2000)</f>
        <v>1269</v>
      </c>
    </row>
    <row r="14" customFormat="false" ht="15" hidden="false" customHeight="false" outlineLevel="0" collapsed="false">
      <c r="A14" s="4" t="s">
        <v>11</v>
      </c>
      <c r="B14" s="4" t="n">
        <f aca="false">COUNTIF('장소 분류'!L2:L2000,"Y")</f>
        <v>40</v>
      </c>
    </row>
    <row r="15" customFormat="false" ht="15" hidden="false" customHeight="false" outlineLevel="0" collapsed="false">
      <c r="A15" s="4" t="s">
        <v>12</v>
      </c>
      <c r="B15" s="4" t="n">
        <f aca="false">COUNTIF('장소 분류'!M2:M2000,"Y")</f>
        <v>88</v>
      </c>
    </row>
    <row r="16" customFormat="false" ht="15" hidden="false" customHeight="false" outlineLevel="0" collapsed="false">
      <c r="A16" s="4" t="s">
        <v>13</v>
      </c>
      <c r="B16" s="4" t="n">
        <f aca="false">COUNTIF('장소 분류'!I2:I2000,"?*")</f>
        <v>425</v>
      </c>
    </row>
    <row r="17" customFormat="false" ht="15" hidden="false" customHeight="false" outlineLevel="0" collapsed="false">
      <c r="A17" s="4" t="s">
        <v>14</v>
      </c>
      <c r="B17" s="4" t="n">
        <f aca="false">COUNTIF('장소 분류'!H2:H2000,"역사·문화")</f>
        <v>315</v>
      </c>
    </row>
    <row r="18" customFormat="false" ht="15" hidden="false" customHeight="false" outlineLevel="0" collapsed="false">
      <c r="A18" s="4" t="s">
        <v>15</v>
      </c>
      <c r="B18" s="4" t="n">
        <f aca="false">COUNTIF('장소 분류'!H2:H2000,"힐링·생태")</f>
        <v>324</v>
      </c>
    </row>
    <row r="19" customFormat="false" ht="15" hidden="false" customHeight="false" outlineLevel="0" collapsed="false">
      <c r="A19" s="4" t="s">
        <v>16</v>
      </c>
      <c r="B19" s="4" t="n">
        <f aca="false">COUNTIF('장소 분류'!H2:H2000,"테마파크·액티비티")</f>
        <v>210</v>
      </c>
    </row>
    <row r="20" customFormat="false" ht="15" hidden="false" customHeight="false" outlineLevel="0" collapsed="false">
      <c r="A20" s="4" t="s">
        <v>17</v>
      </c>
      <c r="B20" s="4" t="n">
        <f aca="false">COUNTIF('장소 분류'!H2:H2000,"로컬·먹거리")</f>
        <v>119</v>
      </c>
    </row>
    <row r="21" customFormat="false" ht="15" hidden="false" customHeight="false" outlineLevel="0" collapsed="false">
      <c r="A21" s="4" t="s">
        <v>18</v>
      </c>
      <c r="B21" s="4" t="n">
        <f aca="false">COUNTIF('장소 분류'!H2:H2000,"해양·자연")</f>
        <v>147</v>
      </c>
    </row>
    <row r="22" customFormat="false" ht="15" hidden="false" customHeight="false" outlineLevel="0" collapsed="false">
      <c r="A22" s="4" t="s">
        <v>19</v>
      </c>
      <c r="B22" s="4" t="n">
        <f aca="false">COUNTIF('장소 분류'!H2:H2000,"숙박")</f>
        <v>154</v>
      </c>
    </row>
    <row r="23" customFormat="false" ht="15" hidden="false" customHeight="false" outlineLevel="0" collapsed="false">
      <c r="A23" s="4" t="s">
        <v>20</v>
      </c>
      <c r="B23" s="4" t="n">
        <f aca="false">COUNTIF('장소 분류'!J2:J2000,"*야경*")</f>
        <v>55</v>
      </c>
    </row>
    <row r="24" customFormat="false" ht="15" hidden="false" customHeight="false" outlineLevel="0" collapsed="false">
      <c r="A24" s="4" t="s">
        <v>21</v>
      </c>
      <c r="B24" s="4" t="n">
        <f aca="false">COUNTIF('장소 분류'!J2:J2000,"*바다*")</f>
        <v>255</v>
      </c>
    </row>
    <row r="25" customFormat="false" ht="15" hidden="false" customHeight="false" outlineLevel="0" collapsed="false">
      <c r="A25" s="4" t="s">
        <v>22</v>
      </c>
      <c r="B25" s="4" t="n">
        <f aca="false">COUNTIF('장소 분류'!J2:J2000,"*실내*")</f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5" min="4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3" min="13" style="0" width="8"/>
    <col collapsed="false" customWidth="true" hidden="false" outlineLevel="0" max="14" min="14" style="0" width="30"/>
    <col collapsed="false" customWidth="true" hidden="false" outlineLevel="0" max="15" min="15" style="0" width="40"/>
    <col collapsed="false" customWidth="true" hidden="false" outlineLevel="0" max="20" min="16" style="0" width="9"/>
    <col collapsed="false" customWidth="true" hidden="false" outlineLevel="0" max="21" min="21" style="0" width="6"/>
    <col collapsed="false" customWidth="true" hidden="false" outlineLevel="0" max="22" min="22" style="0" width="8"/>
  </cols>
  <sheetData>
    <row r="1" customFormat="false" ht="69.4" hidden="false" customHeight="false" outlineLevel="0" collapsed="false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6" t="s">
        <v>43</v>
      </c>
      <c r="V1" s="6" t="s">
        <v>44</v>
      </c>
    </row>
    <row r="2" customFormat="false" ht="15" hidden="false" customHeight="false" outlineLevel="0" collapsed="false">
      <c r="A2" s="7" t="n">
        <v>1</v>
      </c>
      <c r="B2" s="8" t="s">
        <v>45</v>
      </c>
      <c r="C2" s="8"/>
      <c r="D2" s="8" t="s">
        <v>46</v>
      </c>
      <c r="E2" s="7" t="s">
        <v>47</v>
      </c>
      <c r="F2" s="8" t="s">
        <v>48</v>
      </c>
      <c r="G2" s="8" t="s">
        <v>49</v>
      </c>
      <c r="H2" s="9" t="s">
        <v>50</v>
      </c>
      <c r="I2" s="9" t="s">
        <v>49</v>
      </c>
      <c r="J2" s="9" t="s">
        <v>51</v>
      </c>
      <c r="K2" s="9" t="s">
        <v>52</v>
      </c>
      <c r="L2" s="7" t="s">
        <v>53</v>
      </c>
      <c r="M2" s="8"/>
      <c r="N2" s="8" t="s">
        <v>54</v>
      </c>
      <c r="O2" s="8" t="s">
        <v>55</v>
      </c>
      <c r="P2" s="10" t="n">
        <f aca="false">IF($H2="숙박",0,IF($H2=MID(P$1,3,20),IF($I2="",1,0.6),IF($I2=MID(P$1,3,20),0.4,0)))</f>
        <v>0</v>
      </c>
      <c r="Q2" s="10" t="n">
        <f aca="false">IF($H2="숙박",0,IF($H2=MID(Q$1,3,20),IF($I2="",1,0.6),IF($I2=MID(Q$1,3,20),0.4,0)))</f>
        <v>0.4</v>
      </c>
      <c r="R2" s="10" t="n">
        <f aca="false">IF($H2="숙박",0,IF($H2=MID(R$1,3,20),IF($I2="",1,0.6),IF($I2=MID(R$1,3,20),0.4,0)))</f>
        <v>0</v>
      </c>
      <c r="S2" s="10" t="n">
        <f aca="false">IF($H2="숙박",0,IF($H2=MID(S$1,3,20),IF($I2="",1,0.6),IF($I2=MID(S$1,3,20),0.4,0)))</f>
        <v>0</v>
      </c>
      <c r="T2" s="10" t="n">
        <f aca="false">IF($H2="숙박",0,IF($H2=MID(T$1,3,20),IF($I2="",1,0.6),IF($I2=MID(T$1,3,20),0.4,0)))</f>
        <v>0.6</v>
      </c>
      <c r="U2" s="10" t="n">
        <f aca="false">IF($H2="숙박",0,IF(ISNUMBER(SEARCH("야경",$J2)),1,0))</f>
        <v>0</v>
      </c>
      <c r="V2" s="10" t="n">
        <f aca="false">IF($H2="숙박",0,1)</f>
        <v>1</v>
      </c>
    </row>
    <row r="3" customFormat="false" ht="15" hidden="false" customHeight="false" outlineLevel="0" collapsed="false">
      <c r="A3" s="8" t="n">
        <v>2</v>
      </c>
      <c r="B3" s="8" t="s">
        <v>56</v>
      </c>
      <c r="C3" s="8"/>
      <c r="D3" s="8" t="s">
        <v>57</v>
      </c>
      <c r="E3" s="7" t="s">
        <v>58</v>
      </c>
      <c r="F3" s="8" t="s">
        <v>59</v>
      </c>
      <c r="G3" s="8" t="s">
        <v>49</v>
      </c>
      <c r="H3" s="9" t="s">
        <v>50</v>
      </c>
      <c r="I3" s="9" t="s">
        <v>49</v>
      </c>
      <c r="J3" s="9" t="s">
        <v>60</v>
      </c>
      <c r="K3" s="9" t="s">
        <v>52</v>
      </c>
      <c r="L3" s="7" t="s">
        <v>53</v>
      </c>
      <c r="M3" s="8"/>
      <c r="N3" s="8" t="s">
        <v>54</v>
      </c>
      <c r="O3" s="7" t="s">
        <v>61</v>
      </c>
      <c r="P3" s="10" t="n">
        <f aca="false">IF($H3="숙박",0,IF($H3=MID(P$1,3,20),IF($I3="",1,0.6),IF($I3=MID(P$1,3,20),0.4,0)))</f>
        <v>0</v>
      </c>
      <c r="Q3" s="10" t="n">
        <f aca="false">IF($H3="숙박",0,IF($H3=MID(Q$1,3,20),IF($I3="",1,0.6),IF($I3=MID(Q$1,3,20),0.4,0)))</f>
        <v>0.4</v>
      </c>
      <c r="R3" s="10" t="n">
        <f aca="false">IF($H3="숙박",0,IF($H3=MID(R$1,3,20),IF($I3="",1,0.6),IF($I3=MID(R$1,3,20),0.4,0)))</f>
        <v>0</v>
      </c>
      <c r="S3" s="10" t="n">
        <f aca="false">IF($H3="숙박",0,IF($H3=MID(S$1,3,20),IF($I3="",1,0.6),IF($I3=MID(S$1,3,20),0.4,0)))</f>
        <v>0</v>
      </c>
      <c r="T3" s="10" t="n">
        <f aca="false">IF($H3="숙박",0,IF($H3=MID(T$1,3,20),IF($I3="",1,0.6),IF($I3=MID(T$1,3,20),0.4,0)))</f>
        <v>0.6</v>
      </c>
      <c r="U3" s="10" t="n">
        <f aca="false">IF($H3="숙박",0,IF(ISNUMBER(SEARCH("야경",$J3)),1,0))</f>
        <v>1</v>
      </c>
      <c r="V3" s="10" t="n">
        <f aca="false">IF($H3="숙박",0,1)</f>
        <v>1</v>
      </c>
    </row>
    <row r="4" customFormat="false" ht="15" hidden="false" customHeight="false" outlineLevel="0" collapsed="false">
      <c r="A4" s="8" t="n">
        <v>3</v>
      </c>
      <c r="B4" s="8" t="s">
        <v>62</v>
      </c>
      <c r="C4" s="8"/>
      <c r="D4" s="8" t="s">
        <v>63</v>
      </c>
      <c r="E4" s="7" t="s">
        <v>64</v>
      </c>
      <c r="F4" s="8" t="s">
        <v>48</v>
      </c>
      <c r="G4" s="8" t="s">
        <v>49</v>
      </c>
      <c r="H4" s="9" t="s">
        <v>50</v>
      </c>
      <c r="I4" s="9" t="s">
        <v>49</v>
      </c>
      <c r="J4" s="9" t="s">
        <v>51</v>
      </c>
      <c r="K4" s="9" t="s">
        <v>52</v>
      </c>
      <c r="L4" s="7" t="s">
        <v>53</v>
      </c>
      <c r="M4" s="8"/>
      <c r="N4" s="8" t="s">
        <v>54</v>
      </c>
      <c r="O4" s="8" t="s">
        <v>65</v>
      </c>
      <c r="P4" s="10" t="n">
        <f aca="false">IF($H4="숙박",0,IF($H4=MID(P$1,3,20),IF($I4="",1,0.6),IF($I4=MID(P$1,3,20),0.4,0)))</f>
        <v>0</v>
      </c>
      <c r="Q4" s="10" t="n">
        <f aca="false">IF($H4="숙박",0,IF($H4=MID(Q$1,3,20),IF($I4="",1,0.6),IF($I4=MID(Q$1,3,20),0.4,0)))</f>
        <v>0.4</v>
      </c>
      <c r="R4" s="10" t="n">
        <f aca="false">IF($H4="숙박",0,IF($H4=MID(R$1,3,20),IF($I4="",1,0.6),IF($I4=MID(R$1,3,20),0.4,0)))</f>
        <v>0</v>
      </c>
      <c r="S4" s="10" t="n">
        <f aca="false">IF($H4="숙박",0,IF($H4=MID(S$1,3,20),IF($I4="",1,0.6),IF($I4=MID(S$1,3,20),0.4,0)))</f>
        <v>0</v>
      </c>
      <c r="T4" s="10" t="n">
        <f aca="false">IF($H4="숙박",0,IF($H4=MID(T$1,3,20),IF($I4="",1,0.6),IF($I4=MID(T$1,3,20),0.4,0)))</f>
        <v>0.6</v>
      </c>
      <c r="U4" s="10" t="n">
        <f aca="false">IF($H4="숙박",0,IF(ISNUMBER(SEARCH("야경",$J4)),1,0))</f>
        <v>0</v>
      </c>
      <c r="V4" s="10" t="n">
        <f aca="false">IF($H4="숙박",0,1)</f>
        <v>1</v>
      </c>
    </row>
    <row r="5" customFormat="false" ht="15" hidden="false" customHeight="false" outlineLevel="0" collapsed="false">
      <c r="A5" s="8" t="n">
        <v>4</v>
      </c>
      <c r="B5" s="8" t="s">
        <v>62</v>
      </c>
      <c r="C5" s="8"/>
      <c r="D5" s="8" t="s">
        <v>66</v>
      </c>
      <c r="E5" s="7" t="s">
        <v>67</v>
      </c>
      <c r="F5" s="8" t="s">
        <v>48</v>
      </c>
      <c r="G5" s="8" t="s">
        <v>49</v>
      </c>
      <c r="H5" s="9" t="s">
        <v>50</v>
      </c>
      <c r="I5" s="9" t="s">
        <v>49</v>
      </c>
      <c r="J5" s="9" t="s">
        <v>51</v>
      </c>
      <c r="K5" s="9" t="s">
        <v>52</v>
      </c>
      <c r="L5" s="7" t="s">
        <v>53</v>
      </c>
      <c r="M5" s="8"/>
      <c r="N5" s="8" t="s">
        <v>54</v>
      </c>
      <c r="O5" s="8" t="s">
        <v>68</v>
      </c>
      <c r="P5" s="10" t="n">
        <f aca="false">IF($H5="숙박",0,IF($H5=MID(P$1,3,20),IF($I5="",1,0.6),IF($I5=MID(P$1,3,20),0.4,0)))</f>
        <v>0</v>
      </c>
      <c r="Q5" s="10" t="n">
        <f aca="false">IF($H5="숙박",0,IF($H5=MID(Q$1,3,20),IF($I5="",1,0.6),IF($I5=MID(Q$1,3,20),0.4,0)))</f>
        <v>0.4</v>
      </c>
      <c r="R5" s="10" t="n">
        <f aca="false">IF($H5="숙박",0,IF($H5=MID(R$1,3,20),IF($I5="",1,0.6),IF($I5=MID(R$1,3,20),0.4,0)))</f>
        <v>0</v>
      </c>
      <c r="S5" s="10" t="n">
        <f aca="false">IF($H5="숙박",0,IF($H5=MID(S$1,3,20),IF($I5="",1,0.6),IF($I5=MID(S$1,3,20),0.4,0)))</f>
        <v>0</v>
      </c>
      <c r="T5" s="10" t="n">
        <f aca="false">IF($H5="숙박",0,IF($H5=MID(T$1,3,20),IF($I5="",1,0.6),IF($I5=MID(T$1,3,20),0.4,0)))</f>
        <v>0.6</v>
      </c>
      <c r="U5" s="10" t="n">
        <f aca="false">IF($H5="숙박",0,IF(ISNUMBER(SEARCH("야경",$J5)),1,0))</f>
        <v>0</v>
      </c>
      <c r="V5" s="10" t="n">
        <f aca="false">IF($H5="숙박",0,1)</f>
        <v>1</v>
      </c>
    </row>
    <row r="6" customFormat="false" ht="15" hidden="false" customHeight="false" outlineLevel="0" collapsed="false">
      <c r="A6" s="8" t="n">
        <v>5</v>
      </c>
      <c r="B6" s="8" t="s">
        <v>45</v>
      </c>
      <c r="C6" s="8"/>
      <c r="D6" s="8" t="s">
        <v>69</v>
      </c>
      <c r="E6" s="7" t="s">
        <v>70</v>
      </c>
      <c r="F6" s="8" t="s">
        <v>59</v>
      </c>
      <c r="G6" s="8" t="s">
        <v>49</v>
      </c>
      <c r="H6" s="9" t="s">
        <v>50</v>
      </c>
      <c r="I6" s="9" t="s">
        <v>49</v>
      </c>
      <c r="J6" s="9" t="s">
        <v>51</v>
      </c>
      <c r="K6" s="9" t="s">
        <v>52</v>
      </c>
      <c r="L6" s="7" t="s">
        <v>53</v>
      </c>
      <c r="M6" s="8"/>
      <c r="N6" s="8" t="s">
        <v>54</v>
      </c>
      <c r="O6" s="8" t="s">
        <v>71</v>
      </c>
      <c r="P6" s="10" t="n">
        <f aca="false">IF($H6="숙박",0,IF($H6=MID(P$1,3,20),IF($I6="",1,0.6),IF($I6=MID(P$1,3,20),0.4,0)))</f>
        <v>0</v>
      </c>
      <c r="Q6" s="10" t="n">
        <f aca="false">IF($H6="숙박",0,IF($H6=MID(Q$1,3,20),IF($I6="",1,0.6),IF($I6=MID(Q$1,3,20),0.4,0)))</f>
        <v>0.4</v>
      </c>
      <c r="R6" s="10" t="n">
        <f aca="false">IF($H6="숙박",0,IF($H6=MID(R$1,3,20),IF($I6="",1,0.6),IF($I6=MID(R$1,3,20),0.4,0)))</f>
        <v>0</v>
      </c>
      <c r="S6" s="10" t="n">
        <f aca="false">IF($H6="숙박",0,IF($H6=MID(S$1,3,20),IF($I6="",1,0.6),IF($I6=MID(S$1,3,20),0.4,0)))</f>
        <v>0</v>
      </c>
      <c r="T6" s="10" t="n">
        <f aca="false">IF($H6="숙박",0,IF($H6=MID(T$1,3,20),IF($I6="",1,0.6),IF($I6=MID(T$1,3,20),0.4,0)))</f>
        <v>0.6</v>
      </c>
      <c r="U6" s="10" t="n">
        <f aca="false">IF($H6="숙박",0,IF(ISNUMBER(SEARCH("야경",$J6)),1,0))</f>
        <v>0</v>
      </c>
      <c r="V6" s="10" t="n">
        <f aca="false">IF($H6="숙박",0,1)</f>
        <v>1</v>
      </c>
    </row>
    <row r="7" customFormat="false" ht="15" hidden="false" customHeight="false" outlineLevel="0" collapsed="false">
      <c r="A7" s="8" t="n">
        <v>6</v>
      </c>
      <c r="B7" s="8" t="s">
        <v>45</v>
      </c>
      <c r="C7" s="8"/>
      <c r="D7" s="8" t="s">
        <v>72</v>
      </c>
      <c r="E7" s="7" t="s">
        <v>73</v>
      </c>
      <c r="F7" s="8" t="s">
        <v>48</v>
      </c>
      <c r="G7" s="8" t="s">
        <v>49</v>
      </c>
      <c r="H7" s="9" t="s">
        <v>50</v>
      </c>
      <c r="I7" s="9" t="s">
        <v>49</v>
      </c>
      <c r="J7" s="9" t="s">
        <v>51</v>
      </c>
      <c r="K7" s="9" t="s">
        <v>52</v>
      </c>
      <c r="L7" s="7" t="s">
        <v>53</v>
      </c>
      <c r="M7" s="8"/>
      <c r="N7" s="8" t="s">
        <v>54</v>
      </c>
      <c r="O7" s="8" t="s">
        <v>74</v>
      </c>
      <c r="P7" s="10" t="n">
        <f aca="false">IF($H7="숙박",0,IF($H7=MID(P$1,3,20),IF($I7="",1,0.6),IF($I7=MID(P$1,3,20),0.4,0)))</f>
        <v>0</v>
      </c>
      <c r="Q7" s="10" t="n">
        <f aca="false">IF($H7="숙박",0,IF($H7=MID(Q$1,3,20),IF($I7="",1,0.6),IF($I7=MID(Q$1,3,20),0.4,0)))</f>
        <v>0.4</v>
      </c>
      <c r="R7" s="10" t="n">
        <f aca="false">IF($H7="숙박",0,IF($H7=MID(R$1,3,20),IF($I7="",1,0.6),IF($I7=MID(R$1,3,20),0.4,0)))</f>
        <v>0</v>
      </c>
      <c r="S7" s="10" t="n">
        <f aca="false">IF($H7="숙박",0,IF($H7=MID(S$1,3,20),IF($I7="",1,0.6),IF($I7=MID(S$1,3,20),0.4,0)))</f>
        <v>0</v>
      </c>
      <c r="T7" s="10" t="n">
        <f aca="false">IF($H7="숙박",0,IF($H7=MID(T$1,3,20),IF($I7="",1,0.6),IF($I7=MID(T$1,3,20),0.4,0)))</f>
        <v>0.6</v>
      </c>
      <c r="U7" s="10" t="n">
        <f aca="false">IF($H7="숙박",0,IF(ISNUMBER(SEARCH("야경",$J7)),1,0))</f>
        <v>0</v>
      </c>
      <c r="V7" s="10" t="n">
        <f aca="false">IF($H7="숙박",0,1)</f>
        <v>1</v>
      </c>
    </row>
    <row r="8" customFormat="false" ht="15" hidden="false" customHeight="false" outlineLevel="0" collapsed="false">
      <c r="A8" s="8" t="n">
        <v>7</v>
      </c>
      <c r="B8" s="8" t="s">
        <v>62</v>
      </c>
      <c r="C8" s="8"/>
      <c r="D8" s="8" t="s">
        <v>75</v>
      </c>
      <c r="E8" s="7" t="s">
        <v>76</v>
      </c>
      <c r="F8" s="8" t="s">
        <v>48</v>
      </c>
      <c r="G8" s="8" t="s">
        <v>49</v>
      </c>
      <c r="H8" s="9" t="s">
        <v>50</v>
      </c>
      <c r="I8" s="9" t="s">
        <v>49</v>
      </c>
      <c r="J8" s="9" t="s">
        <v>51</v>
      </c>
      <c r="K8" s="9" t="s">
        <v>52</v>
      </c>
      <c r="L8" s="7" t="s">
        <v>53</v>
      </c>
      <c r="M8" s="8"/>
      <c r="N8" s="8" t="s">
        <v>54</v>
      </c>
      <c r="O8" s="8" t="s">
        <v>77</v>
      </c>
      <c r="P8" s="10" t="n">
        <f aca="false">IF($H8="숙박",0,IF($H8=MID(P$1,3,20),IF($I8="",1,0.6),IF($I8=MID(P$1,3,20),0.4,0)))</f>
        <v>0</v>
      </c>
      <c r="Q8" s="10" t="n">
        <f aca="false">IF($H8="숙박",0,IF($H8=MID(Q$1,3,20),IF($I8="",1,0.6),IF($I8=MID(Q$1,3,20),0.4,0)))</f>
        <v>0.4</v>
      </c>
      <c r="R8" s="10" t="n">
        <f aca="false">IF($H8="숙박",0,IF($H8=MID(R$1,3,20),IF($I8="",1,0.6),IF($I8=MID(R$1,3,20),0.4,0)))</f>
        <v>0</v>
      </c>
      <c r="S8" s="10" t="n">
        <f aca="false">IF($H8="숙박",0,IF($H8=MID(S$1,3,20),IF($I8="",1,0.6),IF($I8=MID(S$1,3,20),0.4,0)))</f>
        <v>0</v>
      </c>
      <c r="T8" s="10" t="n">
        <f aca="false">IF($H8="숙박",0,IF($H8=MID(T$1,3,20),IF($I8="",1,0.6),IF($I8=MID(T$1,3,20),0.4,0)))</f>
        <v>0.6</v>
      </c>
      <c r="U8" s="10" t="n">
        <f aca="false">IF($H8="숙박",0,IF(ISNUMBER(SEARCH("야경",$J8)),1,0))</f>
        <v>0</v>
      </c>
      <c r="V8" s="10" t="n">
        <f aca="false">IF($H8="숙박",0,1)</f>
        <v>1</v>
      </c>
    </row>
    <row r="9" customFormat="false" ht="15" hidden="false" customHeight="false" outlineLevel="0" collapsed="false">
      <c r="A9" s="8" t="n">
        <v>8</v>
      </c>
      <c r="B9" s="8" t="s">
        <v>45</v>
      </c>
      <c r="C9" s="8"/>
      <c r="D9" s="8" t="s">
        <v>78</v>
      </c>
      <c r="E9" s="7" t="s">
        <v>79</v>
      </c>
      <c r="F9" s="8" t="s">
        <v>48</v>
      </c>
      <c r="G9" s="8" t="s">
        <v>49</v>
      </c>
      <c r="H9" s="9" t="s">
        <v>50</v>
      </c>
      <c r="I9" s="9" t="s">
        <v>49</v>
      </c>
      <c r="J9" s="9" t="s">
        <v>51</v>
      </c>
      <c r="K9" s="9" t="s">
        <v>52</v>
      </c>
      <c r="L9" s="7" t="s">
        <v>53</v>
      </c>
      <c r="M9" s="8"/>
      <c r="N9" s="8" t="s">
        <v>54</v>
      </c>
      <c r="O9" s="8" t="s">
        <v>80</v>
      </c>
      <c r="P9" s="10" t="n">
        <f aca="false">IF($H9="숙박",0,IF($H9=MID(P$1,3,20),IF($I9="",1,0.6),IF($I9=MID(P$1,3,20),0.4,0)))</f>
        <v>0</v>
      </c>
      <c r="Q9" s="10" t="n">
        <f aca="false">IF($H9="숙박",0,IF($H9=MID(Q$1,3,20),IF($I9="",1,0.6),IF($I9=MID(Q$1,3,20),0.4,0)))</f>
        <v>0.4</v>
      </c>
      <c r="R9" s="10" t="n">
        <f aca="false">IF($H9="숙박",0,IF($H9=MID(R$1,3,20),IF($I9="",1,0.6),IF($I9=MID(R$1,3,20),0.4,0)))</f>
        <v>0</v>
      </c>
      <c r="S9" s="10" t="n">
        <f aca="false">IF($H9="숙박",0,IF($H9=MID(S$1,3,20),IF($I9="",1,0.6),IF($I9=MID(S$1,3,20),0.4,0)))</f>
        <v>0</v>
      </c>
      <c r="T9" s="10" t="n">
        <f aca="false">IF($H9="숙박",0,IF($H9=MID(T$1,3,20),IF($I9="",1,0.6),IF($I9=MID(T$1,3,20),0.4,0)))</f>
        <v>0.6</v>
      </c>
      <c r="U9" s="10" t="n">
        <f aca="false">IF($H9="숙박",0,IF(ISNUMBER(SEARCH("야경",$J9)),1,0))</f>
        <v>0</v>
      </c>
      <c r="V9" s="10" t="n">
        <f aca="false">IF($H9="숙박",0,1)</f>
        <v>1</v>
      </c>
    </row>
    <row r="10" customFormat="false" ht="15" hidden="false" customHeight="false" outlineLevel="0" collapsed="false">
      <c r="A10" s="8" t="n">
        <v>9</v>
      </c>
      <c r="B10" s="8" t="s">
        <v>45</v>
      </c>
      <c r="C10" s="8"/>
      <c r="D10" s="8" t="s">
        <v>81</v>
      </c>
      <c r="E10" s="7" t="s">
        <v>82</v>
      </c>
      <c r="F10" s="8" t="s">
        <v>59</v>
      </c>
      <c r="G10" s="8" t="s">
        <v>49</v>
      </c>
      <c r="H10" s="9" t="s">
        <v>50</v>
      </c>
      <c r="I10" s="9" t="s">
        <v>49</v>
      </c>
      <c r="J10" s="9" t="s">
        <v>51</v>
      </c>
      <c r="K10" s="9" t="s">
        <v>52</v>
      </c>
      <c r="L10" s="7" t="s">
        <v>53</v>
      </c>
      <c r="M10" s="8"/>
      <c r="N10" s="8" t="s">
        <v>54</v>
      </c>
      <c r="O10" s="8" t="s">
        <v>83</v>
      </c>
      <c r="P10" s="10" t="n">
        <f aca="false">IF($H10="숙박",0,IF($H10=MID(P$1,3,20),IF($I10="",1,0.6),IF($I10=MID(P$1,3,20),0.4,0)))</f>
        <v>0</v>
      </c>
      <c r="Q10" s="10" t="n">
        <f aca="false">IF($H10="숙박",0,IF($H10=MID(Q$1,3,20),IF($I10="",1,0.6),IF($I10=MID(Q$1,3,20),0.4,0)))</f>
        <v>0.4</v>
      </c>
      <c r="R10" s="10" t="n">
        <f aca="false">IF($H10="숙박",0,IF($H10=MID(R$1,3,20),IF($I10="",1,0.6),IF($I10=MID(R$1,3,20),0.4,0)))</f>
        <v>0</v>
      </c>
      <c r="S10" s="10" t="n">
        <f aca="false">IF($H10="숙박",0,IF($H10=MID(S$1,3,20),IF($I10="",1,0.6),IF($I10=MID(S$1,3,20),0.4,0)))</f>
        <v>0</v>
      </c>
      <c r="T10" s="10" t="n">
        <f aca="false">IF($H10="숙박",0,IF($H10=MID(T$1,3,20),IF($I10="",1,0.6),IF($I10=MID(T$1,3,20),0.4,0)))</f>
        <v>0.6</v>
      </c>
      <c r="U10" s="10" t="n">
        <f aca="false">IF($H10="숙박",0,IF(ISNUMBER(SEARCH("야경",$J10)),1,0))</f>
        <v>0</v>
      </c>
      <c r="V10" s="10" t="n">
        <f aca="false">IF($H10="숙박",0,1)</f>
        <v>1</v>
      </c>
    </row>
    <row r="11" customFormat="false" ht="15" hidden="false" customHeight="false" outlineLevel="0" collapsed="false">
      <c r="A11" s="8" t="n">
        <v>10</v>
      </c>
      <c r="B11" s="8" t="s">
        <v>45</v>
      </c>
      <c r="C11" s="8"/>
      <c r="D11" s="8" t="s">
        <v>84</v>
      </c>
      <c r="E11" s="7" t="s">
        <v>85</v>
      </c>
      <c r="F11" s="8" t="s">
        <v>59</v>
      </c>
      <c r="G11" s="8" t="s">
        <v>49</v>
      </c>
      <c r="H11" s="9" t="s">
        <v>50</v>
      </c>
      <c r="I11" s="9" t="s">
        <v>49</v>
      </c>
      <c r="J11" s="9" t="s">
        <v>51</v>
      </c>
      <c r="K11" s="9" t="s">
        <v>52</v>
      </c>
      <c r="L11" s="7" t="s">
        <v>53</v>
      </c>
      <c r="M11" s="8"/>
      <c r="N11" s="8" t="s">
        <v>54</v>
      </c>
      <c r="O11" s="8" t="s">
        <v>86</v>
      </c>
      <c r="P11" s="10" t="n">
        <f aca="false">IF($H11="숙박",0,IF($H11=MID(P$1,3,20),IF($I11="",1,0.6),IF($I11=MID(P$1,3,20),0.4,0)))</f>
        <v>0</v>
      </c>
      <c r="Q11" s="10" t="n">
        <f aca="false">IF($H11="숙박",0,IF($H11=MID(Q$1,3,20),IF($I11="",1,0.6),IF($I11=MID(Q$1,3,20),0.4,0)))</f>
        <v>0.4</v>
      </c>
      <c r="R11" s="10" t="n">
        <f aca="false">IF($H11="숙박",0,IF($H11=MID(R$1,3,20),IF($I11="",1,0.6),IF($I11=MID(R$1,3,20),0.4,0)))</f>
        <v>0</v>
      </c>
      <c r="S11" s="10" t="n">
        <f aca="false">IF($H11="숙박",0,IF($H11=MID(S$1,3,20),IF($I11="",1,0.6),IF($I11=MID(S$1,3,20),0.4,0)))</f>
        <v>0</v>
      </c>
      <c r="T11" s="10" t="n">
        <f aca="false">IF($H11="숙박",0,IF($H11=MID(T$1,3,20),IF($I11="",1,0.6),IF($I11=MID(T$1,3,20),0.4,0)))</f>
        <v>0.6</v>
      </c>
      <c r="U11" s="10" t="n">
        <f aca="false">IF($H11="숙박",0,IF(ISNUMBER(SEARCH("야경",$J11)),1,0))</f>
        <v>0</v>
      </c>
      <c r="V11" s="10" t="n">
        <f aca="false">IF($H11="숙박",0,1)</f>
        <v>1</v>
      </c>
    </row>
    <row r="12" customFormat="false" ht="15" hidden="false" customHeight="false" outlineLevel="0" collapsed="false">
      <c r="A12" s="8" t="n">
        <v>11</v>
      </c>
      <c r="B12" s="8" t="s">
        <v>45</v>
      </c>
      <c r="C12" s="8"/>
      <c r="D12" s="8" t="s">
        <v>87</v>
      </c>
      <c r="E12" s="7" t="s">
        <v>88</v>
      </c>
      <c r="F12" s="8" t="s">
        <v>59</v>
      </c>
      <c r="G12" s="8" t="s">
        <v>49</v>
      </c>
      <c r="H12" s="9" t="s">
        <v>50</v>
      </c>
      <c r="I12" s="9" t="s">
        <v>49</v>
      </c>
      <c r="J12" s="9" t="s">
        <v>51</v>
      </c>
      <c r="K12" s="9" t="s">
        <v>52</v>
      </c>
      <c r="L12" s="7" t="s">
        <v>53</v>
      </c>
      <c r="M12" s="8"/>
      <c r="N12" s="8" t="s">
        <v>54</v>
      </c>
      <c r="O12" s="8" t="s">
        <v>89</v>
      </c>
      <c r="P12" s="10" t="n">
        <f aca="false">IF($H12="숙박",0,IF($H12=MID(P$1,3,20),IF($I12="",1,0.6),IF($I12=MID(P$1,3,20),0.4,0)))</f>
        <v>0</v>
      </c>
      <c r="Q12" s="10" t="n">
        <f aca="false">IF($H12="숙박",0,IF($H12=MID(Q$1,3,20),IF($I12="",1,0.6),IF($I12=MID(Q$1,3,20),0.4,0)))</f>
        <v>0.4</v>
      </c>
      <c r="R12" s="10" t="n">
        <f aca="false">IF($H12="숙박",0,IF($H12=MID(R$1,3,20),IF($I12="",1,0.6),IF($I12=MID(R$1,3,20),0.4,0)))</f>
        <v>0</v>
      </c>
      <c r="S12" s="10" t="n">
        <f aca="false">IF($H12="숙박",0,IF($H12=MID(S$1,3,20),IF($I12="",1,0.6),IF($I12=MID(S$1,3,20),0.4,0)))</f>
        <v>0</v>
      </c>
      <c r="T12" s="10" t="n">
        <f aca="false">IF($H12="숙박",0,IF($H12=MID(T$1,3,20),IF($I12="",1,0.6),IF($I12=MID(T$1,3,20),0.4,0)))</f>
        <v>0.6</v>
      </c>
      <c r="U12" s="10" t="n">
        <f aca="false">IF($H12="숙박",0,IF(ISNUMBER(SEARCH("야경",$J12)),1,0))</f>
        <v>0</v>
      </c>
      <c r="V12" s="10" t="n">
        <f aca="false">IF($H12="숙박",0,1)</f>
        <v>1</v>
      </c>
    </row>
    <row r="13" customFormat="false" ht="15" hidden="false" customHeight="false" outlineLevel="0" collapsed="false">
      <c r="A13" s="8" t="n">
        <v>12</v>
      </c>
      <c r="B13" s="8" t="s">
        <v>45</v>
      </c>
      <c r="C13" s="8"/>
      <c r="D13" s="8" t="s">
        <v>90</v>
      </c>
      <c r="E13" s="7" t="s">
        <v>91</v>
      </c>
      <c r="F13" s="8" t="s">
        <v>59</v>
      </c>
      <c r="G13" s="8" t="s">
        <v>49</v>
      </c>
      <c r="H13" s="9" t="s">
        <v>50</v>
      </c>
      <c r="I13" s="9" t="s">
        <v>49</v>
      </c>
      <c r="J13" s="9" t="s">
        <v>51</v>
      </c>
      <c r="K13" s="9" t="s">
        <v>52</v>
      </c>
      <c r="L13" s="7" t="s">
        <v>53</v>
      </c>
      <c r="M13" s="8"/>
      <c r="N13" s="8" t="s">
        <v>54</v>
      </c>
      <c r="O13" s="8" t="s">
        <v>92</v>
      </c>
      <c r="P13" s="10" t="n">
        <f aca="false">IF($H13="숙박",0,IF($H13=MID(P$1,3,20),IF($I13="",1,0.6),IF($I13=MID(P$1,3,20),0.4,0)))</f>
        <v>0</v>
      </c>
      <c r="Q13" s="10" t="n">
        <f aca="false">IF($H13="숙박",0,IF($H13=MID(Q$1,3,20),IF($I13="",1,0.6),IF($I13=MID(Q$1,3,20),0.4,0)))</f>
        <v>0.4</v>
      </c>
      <c r="R13" s="10" t="n">
        <f aca="false">IF($H13="숙박",0,IF($H13=MID(R$1,3,20),IF($I13="",1,0.6),IF($I13=MID(R$1,3,20),0.4,0)))</f>
        <v>0</v>
      </c>
      <c r="S13" s="10" t="n">
        <f aca="false">IF($H13="숙박",0,IF($H13=MID(S$1,3,20),IF($I13="",1,0.6),IF($I13=MID(S$1,3,20),0.4,0)))</f>
        <v>0</v>
      </c>
      <c r="T13" s="10" t="n">
        <f aca="false">IF($H13="숙박",0,IF($H13=MID(T$1,3,20),IF($I13="",1,0.6),IF($I13=MID(T$1,3,20),0.4,0)))</f>
        <v>0.6</v>
      </c>
      <c r="U13" s="10" t="n">
        <f aca="false">IF($H13="숙박",0,IF(ISNUMBER(SEARCH("야경",$J13)),1,0))</f>
        <v>0</v>
      </c>
      <c r="V13" s="10" t="n">
        <f aca="false">IF($H13="숙박",0,1)</f>
        <v>1</v>
      </c>
    </row>
    <row r="14" customFormat="false" ht="15" hidden="false" customHeight="false" outlineLevel="0" collapsed="false">
      <c r="A14" s="8" t="n">
        <v>13</v>
      </c>
      <c r="B14" s="8" t="s">
        <v>45</v>
      </c>
      <c r="C14" s="8"/>
      <c r="D14" s="8" t="s">
        <v>93</v>
      </c>
      <c r="E14" s="7" t="s">
        <v>94</v>
      </c>
      <c r="F14" s="8" t="s">
        <v>59</v>
      </c>
      <c r="G14" s="8" t="s">
        <v>49</v>
      </c>
      <c r="H14" s="9" t="s">
        <v>50</v>
      </c>
      <c r="I14" s="9" t="s">
        <v>49</v>
      </c>
      <c r="J14" s="9" t="s">
        <v>51</v>
      </c>
      <c r="K14" s="9" t="s">
        <v>52</v>
      </c>
      <c r="L14" s="7" t="s">
        <v>53</v>
      </c>
      <c r="M14" s="8"/>
      <c r="N14" s="8" t="s">
        <v>54</v>
      </c>
      <c r="O14" s="8" t="s">
        <v>95</v>
      </c>
      <c r="P14" s="10" t="n">
        <f aca="false">IF($H14="숙박",0,IF($H14=MID(P$1,3,20),IF($I14="",1,0.6),IF($I14=MID(P$1,3,20),0.4,0)))</f>
        <v>0</v>
      </c>
      <c r="Q14" s="10" t="n">
        <f aca="false">IF($H14="숙박",0,IF($H14=MID(Q$1,3,20),IF($I14="",1,0.6),IF($I14=MID(Q$1,3,20),0.4,0)))</f>
        <v>0.4</v>
      </c>
      <c r="R14" s="10" t="n">
        <f aca="false">IF($H14="숙박",0,IF($H14=MID(R$1,3,20),IF($I14="",1,0.6),IF($I14=MID(R$1,3,20),0.4,0)))</f>
        <v>0</v>
      </c>
      <c r="S14" s="10" t="n">
        <f aca="false">IF($H14="숙박",0,IF($H14=MID(S$1,3,20),IF($I14="",1,0.6),IF($I14=MID(S$1,3,20),0.4,0)))</f>
        <v>0</v>
      </c>
      <c r="T14" s="10" t="n">
        <f aca="false">IF($H14="숙박",0,IF($H14=MID(T$1,3,20),IF($I14="",1,0.6),IF($I14=MID(T$1,3,20),0.4,0)))</f>
        <v>0.6</v>
      </c>
      <c r="U14" s="10" t="n">
        <f aca="false">IF($H14="숙박",0,IF(ISNUMBER(SEARCH("야경",$J14)),1,0))</f>
        <v>0</v>
      </c>
      <c r="V14" s="10" t="n">
        <f aca="false">IF($H14="숙박",0,1)</f>
        <v>1</v>
      </c>
    </row>
    <row r="15" customFormat="false" ht="15" hidden="false" customHeight="false" outlineLevel="0" collapsed="false">
      <c r="A15" s="8" t="n">
        <v>14</v>
      </c>
      <c r="B15" s="8" t="s">
        <v>45</v>
      </c>
      <c r="C15" s="8"/>
      <c r="D15" s="8" t="s">
        <v>96</v>
      </c>
      <c r="E15" s="7" t="s">
        <v>97</v>
      </c>
      <c r="F15" s="8" t="s">
        <v>48</v>
      </c>
      <c r="G15" s="8" t="s">
        <v>49</v>
      </c>
      <c r="H15" s="9" t="s">
        <v>50</v>
      </c>
      <c r="I15" s="9" t="s">
        <v>49</v>
      </c>
      <c r="J15" s="9" t="s">
        <v>51</v>
      </c>
      <c r="K15" s="9" t="s">
        <v>52</v>
      </c>
      <c r="L15" s="7" t="s">
        <v>53</v>
      </c>
      <c r="M15" s="8"/>
      <c r="N15" s="8" t="s">
        <v>54</v>
      </c>
      <c r="O15" s="8" t="s">
        <v>98</v>
      </c>
      <c r="P15" s="10" t="n">
        <f aca="false">IF($H15="숙박",0,IF($H15=MID(P$1,3,20),IF($I15="",1,0.6),IF($I15=MID(P$1,3,20),0.4,0)))</f>
        <v>0</v>
      </c>
      <c r="Q15" s="10" t="n">
        <f aca="false">IF($H15="숙박",0,IF($H15=MID(Q$1,3,20),IF($I15="",1,0.6),IF($I15=MID(Q$1,3,20),0.4,0)))</f>
        <v>0.4</v>
      </c>
      <c r="R15" s="10" t="n">
        <f aca="false">IF($H15="숙박",0,IF($H15=MID(R$1,3,20),IF($I15="",1,0.6),IF($I15=MID(R$1,3,20),0.4,0)))</f>
        <v>0</v>
      </c>
      <c r="S15" s="10" t="n">
        <f aca="false">IF($H15="숙박",0,IF($H15=MID(S$1,3,20),IF($I15="",1,0.6),IF($I15=MID(S$1,3,20),0.4,0)))</f>
        <v>0</v>
      </c>
      <c r="T15" s="10" t="n">
        <f aca="false">IF($H15="숙박",0,IF($H15=MID(T$1,3,20),IF($I15="",1,0.6),IF($I15=MID(T$1,3,20),0.4,0)))</f>
        <v>0.6</v>
      </c>
      <c r="U15" s="10" t="n">
        <f aca="false">IF($H15="숙박",0,IF(ISNUMBER(SEARCH("야경",$J15)),1,0))</f>
        <v>0</v>
      </c>
      <c r="V15" s="10" t="n">
        <f aca="false">IF($H15="숙박",0,1)</f>
        <v>1</v>
      </c>
    </row>
    <row r="16" customFormat="false" ht="15" hidden="false" customHeight="false" outlineLevel="0" collapsed="false">
      <c r="A16" s="8" t="n">
        <v>15</v>
      </c>
      <c r="B16" s="8" t="s">
        <v>45</v>
      </c>
      <c r="C16" s="8"/>
      <c r="D16" s="8" t="s">
        <v>99</v>
      </c>
      <c r="E16" s="7" t="s">
        <v>100</v>
      </c>
      <c r="F16" s="8" t="s">
        <v>59</v>
      </c>
      <c r="G16" s="8" t="s">
        <v>49</v>
      </c>
      <c r="H16" s="9" t="s">
        <v>50</v>
      </c>
      <c r="I16" s="9" t="s">
        <v>49</v>
      </c>
      <c r="J16" s="9" t="s">
        <v>51</v>
      </c>
      <c r="K16" s="9" t="s">
        <v>52</v>
      </c>
      <c r="L16" s="7" t="s">
        <v>53</v>
      </c>
      <c r="M16" s="8"/>
      <c r="N16" s="8" t="s">
        <v>54</v>
      </c>
      <c r="O16" s="8" t="s">
        <v>101</v>
      </c>
      <c r="P16" s="10" t="n">
        <f aca="false">IF($H16="숙박",0,IF($H16=MID(P$1,3,20),IF($I16="",1,0.6),IF($I16=MID(P$1,3,20),0.4,0)))</f>
        <v>0</v>
      </c>
      <c r="Q16" s="10" t="n">
        <f aca="false">IF($H16="숙박",0,IF($H16=MID(Q$1,3,20),IF($I16="",1,0.6),IF($I16=MID(Q$1,3,20),0.4,0)))</f>
        <v>0.4</v>
      </c>
      <c r="R16" s="10" t="n">
        <f aca="false">IF($H16="숙박",0,IF($H16=MID(R$1,3,20),IF($I16="",1,0.6),IF($I16=MID(R$1,3,20),0.4,0)))</f>
        <v>0</v>
      </c>
      <c r="S16" s="10" t="n">
        <f aca="false">IF($H16="숙박",0,IF($H16=MID(S$1,3,20),IF($I16="",1,0.6),IF($I16=MID(S$1,3,20),0.4,0)))</f>
        <v>0</v>
      </c>
      <c r="T16" s="10" t="n">
        <f aca="false">IF($H16="숙박",0,IF($H16=MID(T$1,3,20),IF($I16="",1,0.6),IF($I16=MID(T$1,3,20),0.4,0)))</f>
        <v>0.6</v>
      </c>
      <c r="U16" s="10" t="n">
        <f aca="false">IF($H16="숙박",0,IF(ISNUMBER(SEARCH("야경",$J16)),1,0))</f>
        <v>0</v>
      </c>
      <c r="V16" s="10" t="n">
        <f aca="false">IF($H16="숙박",0,1)</f>
        <v>1</v>
      </c>
    </row>
    <row r="17" customFormat="false" ht="15" hidden="false" customHeight="false" outlineLevel="0" collapsed="false">
      <c r="A17" s="8" t="n">
        <v>16</v>
      </c>
      <c r="B17" s="8" t="s">
        <v>45</v>
      </c>
      <c r="C17" s="8"/>
      <c r="D17" s="8" t="s">
        <v>102</v>
      </c>
      <c r="E17" s="7" t="s">
        <v>103</v>
      </c>
      <c r="F17" s="8" t="s">
        <v>59</v>
      </c>
      <c r="G17" s="8" t="s">
        <v>49</v>
      </c>
      <c r="H17" s="9" t="s">
        <v>50</v>
      </c>
      <c r="I17" s="9" t="s">
        <v>49</v>
      </c>
      <c r="J17" s="9" t="s">
        <v>51</v>
      </c>
      <c r="K17" s="9" t="s">
        <v>52</v>
      </c>
      <c r="L17" s="7" t="s">
        <v>53</v>
      </c>
      <c r="M17" s="8"/>
      <c r="N17" s="8" t="s">
        <v>54</v>
      </c>
      <c r="O17" s="8" t="s">
        <v>104</v>
      </c>
      <c r="P17" s="10" t="n">
        <f aca="false">IF($H17="숙박",0,IF($H17=MID(P$1,3,20),IF($I17="",1,0.6),IF($I17=MID(P$1,3,20),0.4,0)))</f>
        <v>0</v>
      </c>
      <c r="Q17" s="10" t="n">
        <f aca="false">IF($H17="숙박",0,IF($H17=MID(Q$1,3,20),IF($I17="",1,0.6),IF($I17=MID(Q$1,3,20),0.4,0)))</f>
        <v>0.4</v>
      </c>
      <c r="R17" s="10" t="n">
        <f aca="false">IF($H17="숙박",0,IF($H17=MID(R$1,3,20),IF($I17="",1,0.6),IF($I17=MID(R$1,3,20),0.4,0)))</f>
        <v>0</v>
      </c>
      <c r="S17" s="10" t="n">
        <f aca="false">IF($H17="숙박",0,IF($H17=MID(S$1,3,20),IF($I17="",1,0.6),IF($I17=MID(S$1,3,20),0.4,0)))</f>
        <v>0</v>
      </c>
      <c r="T17" s="10" t="n">
        <f aca="false">IF($H17="숙박",0,IF($H17=MID(T$1,3,20),IF($I17="",1,0.6),IF($I17=MID(T$1,3,20),0.4,0)))</f>
        <v>0.6</v>
      </c>
      <c r="U17" s="10" t="n">
        <f aca="false">IF($H17="숙박",0,IF(ISNUMBER(SEARCH("야경",$J17)),1,0))</f>
        <v>0</v>
      </c>
      <c r="V17" s="10" t="n">
        <f aca="false">IF($H17="숙박",0,1)</f>
        <v>1</v>
      </c>
    </row>
    <row r="18" customFormat="false" ht="15" hidden="false" customHeight="false" outlineLevel="0" collapsed="false">
      <c r="A18" s="8" t="n">
        <v>17</v>
      </c>
      <c r="B18" s="8" t="s">
        <v>45</v>
      </c>
      <c r="C18" s="8"/>
      <c r="D18" s="8" t="s">
        <v>105</v>
      </c>
      <c r="E18" s="7" t="s">
        <v>106</v>
      </c>
      <c r="F18" s="8" t="s">
        <v>59</v>
      </c>
      <c r="G18" s="8" t="s">
        <v>49</v>
      </c>
      <c r="H18" s="9" t="s">
        <v>50</v>
      </c>
      <c r="I18" s="9" t="s">
        <v>49</v>
      </c>
      <c r="J18" s="9" t="s">
        <v>51</v>
      </c>
      <c r="K18" s="9" t="s">
        <v>52</v>
      </c>
      <c r="L18" s="7" t="s">
        <v>53</v>
      </c>
      <c r="M18" s="8"/>
      <c r="N18" s="8" t="s">
        <v>54</v>
      </c>
      <c r="O18" s="8" t="s">
        <v>107</v>
      </c>
      <c r="P18" s="10" t="n">
        <f aca="false">IF($H18="숙박",0,IF($H18=MID(P$1,3,20),IF($I18="",1,0.6),IF($I18=MID(P$1,3,20),0.4,0)))</f>
        <v>0</v>
      </c>
      <c r="Q18" s="10" t="n">
        <f aca="false">IF($H18="숙박",0,IF($H18=MID(Q$1,3,20),IF($I18="",1,0.6),IF($I18=MID(Q$1,3,20),0.4,0)))</f>
        <v>0.4</v>
      </c>
      <c r="R18" s="10" t="n">
        <f aca="false">IF($H18="숙박",0,IF($H18=MID(R$1,3,20),IF($I18="",1,0.6),IF($I18=MID(R$1,3,20),0.4,0)))</f>
        <v>0</v>
      </c>
      <c r="S18" s="10" t="n">
        <f aca="false">IF($H18="숙박",0,IF($H18=MID(S$1,3,20),IF($I18="",1,0.6),IF($I18=MID(S$1,3,20),0.4,0)))</f>
        <v>0</v>
      </c>
      <c r="T18" s="10" t="n">
        <f aca="false">IF($H18="숙박",0,IF($H18=MID(T$1,3,20),IF($I18="",1,0.6),IF($I18=MID(T$1,3,20),0.4,0)))</f>
        <v>0.6</v>
      </c>
      <c r="U18" s="10" t="n">
        <f aca="false">IF($H18="숙박",0,IF(ISNUMBER(SEARCH("야경",$J18)),1,0))</f>
        <v>0</v>
      </c>
      <c r="V18" s="10" t="n">
        <f aca="false">IF($H18="숙박",0,1)</f>
        <v>1</v>
      </c>
    </row>
    <row r="19" customFormat="false" ht="15" hidden="false" customHeight="false" outlineLevel="0" collapsed="false">
      <c r="A19" s="8" t="n">
        <v>18</v>
      </c>
      <c r="B19" s="8" t="s">
        <v>45</v>
      </c>
      <c r="C19" s="8"/>
      <c r="D19" s="8" t="s">
        <v>108</v>
      </c>
      <c r="E19" s="7" t="s">
        <v>109</v>
      </c>
      <c r="F19" s="8" t="s">
        <v>48</v>
      </c>
      <c r="G19" s="8" t="s">
        <v>49</v>
      </c>
      <c r="H19" s="9" t="s">
        <v>50</v>
      </c>
      <c r="I19" s="9" t="s">
        <v>49</v>
      </c>
      <c r="J19" s="9" t="s">
        <v>51</v>
      </c>
      <c r="K19" s="9" t="s">
        <v>52</v>
      </c>
      <c r="L19" s="7" t="s">
        <v>53</v>
      </c>
      <c r="M19" s="8"/>
      <c r="N19" s="8" t="s">
        <v>54</v>
      </c>
      <c r="O19" s="8" t="s">
        <v>110</v>
      </c>
      <c r="P19" s="10" t="n">
        <f aca="false">IF($H19="숙박",0,IF($H19=MID(P$1,3,20),IF($I19="",1,0.6),IF($I19=MID(P$1,3,20),0.4,0)))</f>
        <v>0</v>
      </c>
      <c r="Q19" s="10" t="n">
        <f aca="false">IF($H19="숙박",0,IF($H19=MID(Q$1,3,20),IF($I19="",1,0.6),IF($I19=MID(Q$1,3,20),0.4,0)))</f>
        <v>0.4</v>
      </c>
      <c r="R19" s="10" t="n">
        <f aca="false">IF($H19="숙박",0,IF($H19=MID(R$1,3,20),IF($I19="",1,0.6),IF($I19=MID(R$1,3,20),0.4,0)))</f>
        <v>0</v>
      </c>
      <c r="S19" s="10" t="n">
        <f aca="false">IF($H19="숙박",0,IF($H19=MID(S$1,3,20),IF($I19="",1,0.6),IF($I19=MID(S$1,3,20),0.4,0)))</f>
        <v>0</v>
      </c>
      <c r="T19" s="10" t="n">
        <f aca="false">IF($H19="숙박",0,IF($H19=MID(T$1,3,20),IF($I19="",1,0.6),IF($I19=MID(T$1,3,20),0.4,0)))</f>
        <v>0.6</v>
      </c>
      <c r="U19" s="10" t="n">
        <f aca="false">IF($H19="숙박",0,IF(ISNUMBER(SEARCH("야경",$J19)),1,0))</f>
        <v>0</v>
      </c>
      <c r="V19" s="10" t="n">
        <f aca="false">IF($H19="숙박",0,1)</f>
        <v>1</v>
      </c>
    </row>
    <row r="20" customFormat="false" ht="15" hidden="false" customHeight="false" outlineLevel="0" collapsed="false">
      <c r="A20" s="8" t="n">
        <v>19</v>
      </c>
      <c r="B20" s="8" t="s">
        <v>45</v>
      </c>
      <c r="C20" s="8"/>
      <c r="D20" s="8" t="s">
        <v>111</v>
      </c>
      <c r="E20" s="7" t="s">
        <v>112</v>
      </c>
      <c r="F20" s="8" t="s">
        <v>48</v>
      </c>
      <c r="G20" s="8" t="s">
        <v>49</v>
      </c>
      <c r="H20" s="9" t="s">
        <v>50</v>
      </c>
      <c r="I20" s="9" t="s">
        <v>49</v>
      </c>
      <c r="J20" s="9" t="s">
        <v>51</v>
      </c>
      <c r="K20" s="9" t="s">
        <v>52</v>
      </c>
      <c r="L20" s="7" t="s">
        <v>53</v>
      </c>
      <c r="M20" s="8"/>
      <c r="N20" s="8" t="s">
        <v>54</v>
      </c>
      <c r="O20" s="8" t="s">
        <v>113</v>
      </c>
      <c r="P20" s="10" t="n">
        <f aca="false">IF($H20="숙박",0,IF($H20=MID(P$1,3,20),IF($I20="",1,0.6),IF($I20=MID(P$1,3,20),0.4,0)))</f>
        <v>0</v>
      </c>
      <c r="Q20" s="10" t="n">
        <f aca="false">IF($H20="숙박",0,IF($H20=MID(Q$1,3,20),IF($I20="",1,0.6),IF($I20=MID(Q$1,3,20),0.4,0)))</f>
        <v>0.4</v>
      </c>
      <c r="R20" s="10" t="n">
        <f aca="false">IF($H20="숙박",0,IF($H20=MID(R$1,3,20),IF($I20="",1,0.6),IF($I20=MID(R$1,3,20),0.4,0)))</f>
        <v>0</v>
      </c>
      <c r="S20" s="10" t="n">
        <f aca="false">IF($H20="숙박",0,IF($H20=MID(S$1,3,20),IF($I20="",1,0.6),IF($I20=MID(S$1,3,20),0.4,0)))</f>
        <v>0</v>
      </c>
      <c r="T20" s="10" t="n">
        <f aca="false">IF($H20="숙박",0,IF($H20=MID(T$1,3,20),IF($I20="",1,0.6),IF($I20=MID(T$1,3,20),0.4,0)))</f>
        <v>0.6</v>
      </c>
      <c r="U20" s="10" t="n">
        <f aca="false">IF($H20="숙박",0,IF(ISNUMBER(SEARCH("야경",$J20)),1,0))</f>
        <v>0</v>
      </c>
      <c r="V20" s="10" t="n">
        <f aca="false">IF($H20="숙박",0,1)</f>
        <v>1</v>
      </c>
    </row>
    <row r="21" customFormat="false" ht="15" hidden="false" customHeight="false" outlineLevel="0" collapsed="false">
      <c r="A21" s="8" t="n">
        <v>20</v>
      </c>
      <c r="B21" s="8" t="s">
        <v>45</v>
      </c>
      <c r="C21" s="8"/>
      <c r="D21" s="8" t="s">
        <v>114</v>
      </c>
      <c r="E21" s="7" t="s">
        <v>115</v>
      </c>
      <c r="F21" s="8" t="s">
        <v>48</v>
      </c>
      <c r="G21" s="8" t="s">
        <v>49</v>
      </c>
      <c r="H21" s="9" t="s">
        <v>50</v>
      </c>
      <c r="I21" s="9" t="s">
        <v>49</v>
      </c>
      <c r="J21" s="9" t="s">
        <v>51</v>
      </c>
      <c r="K21" s="9" t="s">
        <v>52</v>
      </c>
      <c r="L21" s="7" t="s">
        <v>53</v>
      </c>
      <c r="M21" s="8"/>
      <c r="N21" s="8" t="s">
        <v>54</v>
      </c>
      <c r="O21" s="8" t="s">
        <v>116</v>
      </c>
      <c r="P21" s="10" t="n">
        <f aca="false">IF($H21="숙박",0,IF($H21=MID(P$1,3,20),IF($I21="",1,0.6),IF($I21=MID(P$1,3,20),0.4,0)))</f>
        <v>0</v>
      </c>
      <c r="Q21" s="10" t="n">
        <f aca="false">IF($H21="숙박",0,IF($H21=MID(Q$1,3,20),IF($I21="",1,0.6),IF($I21=MID(Q$1,3,20),0.4,0)))</f>
        <v>0.4</v>
      </c>
      <c r="R21" s="10" t="n">
        <f aca="false">IF($H21="숙박",0,IF($H21=MID(R$1,3,20),IF($I21="",1,0.6),IF($I21=MID(R$1,3,20),0.4,0)))</f>
        <v>0</v>
      </c>
      <c r="S21" s="10" t="n">
        <f aca="false">IF($H21="숙박",0,IF($H21=MID(S$1,3,20),IF($I21="",1,0.6),IF($I21=MID(S$1,3,20),0.4,0)))</f>
        <v>0</v>
      </c>
      <c r="T21" s="10" t="n">
        <f aca="false">IF($H21="숙박",0,IF($H21=MID(T$1,3,20),IF($I21="",1,0.6),IF($I21=MID(T$1,3,20),0.4,0)))</f>
        <v>0.6</v>
      </c>
      <c r="U21" s="10" t="n">
        <f aca="false">IF($H21="숙박",0,IF(ISNUMBER(SEARCH("야경",$J21)),1,0))</f>
        <v>0</v>
      </c>
      <c r="V21" s="10" t="n">
        <f aca="false">IF($H21="숙박",0,1)</f>
        <v>1</v>
      </c>
    </row>
    <row r="22" customFormat="false" ht="15" hidden="false" customHeight="false" outlineLevel="0" collapsed="false">
      <c r="A22" s="8" t="n">
        <v>21</v>
      </c>
      <c r="B22" s="8" t="s">
        <v>45</v>
      </c>
      <c r="C22" s="8"/>
      <c r="D22" s="8" t="s">
        <v>117</v>
      </c>
      <c r="E22" s="7" t="s">
        <v>118</v>
      </c>
      <c r="F22" s="8" t="s">
        <v>59</v>
      </c>
      <c r="G22" s="8" t="s">
        <v>49</v>
      </c>
      <c r="H22" s="9" t="s">
        <v>50</v>
      </c>
      <c r="I22" s="9" t="s">
        <v>49</v>
      </c>
      <c r="J22" s="9" t="s">
        <v>51</v>
      </c>
      <c r="K22" s="9" t="s">
        <v>52</v>
      </c>
      <c r="L22" s="7" t="s">
        <v>53</v>
      </c>
      <c r="M22" s="8"/>
      <c r="N22" s="8" t="s">
        <v>54</v>
      </c>
      <c r="O22" s="8" t="s">
        <v>119</v>
      </c>
      <c r="P22" s="10" t="n">
        <f aca="false">IF($H22="숙박",0,IF($H22=MID(P$1,3,20),IF($I22="",1,0.6),IF($I22=MID(P$1,3,20),0.4,0)))</f>
        <v>0</v>
      </c>
      <c r="Q22" s="10" t="n">
        <f aca="false">IF($H22="숙박",0,IF($H22=MID(Q$1,3,20),IF($I22="",1,0.6),IF($I22=MID(Q$1,3,20),0.4,0)))</f>
        <v>0.4</v>
      </c>
      <c r="R22" s="10" t="n">
        <f aca="false">IF($H22="숙박",0,IF($H22=MID(R$1,3,20),IF($I22="",1,0.6),IF($I22=MID(R$1,3,20),0.4,0)))</f>
        <v>0</v>
      </c>
      <c r="S22" s="10" t="n">
        <f aca="false">IF($H22="숙박",0,IF($H22=MID(S$1,3,20),IF($I22="",1,0.6),IF($I22=MID(S$1,3,20),0.4,0)))</f>
        <v>0</v>
      </c>
      <c r="T22" s="10" t="n">
        <f aca="false">IF($H22="숙박",0,IF($H22=MID(T$1,3,20),IF($I22="",1,0.6),IF($I22=MID(T$1,3,20),0.4,0)))</f>
        <v>0.6</v>
      </c>
      <c r="U22" s="10" t="n">
        <f aca="false">IF($H22="숙박",0,IF(ISNUMBER(SEARCH("야경",$J22)),1,0))</f>
        <v>0</v>
      </c>
      <c r="V22" s="10" t="n">
        <f aca="false">IF($H22="숙박",0,1)</f>
        <v>1</v>
      </c>
    </row>
    <row r="23" customFormat="false" ht="15" hidden="false" customHeight="false" outlineLevel="0" collapsed="false">
      <c r="A23" s="8" t="n">
        <v>22</v>
      </c>
      <c r="B23" s="8" t="s">
        <v>45</v>
      </c>
      <c r="C23" s="8"/>
      <c r="D23" s="8" t="s">
        <v>120</v>
      </c>
      <c r="E23" s="7" t="s">
        <v>121</v>
      </c>
      <c r="F23" s="8" t="s">
        <v>48</v>
      </c>
      <c r="G23" s="8" t="s">
        <v>49</v>
      </c>
      <c r="H23" s="9" t="s">
        <v>50</v>
      </c>
      <c r="I23" s="9" t="s">
        <v>49</v>
      </c>
      <c r="J23" s="9" t="s">
        <v>51</v>
      </c>
      <c r="K23" s="9" t="s">
        <v>52</v>
      </c>
      <c r="L23" s="7" t="s">
        <v>53</v>
      </c>
      <c r="M23" s="8"/>
      <c r="N23" s="8" t="s">
        <v>54</v>
      </c>
      <c r="O23" s="8" t="s">
        <v>122</v>
      </c>
      <c r="P23" s="10" t="n">
        <f aca="false">IF($H23="숙박",0,IF($H23=MID(P$1,3,20),IF($I23="",1,0.6),IF($I23=MID(P$1,3,20),0.4,0)))</f>
        <v>0</v>
      </c>
      <c r="Q23" s="10" t="n">
        <f aca="false">IF($H23="숙박",0,IF($H23=MID(Q$1,3,20),IF($I23="",1,0.6),IF($I23=MID(Q$1,3,20),0.4,0)))</f>
        <v>0.4</v>
      </c>
      <c r="R23" s="10" t="n">
        <f aca="false">IF($H23="숙박",0,IF($H23=MID(R$1,3,20),IF($I23="",1,0.6),IF($I23=MID(R$1,3,20),0.4,0)))</f>
        <v>0</v>
      </c>
      <c r="S23" s="10" t="n">
        <f aca="false">IF($H23="숙박",0,IF($H23=MID(S$1,3,20),IF($I23="",1,0.6),IF($I23=MID(S$1,3,20),0.4,0)))</f>
        <v>0</v>
      </c>
      <c r="T23" s="10" t="n">
        <f aca="false">IF($H23="숙박",0,IF($H23=MID(T$1,3,20),IF($I23="",1,0.6),IF($I23=MID(T$1,3,20),0.4,0)))</f>
        <v>0.6</v>
      </c>
      <c r="U23" s="10" t="n">
        <f aca="false">IF($H23="숙박",0,IF(ISNUMBER(SEARCH("야경",$J23)),1,0))</f>
        <v>0</v>
      </c>
      <c r="V23" s="10" t="n">
        <f aca="false">IF($H23="숙박",0,1)</f>
        <v>1</v>
      </c>
    </row>
    <row r="24" customFormat="false" ht="15" hidden="false" customHeight="false" outlineLevel="0" collapsed="false">
      <c r="A24" s="8" t="n">
        <v>23</v>
      </c>
      <c r="B24" s="8" t="s">
        <v>45</v>
      </c>
      <c r="C24" s="8"/>
      <c r="D24" s="8" t="s">
        <v>123</v>
      </c>
      <c r="E24" s="7" t="s">
        <v>124</v>
      </c>
      <c r="F24" s="8" t="s">
        <v>48</v>
      </c>
      <c r="G24" s="8" t="s">
        <v>49</v>
      </c>
      <c r="H24" s="9" t="s">
        <v>50</v>
      </c>
      <c r="I24" s="9" t="s">
        <v>49</v>
      </c>
      <c r="J24" s="9" t="s">
        <v>51</v>
      </c>
      <c r="K24" s="9" t="s">
        <v>52</v>
      </c>
      <c r="L24" s="7" t="s">
        <v>53</v>
      </c>
      <c r="M24" s="8"/>
      <c r="N24" s="8" t="s">
        <v>54</v>
      </c>
      <c r="O24" s="8" t="s">
        <v>125</v>
      </c>
      <c r="P24" s="10" t="n">
        <f aca="false">IF($H24="숙박",0,IF($H24=MID(P$1,3,20),IF($I24="",1,0.6),IF($I24=MID(P$1,3,20),0.4,0)))</f>
        <v>0</v>
      </c>
      <c r="Q24" s="10" t="n">
        <f aca="false">IF($H24="숙박",0,IF($H24=MID(Q$1,3,20),IF($I24="",1,0.6),IF($I24=MID(Q$1,3,20),0.4,0)))</f>
        <v>0.4</v>
      </c>
      <c r="R24" s="10" t="n">
        <f aca="false">IF($H24="숙박",0,IF($H24=MID(R$1,3,20),IF($I24="",1,0.6),IF($I24=MID(R$1,3,20),0.4,0)))</f>
        <v>0</v>
      </c>
      <c r="S24" s="10" t="n">
        <f aca="false">IF($H24="숙박",0,IF($H24=MID(S$1,3,20),IF($I24="",1,0.6),IF($I24=MID(S$1,3,20),0.4,0)))</f>
        <v>0</v>
      </c>
      <c r="T24" s="10" t="n">
        <f aca="false">IF($H24="숙박",0,IF($H24=MID(T$1,3,20),IF($I24="",1,0.6),IF($I24=MID(T$1,3,20),0.4,0)))</f>
        <v>0.6</v>
      </c>
      <c r="U24" s="10" t="n">
        <f aca="false">IF($H24="숙박",0,IF(ISNUMBER(SEARCH("야경",$J24)),1,0))</f>
        <v>0</v>
      </c>
      <c r="V24" s="10" t="n">
        <f aca="false">IF($H24="숙박",0,1)</f>
        <v>1</v>
      </c>
    </row>
    <row r="25" customFormat="false" ht="15" hidden="false" customHeight="false" outlineLevel="0" collapsed="false">
      <c r="A25" s="8" t="n">
        <v>24</v>
      </c>
      <c r="B25" s="8" t="s">
        <v>45</v>
      </c>
      <c r="C25" s="8"/>
      <c r="D25" s="8" t="s">
        <v>126</v>
      </c>
      <c r="E25" s="7" t="s">
        <v>127</v>
      </c>
      <c r="F25" s="8" t="s">
        <v>48</v>
      </c>
      <c r="G25" s="8" t="s">
        <v>49</v>
      </c>
      <c r="H25" s="9" t="s">
        <v>50</v>
      </c>
      <c r="I25" s="9" t="s">
        <v>49</v>
      </c>
      <c r="J25" s="9" t="s">
        <v>51</v>
      </c>
      <c r="K25" s="9" t="s">
        <v>52</v>
      </c>
      <c r="L25" s="7" t="s">
        <v>53</v>
      </c>
      <c r="M25" s="8"/>
      <c r="N25" s="8" t="s">
        <v>54</v>
      </c>
      <c r="O25" s="8" t="s">
        <v>128</v>
      </c>
      <c r="P25" s="10" t="n">
        <f aca="false">IF($H25="숙박",0,IF($H25=MID(P$1,3,20),IF($I25="",1,0.6),IF($I25=MID(P$1,3,20),0.4,0)))</f>
        <v>0</v>
      </c>
      <c r="Q25" s="10" t="n">
        <f aca="false">IF($H25="숙박",0,IF($H25=MID(Q$1,3,20),IF($I25="",1,0.6),IF($I25=MID(Q$1,3,20),0.4,0)))</f>
        <v>0.4</v>
      </c>
      <c r="R25" s="10" t="n">
        <f aca="false">IF($H25="숙박",0,IF($H25=MID(R$1,3,20),IF($I25="",1,0.6),IF($I25=MID(R$1,3,20),0.4,0)))</f>
        <v>0</v>
      </c>
      <c r="S25" s="10" t="n">
        <f aca="false">IF($H25="숙박",0,IF($H25=MID(S$1,3,20),IF($I25="",1,0.6),IF($I25=MID(S$1,3,20),0.4,0)))</f>
        <v>0</v>
      </c>
      <c r="T25" s="10" t="n">
        <f aca="false">IF($H25="숙박",0,IF($H25=MID(T$1,3,20),IF($I25="",1,0.6),IF($I25=MID(T$1,3,20),0.4,0)))</f>
        <v>0.6</v>
      </c>
      <c r="U25" s="10" t="n">
        <f aca="false">IF($H25="숙박",0,IF(ISNUMBER(SEARCH("야경",$J25)),1,0))</f>
        <v>0</v>
      </c>
      <c r="V25" s="10" t="n">
        <f aca="false">IF($H25="숙박",0,1)</f>
        <v>1</v>
      </c>
    </row>
    <row r="26" customFormat="false" ht="15" hidden="false" customHeight="false" outlineLevel="0" collapsed="false">
      <c r="A26" s="8" t="n">
        <v>25</v>
      </c>
      <c r="B26" s="8" t="s">
        <v>45</v>
      </c>
      <c r="C26" s="8"/>
      <c r="D26" s="8" t="s">
        <v>129</v>
      </c>
      <c r="E26" s="7" t="s">
        <v>130</v>
      </c>
      <c r="F26" s="8" t="s">
        <v>59</v>
      </c>
      <c r="G26" s="8" t="s">
        <v>49</v>
      </c>
      <c r="H26" s="9" t="s">
        <v>50</v>
      </c>
      <c r="I26" s="9" t="s">
        <v>49</v>
      </c>
      <c r="J26" s="9" t="s">
        <v>51</v>
      </c>
      <c r="K26" s="9" t="s">
        <v>52</v>
      </c>
      <c r="L26" s="7" t="s">
        <v>53</v>
      </c>
      <c r="M26" s="8"/>
      <c r="N26" s="8" t="s">
        <v>54</v>
      </c>
      <c r="O26" s="8" t="s">
        <v>131</v>
      </c>
      <c r="P26" s="10" t="n">
        <f aca="false">IF($H26="숙박",0,IF($H26=MID(P$1,3,20),IF($I26="",1,0.6),IF($I26=MID(P$1,3,20),0.4,0)))</f>
        <v>0</v>
      </c>
      <c r="Q26" s="10" t="n">
        <f aca="false">IF($H26="숙박",0,IF($H26=MID(Q$1,3,20),IF($I26="",1,0.6),IF($I26=MID(Q$1,3,20),0.4,0)))</f>
        <v>0.4</v>
      </c>
      <c r="R26" s="10" t="n">
        <f aca="false">IF($H26="숙박",0,IF($H26=MID(R$1,3,20),IF($I26="",1,0.6),IF($I26=MID(R$1,3,20),0.4,0)))</f>
        <v>0</v>
      </c>
      <c r="S26" s="10" t="n">
        <f aca="false">IF($H26="숙박",0,IF($H26=MID(S$1,3,20),IF($I26="",1,0.6),IF($I26=MID(S$1,3,20),0.4,0)))</f>
        <v>0</v>
      </c>
      <c r="T26" s="10" t="n">
        <f aca="false">IF($H26="숙박",0,IF($H26=MID(T$1,3,20),IF($I26="",1,0.6),IF($I26=MID(T$1,3,20),0.4,0)))</f>
        <v>0.6</v>
      </c>
      <c r="U26" s="10" t="n">
        <f aca="false">IF($H26="숙박",0,IF(ISNUMBER(SEARCH("야경",$J26)),1,0))</f>
        <v>0</v>
      </c>
      <c r="V26" s="10" t="n">
        <f aca="false">IF($H26="숙박",0,1)</f>
        <v>1</v>
      </c>
    </row>
    <row r="27" customFormat="false" ht="15" hidden="false" customHeight="false" outlineLevel="0" collapsed="false">
      <c r="A27" s="8" t="n">
        <v>26</v>
      </c>
      <c r="B27" s="8" t="s">
        <v>62</v>
      </c>
      <c r="C27" s="8"/>
      <c r="D27" s="8" t="s">
        <v>132</v>
      </c>
      <c r="E27" s="7" t="s">
        <v>133</v>
      </c>
      <c r="F27" s="8" t="s">
        <v>48</v>
      </c>
      <c r="G27" s="8" t="s">
        <v>49</v>
      </c>
      <c r="H27" s="9" t="s">
        <v>50</v>
      </c>
      <c r="I27" s="9" t="s">
        <v>49</v>
      </c>
      <c r="J27" s="9" t="s">
        <v>51</v>
      </c>
      <c r="K27" s="9" t="s">
        <v>52</v>
      </c>
      <c r="L27" s="7" t="s">
        <v>53</v>
      </c>
      <c r="M27" s="8"/>
      <c r="N27" s="8" t="s">
        <v>54</v>
      </c>
      <c r="O27" s="8" t="s">
        <v>134</v>
      </c>
      <c r="P27" s="10" t="n">
        <f aca="false">IF($H27="숙박",0,IF($H27=MID(P$1,3,20),IF($I27="",1,0.6),IF($I27=MID(P$1,3,20),0.4,0)))</f>
        <v>0</v>
      </c>
      <c r="Q27" s="10" t="n">
        <f aca="false">IF($H27="숙박",0,IF($H27=MID(Q$1,3,20),IF($I27="",1,0.6),IF($I27=MID(Q$1,3,20),0.4,0)))</f>
        <v>0.4</v>
      </c>
      <c r="R27" s="10" t="n">
        <f aca="false">IF($H27="숙박",0,IF($H27=MID(R$1,3,20),IF($I27="",1,0.6),IF($I27=MID(R$1,3,20),0.4,0)))</f>
        <v>0</v>
      </c>
      <c r="S27" s="10" t="n">
        <f aca="false">IF($H27="숙박",0,IF($H27=MID(S$1,3,20),IF($I27="",1,0.6),IF($I27=MID(S$1,3,20),0.4,0)))</f>
        <v>0</v>
      </c>
      <c r="T27" s="10" t="n">
        <f aca="false">IF($H27="숙박",0,IF($H27=MID(T$1,3,20),IF($I27="",1,0.6),IF($I27=MID(T$1,3,20),0.4,0)))</f>
        <v>0.6</v>
      </c>
      <c r="U27" s="10" t="n">
        <f aca="false">IF($H27="숙박",0,IF(ISNUMBER(SEARCH("야경",$J27)),1,0))</f>
        <v>0</v>
      </c>
      <c r="V27" s="10" t="n">
        <f aca="false">IF($H27="숙박",0,1)</f>
        <v>1</v>
      </c>
    </row>
    <row r="28" customFormat="false" ht="15" hidden="false" customHeight="false" outlineLevel="0" collapsed="false">
      <c r="A28" s="8" t="n">
        <v>27</v>
      </c>
      <c r="B28" s="8" t="s">
        <v>45</v>
      </c>
      <c r="C28" s="8"/>
      <c r="D28" s="8" t="s">
        <v>135</v>
      </c>
      <c r="E28" s="7" t="s">
        <v>136</v>
      </c>
      <c r="F28" s="8" t="s">
        <v>48</v>
      </c>
      <c r="G28" s="8" t="s">
        <v>49</v>
      </c>
      <c r="H28" s="9" t="s">
        <v>50</v>
      </c>
      <c r="I28" s="9" t="s">
        <v>49</v>
      </c>
      <c r="J28" s="9" t="s">
        <v>51</v>
      </c>
      <c r="K28" s="9" t="s">
        <v>52</v>
      </c>
      <c r="L28" s="7" t="s">
        <v>53</v>
      </c>
      <c r="M28" s="8"/>
      <c r="N28" s="8" t="s">
        <v>54</v>
      </c>
      <c r="O28" s="8" t="s">
        <v>137</v>
      </c>
      <c r="P28" s="10" t="n">
        <f aca="false">IF($H28="숙박",0,IF($H28=MID(P$1,3,20),IF($I28="",1,0.6),IF($I28=MID(P$1,3,20),0.4,0)))</f>
        <v>0</v>
      </c>
      <c r="Q28" s="10" t="n">
        <f aca="false">IF($H28="숙박",0,IF($H28=MID(Q$1,3,20),IF($I28="",1,0.6),IF($I28=MID(Q$1,3,20),0.4,0)))</f>
        <v>0.4</v>
      </c>
      <c r="R28" s="10" t="n">
        <f aca="false">IF($H28="숙박",0,IF($H28=MID(R$1,3,20),IF($I28="",1,0.6),IF($I28=MID(R$1,3,20),0.4,0)))</f>
        <v>0</v>
      </c>
      <c r="S28" s="10" t="n">
        <f aca="false">IF($H28="숙박",0,IF($H28=MID(S$1,3,20),IF($I28="",1,0.6),IF($I28=MID(S$1,3,20),0.4,0)))</f>
        <v>0</v>
      </c>
      <c r="T28" s="10" t="n">
        <f aca="false">IF($H28="숙박",0,IF($H28=MID(T$1,3,20),IF($I28="",1,0.6),IF($I28=MID(T$1,3,20),0.4,0)))</f>
        <v>0.6</v>
      </c>
      <c r="U28" s="10" t="n">
        <f aca="false">IF($H28="숙박",0,IF(ISNUMBER(SEARCH("야경",$J28)),1,0))</f>
        <v>0</v>
      </c>
      <c r="V28" s="10" t="n">
        <f aca="false">IF($H28="숙박",0,1)</f>
        <v>1</v>
      </c>
    </row>
    <row r="29" customFormat="false" ht="15" hidden="false" customHeight="false" outlineLevel="0" collapsed="false">
      <c r="A29" s="8" t="n">
        <v>28</v>
      </c>
      <c r="B29" s="8" t="s">
        <v>56</v>
      </c>
      <c r="C29" s="8"/>
      <c r="D29" s="8" t="s">
        <v>138</v>
      </c>
      <c r="E29" s="7" t="s">
        <v>139</v>
      </c>
      <c r="F29" s="8" t="s">
        <v>59</v>
      </c>
      <c r="G29" s="8" t="s">
        <v>49</v>
      </c>
      <c r="H29" s="9" t="s">
        <v>50</v>
      </c>
      <c r="I29" s="9" t="s">
        <v>49</v>
      </c>
      <c r="J29" s="9" t="s">
        <v>51</v>
      </c>
      <c r="K29" s="9" t="s">
        <v>52</v>
      </c>
      <c r="L29" s="7" t="s">
        <v>53</v>
      </c>
      <c r="M29" s="8"/>
      <c r="N29" s="8" t="s">
        <v>54</v>
      </c>
      <c r="O29" s="8" t="s">
        <v>140</v>
      </c>
      <c r="P29" s="10" t="n">
        <f aca="false">IF($H29="숙박",0,IF($H29=MID(P$1,3,20),IF($I29="",1,0.6),IF($I29=MID(P$1,3,20),0.4,0)))</f>
        <v>0</v>
      </c>
      <c r="Q29" s="10" t="n">
        <f aca="false">IF($H29="숙박",0,IF($H29=MID(Q$1,3,20),IF($I29="",1,0.6),IF($I29=MID(Q$1,3,20),0.4,0)))</f>
        <v>0.4</v>
      </c>
      <c r="R29" s="10" t="n">
        <f aca="false">IF($H29="숙박",0,IF($H29=MID(R$1,3,20),IF($I29="",1,0.6),IF($I29=MID(R$1,3,20),0.4,0)))</f>
        <v>0</v>
      </c>
      <c r="S29" s="10" t="n">
        <f aca="false">IF($H29="숙박",0,IF($H29=MID(S$1,3,20),IF($I29="",1,0.6),IF($I29=MID(S$1,3,20),0.4,0)))</f>
        <v>0</v>
      </c>
      <c r="T29" s="10" t="n">
        <f aca="false">IF($H29="숙박",0,IF($H29=MID(T$1,3,20),IF($I29="",1,0.6),IF($I29=MID(T$1,3,20),0.4,0)))</f>
        <v>0.6</v>
      </c>
      <c r="U29" s="10" t="n">
        <f aca="false">IF($H29="숙박",0,IF(ISNUMBER(SEARCH("야경",$J29)),1,0))</f>
        <v>0</v>
      </c>
      <c r="V29" s="10" t="n">
        <f aca="false">IF($H29="숙박",0,1)</f>
        <v>1</v>
      </c>
    </row>
    <row r="30" customFormat="false" ht="15" hidden="false" customHeight="false" outlineLevel="0" collapsed="false">
      <c r="A30" s="8" t="n">
        <v>29</v>
      </c>
      <c r="B30" s="8" t="s">
        <v>45</v>
      </c>
      <c r="C30" s="8"/>
      <c r="D30" s="8" t="s">
        <v>141</v>
      </c>
      <c r="E30" s="7" t="s">
        <v>142</v>
      </c>
      <c r="F30" s="8" t="s">
        <v>59</v>
      </c>
      <c r="G30" s="8" t="s">
        <v>49</v>
      </c>
      <c r="H30" s="9" t="s">
        <v>50</v>
      </c>
      <c r="I30" s="9" t="s">
        <v>49</v>
      </c>
      <c r="J30" s="9" t="s">
        <v>51</v>
      </c>
      <c r="K30" s="9" t="s">
        <v>52</v>
      </c>
      <c r="L30" s="7" t="s">
        <v>53</v>
      </c>
      <c r="M30" s="8"/>
      <c r="N30" s="8" t="s">
        <v>54</v>
      </c>
      <c r="O30" s="8" t="s">
        <v>143</v>
      </c>
      <c r="P30" s="10" t="n">
        <f aca="false">IF($H30="숙박",0,IF($H30=MID(P$1,3,20),IF($I30="",1,0.6),IF($I30=MID(P$1,3,20),0.4,0)))</f>
        <v>0</v>
      </c>
      <c r="Q30" s="10" t="n">
        <f aca="false">IF($H30="숙박",0,IF($H30=MID(Q$1,3,20),IF($I30="",1,0.6),IF($I30=MID(Q$1,3,20),0.4,0)))</f>
        <v>0.4</v>
      </c>
      <c r="R30" s="10" t="n">
        <f aca="false">IF($H30="숙박",0,IF($H30=MID(R$1,3,20),IF($I30="",1,0.6),IF($I30=MID(R$1,3,20),0.4,0)))</f>
        <v>0</v>
      </c>
      <c r="S30" s="10" t="n">
        <f aca="false">IF($H30="숙박",0,IF($H30=MID(S$1,3,20),IF($I30="",1,0.6),IF($I30=MID(S$1,3,20),0.4,0)))</f>
        <v>0</v>
      </c>
      <c r="T30" s="10" t="n">
        <f aca="false">IF($H30="숙박",0,IF($H30=MID(T$1,3,20),IF($I30="",1,0.6),IF($I30=MID(T$1,3,20),0.4,0)))</f>
        <v>0.6</v>
      </c>
      <c r="U30" s="10" t="n">
        <f aca="false">IF($H30="숙박",0,IF(ISNUMBER(SEARCH("야경",$J30)),1,0))</f>
        <v>0</v>
      </c>
      <c r="V30" s="10" t="n">
        <f aca="false">IF($H30="숙박",0,1)</f>
        <v>1</v>
      </c>
    </row>
    <row r="31" customFormat="false" ht="15" hidden="false" customHeight="false" outlineLevel="0" collapsed="false">
      <c r="A31" s="8" t="n">
        <v>30</v>
      </c>
      <c r="B31" s="8" t="s">
        <v>45</v>
      </c>
      <c r="C31" s="8"/>
      <c r="D31" s="8" t="s">
        <v>144</v>
      </c>
      <c r="E31" s="7" t="s">
        <v>145</v>
      </c>
      <c r="F31" s="8" t="s">
        <v>48</v>
      </c>
      <c r="G31" s="8" t="s">
        <v>49</v>
      </c>
      <c r="H31" s="9" t="s">
        <v>50</v>
      </c>
      <c r="I31" s="9" t="s">
        <v>49</v>
      </c>
      <c r="J31" s="9" t="s">
        <v>51</v>
      </c>
      <c r="K31" s="9" t="s">
        <v>52</v>
      </c>
      <c r="L31" s="7" t="s">
        <v>53</v>
      </c>
      <c r="M31" s="8"/>
      <c r="N31" s="8" t="s">
        <v>54</v>
      </c>
      <c r="O31" s="8" t="s">
        <v>146</v>
      </c>
      <c r="P31" s="10" t="n">
        <f aca="false">IF($H31="숙박",0,IF($H31=MID(P$1,3,20),IF($I31="",1,0.6),IF($I31=MID(P$1,3,20),0.4,0)))</f>
        <v>0</v>
      </c>
      <c r="Q31" s="10" t="n">
        <f aca="false">IF($H31="숙박",0,IF($H31=MID(Q$1,3,20),IF($I31="",1,0.6),IF($I31=MID(Q$1,3,20),0.4,0)))</f>
        <v>0.4</v>
      </c>
      <c r="R31" s="10" t="n">
        <f aca="false">IF($H31="숙박",0,IF($H31=MID(R$1,3,20),IF($I31="",1,0.6),IF($I31=MID(R$1,3,20),0.4,0)))</f>
        <v>0</v>
      </c>
      <c r="S31" s="10" t="n">
        <f aca="false">IF($H31="숙박",0,IF($H31=MID(S$1,3,20),IF($I31="",1,0.6),IF($I31=MID(S$1,3,20),0.4,0)))</f>
        <v>0</v>
      </c>
      <c r="T31" s="10" t="n">
        <f aca="false">IF($H31="숙박",0,IF($H31=MID(T$1,3,20),IF($I31="",1,0.6),IF($I31=MID(T$1,3,20),0.4,0)))</f>
        <v>0.6</v>
      </c>
      <c r="U31" s="10" t="n">
        <f aca="false">IF($H31="숙박",0,IF(ISNUMBER(SEARCH("야경",$J31)),1,0))</f>
        <v>0</v>
      </c>
      <c r="V31" s="10" t="n">
        <f aca="false">IF($H31="숙박",0,1)</f>
        <v>1</v>
      </c>
    </row>
    <row r="32" customFormat="false" ht="15" hidden="false" customHeight="false" outlineLevel="0" collapsed="false">
      <c r="A32" s="8" t="n">
        <v>31</v>
      </c>
      <c r="B32" s="8" t="s">
        <v>45</v>
      </c>
      <c r="C32" s="8"/>
      <c r="D32" s="8" t="s">
        <v>147</v>
      </c>
      <c r="E32" s="7" t="s">
        <v>148</v>
      </c>
      <c r="F32" s="8" t="s">
        <v>48</v>
      </c>
      <c r="G32" s="8" t="s">
        <v>49</v>
      </c>
      <c r="H32" s="9" t="s">
        <v>50</v>
      </c>
      <c r="I32" s="9" t="s">
        <v>49</v>
      </c>
      <c r="J32" s="9" t="s">
        <v>51</v>
      </c>
      <c r="K32" s="9" t="s">
        <v>52</v>
      </c>
      <c r="L32" s="7" t="s">
        <v>53</v>
      </c>
      <c r="M32" s="8"/>
      <c r="N32" s="8" t="s">
        <v>54</v>
      </c>
      <c r="O32" s="8" t="s">
        <v>149</v>
      </c>
      <c r="P32" s="10" t="n">
        <f aca="false">IF($H32="숙박",0,IF($H32=MID(P$1,3,20),IF($I32="",1,0.6),IF($I32=MID(P$1,3,20),0.4,0)))</f>
        <v>0</v>
      </c>
      <c r="Q32" s="10" t="n">
        <f aca="false">IF($H32="숙박",0,IF($H32=MID(Q$1,3,20),IF($I32="",1,0.6),IF($I32=MID(Q$1,3,20),0.4,0)))</f>
        <v>0.4</v>
      </c>
      <c r="R32" s="10" t="n">
        <f aca="false">IF($H32="숙박",0,IF($H32=MID(R$1,3,20),IF($I32="",1,0.6),IF($I32=MID(R$1,3,20),0.4,0)))</f>
        <v>0</v>
      </c>
      <c r="S32" s="10" t="n">
        <f aca="false">IF($H32="숙박",0,IF($H32=MID(S$1,3,20),IF($I32="",1,0.6),IF($I32=MID(S$1,3,20),0.4,0)))</f>
        <v>0</v>
      </c>
      <c r="T32" s="10" t="n">
        <f aca="false">IF($H32="숙박",0,IF($H32=MID(T$1,3,20),IF($I32="",1,0.6),IF($I32=MID(T$1,3,20),0.4,0)))</f>
        <v>0.6</v>
      </c>
      <c r="U32" s="10" t="n">
        <f aca="false">IF($H32="숙박",0,IF(ISNUMBER(SEARCH("야경",$J32)),1,0))</f>
        <v>0</v>
      </c>
      <c r="V32" s="10" t="n">
        <f aca="false">IF($H32="숙박",0,1)</f>
        <v>1</v>
      </c>
    </row>
    <row r="33" customFormat="false" ht="15" hidden="false" customHeight="false" outlineLevel="0" collapsed="false">
      <c r="A33" s="8" t="n">
        <v>32</v>
      </c>
      <c r="B33" s="8" t="s">
        <v>45</v>
      </c>
      <c r="C33" s="8"/>
      <c r="D33" s="8" t="s">
        <v>150</v>
      </c>
      <c r="E33" s="7" t="s">
        <v>151</v>
      </c>
      <c r="F33" s="8" t="s">
        <v>48</v>
      </c>
      <c r="G33" s="8" t="s">
        <v>49</v>
      </c>
      <c r="H33" s="9" t="s">
        <v>50</v>
      </c>
      <c r="I33" s="9" t="s">
        <v>49</v>
      </c>
      <c r="J33" s="9" t="s">
        <v>51</v>
      </c>
      <c r="K33" s="9" t="s">
        <v>52</v>
      </c>
      <c r="L33" s="7" t="s">
        <v>53</v>
      </c>
      <c r="M33" s="8"/>
      <c r="N33" s="8" t="s">
        <v>54</v>
      </c>
      <c r="O33" s="8" t="s">
        <v>152</v>
      </c>
      <c r="P33" s="10" t="n">
        <f aca="false">IF($H33="숙박",0,IF($H33=MID(P$1,3,20),IF($I33="",1,0.6),IF($I33=MID(P$1,3,20),0.4,0)))</f>
        <v>0</v>
      </c>
      <c r="Q33" s="10" t="n">
        <f aca="false">IF($H33="숙박",0,IF($H33=MID(Q$1,3,20),IF($I33="",1,0.6),IF($I33=MID(Q$1,3,20),0.4,0)))</f>
        <v>0.4</v>
      </c>
      <c r="R33" s="10" t="n">
        <f aca="false">IF($H33="숙박",0,IF($H33=MID(R$1,3,20),IF($I33="",1,0.6),IF($I33=MID(R$1,3,20),0.4,0)))</f>
        <v>0</v>
      </c>
      <c r="S33" s="10" t="n">
        <f aca="false">IF($H33="숙박",0,IF($H33=MID(S$1,3,20),IF($I33="",1,0.6),IF($I33=MID(S$1,3,20),0.4,0)))</f>
        <v>0</v>
      </c>
      <c r="T33" s="10" t="n">
        <f aca="false">IF($H33="숙박",0,IF($H33=MID(T$1,3,20),IF($I33="",1,0.6),IF($I33=MID(T$1,3,20),0.4,0)))</f>
        <v>0.6</v>
      </c>
      <c r="U33" s="10" t="n">
        <f aca="false">IF($H33="숙박",0,IF(ISNUMBER(SEARCH("야경",$J33)),1,0))</f>
        <v>0</v>
      </c>
      <c r="V33" s="10" t="n">
        <f aca="false">IF($H33="숙박",0,1)</f>
        <v>1</v>
      </c>
    </row>
    <row r="34" customFormat="false" ht="15" hidden="false" customHeight="false" outlineLevel="0" collapsed="false">
      <c r="A34" s="8" t="n">
        <v>33</v>
      </c>
      <c r="B34" s="8" t="s">
        <v>62</v>
      </c>
      <c r="C34" s="8"/>
      <c r="D34" s="8" t="s">
        <v>153</v>
      </c>
      <c r="E34" s="7" t="s">
        <v>154</v>
      </c>
      <c r="F34" s="8" t="s">
        <v>48</v>
      </c>
      <c r="G34" s="8" t="s">
        <v>49</v>
      </c>
      <c r="H34" s="9" t="s">
        <v>50</v>
      </c>
      <c r="I34" s="9" t="s">
        <v>49</v>
      </c>
      <c r="J34" s="9" t="s">
        <v>51</v>
      </c>
      <c r="K34" s="9" t="s">
        <v>52</v>
      </c>
      <c r="L34" s="7" t="s">
        <v>53</v>
      </c>
      <c r="M34" s="8"/>
      <c r="N34" s="8" t="s">
        <v>54</v>
      </c>
      <c r="O34" s="8" t="s">
        <v>155</v>
      </c>
      <c r="P34" s="10" t="n">
        <f aca="false">IF($H34="숙박",0,IF($H34=MID(P$1,3,20),IF($I34="",1,0.6),IF($I34=MID(P$1,3,20),0.4,0)))</f>
        <v>0</v>
      </c>
      <c r="Q34" s="10" t="n">
        <f aca="false">IF($H34="숙박",0,IF($H34=MID(Q$1,3,20),IF($I34="",1,0.6),IF($I34=MID(Q$1,3,20),0.4,0)))</f>
        <v>0.4</v>
      </c>
      <c r="R34" s="10" t="n">
        <f aca="false">IF($H34="숙박",0,IF($H34=MID(R$1,3,20),IF($I34="",1,0.6),IF($I34=MID(R$1,3,20),0.4,0)))</f>
        <v>0</v>
      </c>
      <c r="S34" s="10" t="n">
        <f aca="false">IF($H34="숙박",0,IF($H34=MID(S$1,3,20),IF($I34="",1,0.6),IF($I34=MID(S$1,3,20),0.4,0)))</f>
        <v>0</v>
      </c>
      <c r="T34" s="10" t="n">
        <f aca="false">IF($H34="숙박",0,IF($H34=MID(T$1,3,20),IF($I34="",1,0.6),IF($I34=MID(T$1,3,20),0.4,0)))</f>
        <v>0.6</v>
      </c>
      <c r="U34" s="10" t="n">
        <f aca="false">IF($H34="숙박",0,IF(ISNUMBER(SEARCH("야경",$J34)),1,0))</f>
        <v>0</v>
      </c>
      <c r="V34" s="10" t="n">
        <f aca="false">IF($H34="숙박",0,1)</f>
        <v>1</v>
      </c>
    </row>
    <row r="35" customFormat="false" ht="15" hidden="false" customHeight="false" outlineLevel="0" collapsed="false">
      <c r="A35" s="8" t="n">
        <v>34</v>
      </c>
      <c r="B35" s="8" t="s">
        <v>56</v>
      </c>
      <c r="C35" s="8"/>
      <c r="D35" s="8" t="s">
        <v>156</v>
      </c>
      <c r="E35" s="7" t="s">
        <v>157</v>
      </c>
      <c r="F35" s="8" t="s">
        <v>59</v>
      </c>
      <c r="G35" s="8" t="s">
        <v>49</v>
      </c>
      <c r="H35" s="9" t="s">
        <v>50</v>
      </c>
      <c r="I35" s="9" t="s">
        <v>49</v>
      </c>
      <c r="J35" s="9" t="s">
        <v>51</v>
      </c>
      <c r="K35" s="9" t="s">
        <v>52</v>
      </c>
      <c r="L35" s="7" t="s">
        <v>53</v>
      </c>
      <c r="M35" s="8"/>
      <c r="N35" s="8" t="s">
        <v>54</v>
      </c>
      <c r="O35" s="7" t="s">
        <v>158</v>
      </c>
      <c r="P35" s="10" t="n">
        <f aca="false">IF($H35="숙박",0,IF($H35=MID(P$1,3,20),IF($I35="",1,0.6),IF($I35=MID(P$1,3,20),0.4,0)))</f>
        <v>0</v>
      </c>
      <c r="Q35" s="10" t="n">
        <f aca="false">IF($H35="숙박",0,IF($H35=MID(Q$1,3,20),IF($I35="",1,0.6),IF($I35=MID(Q$1,3,20),0.4,0)))</f>
        <v>0.4</v>
      </c>
      <c r="R35" s="10" t="n">
        <f aca="false">IF($H35="숙박",0,IF($H35=MID(R$1,3,20),IF($I35="",1,0.6),IF($I35=MID(R$1,3,20),0.4,0)))</f>
        <v>0</v>
      </c>
      <c r="S35" s="10" t="n">
        <f aca="false">IF($H35="숙박",0,IF($H35=MID(S$1,3,20),IF($I35="",1,0.6),IF($I35=MID(S$1,3,20),0.4,0)))</f>
        <v>0</v>
      </c>
      <c r="T35" s="10" t="n">
        <f aca="false">IF($H35="숙박",0,IF($H35=MID(T$1,3,20),IF($I35="",1,0.6),IF($I35=MID(T$1,3,20),0.4,0)))</f>
        <v>0.6</v>
      </c>
      <c r="U35" s="10" t="n">
        <f aca="false">IF($H35="숙박",0,IF(ISNUMBER(SEARCH("야경",$J35)),1,0))</f>
        <v>0</v>
      </c>
      <c r="V35" s="10" t="n">
        <f aca="false">IF($H35="숙박",0,1)</f>
        <v>1</v>
      </c>
    </row>
    <row r="36" customFormat="false" ht="15" hidden="false" customHeight="false" outlineLevel="0" collapsed="false">
      <c r="A36" s="8" t="n">
        <v>35</v>
      </c>
      <c r="B36" s="8" t="s">
        <v>62</v>
      </c>
      <c r="C36" s="8"/>
      <c r="D36" s="8" t="s">
        <v>159</v>
      </c>
      <c r="E36" s="7" t="s">
        <v>160</v>
      </c>
      <c r="F36" s="8" t="s">
        <v>48</v>
      </c>
      <c r="G36" s="8" t="s">
        <v>49</v>
      </c>
      <c r="H36" s="9" t="s">
        <v>50</v>
      </c>
      <c r="I36" s="9" t="s">
        <v>49</v>
      </c>
      <c r="J36" s="9" t="s">
        <v>51</v>
      </c>
      <c r="K36" s="9" t="s">
        <v>52</v>
      </c>
      <c r="L36" s="7" t="s">
        <v>53</v>
      </c>
      <c r="M36" s="8"/>
      <c r="N36" s="8" t="s">
        <v>54</v>
      </c>
      <c r="O36" s="8" t="s">
        <v>161</v>
      </c>
      <c r="P36" s="10" t="n">
        <f aca="false">IF($H36="숙박",0,IF($H36=MID(P$1,3,20),IF($I36="",1,0.6),IF($I36=MID(P$1,3,20),0.4,0)))</f>
        <v>0</v>
      </c>
      <c r="Q36" s="10" t="n">
        <f aca="false">IF($H36="숙박",0,IF($H36=MID(Q$1,3,20),IF($I36="",1,0.6),IF($I36=MID(Q$1,3,20),0.4,0)))</f>
        <v>0.4</v>
      </c>
      <c r="R36" s="10" t="n">
        <f aca="false">IF($H36="숙박",0,IF($H36=MID(R$1,3,20),IF($I36="",1,0.6),IF($I36=MID(R$1,3,20),0.4,0)))</f>
        <v>0</v>
      </c>
      <c r="S36" s="10" t="n">
        <f aca="false">IF($H36="숙박",0,IF($H36=MID(S$1,3,20),IF($I36="",1,0.6),IF($I36=MID(S$1,3,20),0.4,0)))</f>
        <v>0</v>
      </c>
      <c r="T36" s="10" t="n">
        <f aca="false">IF($H36="숙박",0,IF($H36=MID(T$1,3,20),IF($I36="",1,0.6),IF($I36=MID(T$1,3,20),0.4,0)))</f>
        <v>0.6</v>
      </c>
      <c r="U36" s="10" t="n">
        <f aca="false">IF($H36="숙박",0,IF(ISNUMBER(SEARCH("야경",$J36)),1,0))</f>
        <v>0</v>
      </c>
      <c r="V36" s="10" t="n">
        <f aca="false">IF($H36="숙박",0,1)</f>
        <v>1</v>
      </c>
    </row>
    <row r="37" customFormat="false" ht="15" hidden="false" customHeight="false" outlineLevel="0" collapsed="false">
      <c r="A37" s="8" t="n">
        <v>36</v>
      </c>
      <c r="B37" s="8" t="s">
        <v>45</v>
      </c>
      <c r="C37" s="8"/>
      <c r="D37" s="8" t="s">
        <v>162</v>
      </c>
      <c r="E37" s="7" t="s">
        <v>163</v>
      </c>
      <c r="F37" s="8" t="s">
        <v>59</v>
      </c>
      <c r="G37" s="8" t="s">
        <v>49</v>
      </c>
      <c r="H37" s="9" t="s">
        <v>50</v>
      </c>
      <c r="I37" s="9" t="s">
        <v>49</v>
      </c>
      <c r="J37" s="9" t="s">
        <v>51</v>
      </c>
      <c r="K37" s="9" t="s">
        <v>52</v>
      </c>
      <c r="L37" s="7" t="s">
        <v>53</v>
      </c>
      <c r="M37" s="8"/>
      <c r="N37" s="8" t="s">
        <v>54</v>
      </c>
      <c r="O37" s="8" t="s">
        <v>164</v>
      </c>
      <c r="P37" s="10" t="n">
        <f aca="false">IF($H37="숙박",0,IF($H37=MID(P$1,3,20),IF($I37="",1,0.6),IF($I37=MID(P$1,3,20),0.4,0)))</f>
        <v>0</v>
      </c>
      <c r="Q37" s="10" t="n">
        <f aca="false">IF($H37="숙박",0,IF($H37=MID(Q$1,3,20),IF($I37="",1,0.6),IF($I37=MID(Q$1,3,20),0.4,0)))</f>
        <v>0.4</v>
      </c>
      <c r="R37" s="10" t="n">
        <f aca="false">IF($H37="숙박",0,IF($H37=MID(R$1,3,20),IF($I37="",1,0.6),IF($I37=MID(R$1,3,20),0.4,0)))</f>
        <v>0</v>
      </c>
      <c r="S37" s="10" t="n">
        <f aca="false">IF($H37="숙박",0,IF($H37=MID(S$1,3,20),IF($I37="",1,0.6),IF($I37=MID(S$1,3,20),0.4,0)))</f>
        <v>0</v>
      </c>
      <c r="T37" s="10" t="n">
        <f aca="false">IF($H37="숙박",0,IF($H37=MID(T$1,3,20),IF($I37="",1,0.6),IF($I37=MID(T$1,3,20),0.4,0)))</f>
        <v>0.6</v>
      </c>
      <c r="U37" s="10" t="n">
        <f aca="false">IF($H37="숙박",0,IF(ISNUMBER(SEARCH("야경",$J37)),1,0))</f>
        <v>0</v>
      </c>
      <c r="V37" s="10" t="n">
        <f aca="false">IF($H37="숙박",0,1)</f>
        <v>1</v>
      </c>
    </row>
    <row r="38" customFormat="false" ht="15" hidden="false" customHeight="false" outlineLevel="0" collapsed="false">
      <c r="A38" s="8" t="n">
        <v>37</v>
      </c>
      <c r="B38" s="8" t="s">
        <v>45</v>
      </c>
      <c r="C38" s="8" t="s">
        <v>165</v>
      </c>
      <c r="D38" s="8" t="s">
        <v>166</v>
      </c>
      <c r="E38" s="7" t="s">
        <v>167</v>
      </c>
      <c r="F38" s="8"/>
      <c r="G38" s="8" t="s">
        <v>49</v>
      </c>
      <c r="H38" s="9" t="s">
        <v>50</v>
      </c>
      <c r="I38" s="9" t="s">
        <v>49</v>
      </c>
      <c r="J38" s="9" t="s">
        <v>168</v>
      </c>
      <c r="K38" s="9" t="s">
        <v>52</v>
      </c>
      <c r="L38" s="7" t="s">
        <v>53</v>
      </c>
      <c r="M38" s="8"/>
      <c r="N38" s="8" t="s">
        <v>54</v>
      </c>
      <c r="O38" s="8" t="s">
        <v>169</v>
      </c>
      <c r="P38" s="10" t="n">
        <f aca="false">IF($H38="숙박",0,IF($H38=MID(P$1,3,20),IF($I38="",1,0.6),IF($I38=MID(P$1,3,20),0.4,0)))</f>
        <v>0</v>
      </c>
      <c r="Q38" s="10" t="n">
        <f aca="false">IF($H38="숙박",0,IF($H38=MID(Q$1,3,20),IF($I38="",1,0.6),IF($I38=MID(Q$1,3,20),0.4,0)))</f>
        <v>0.4</v>
      </c>
      <c r="R38" s="10" t="n">
        <f aca="false">IF($H38="숙박",0,IF($H38=MID(R$1,3,20),IF($I38="",1,0.6),IF($I38=MID(R$1,3,20),0.4,0)))</f>
        <v>0</v>
      </c>
      <c r="S38" s="10" t="n">
        <f aca="false">IF($H38="숙박",0,IF($H38=MID(S$1,3,20),IF($I38="",1,0.6),IF($I38=MID(S$1,3,20),0.4,0)))</f>
        <v>0</v>
      </c>
      <c r="T38" s="10" t="n">
        <f aca="false">IF($H38="숙박",0,IF($H38=MID(T$1,3,20),IF($I38="",1,0.6),IF($I38=MID(T$1,3,20),0.4,0)))</f>
        <v>0.6</v>
      </c>
      <c r="U38" s="10" t="n">
        <f aca="false">IF($H38="숙박",0,IF(ISNUMBER(SEARCH("야경",$J38)),1,0))</f>
        <v>0</v>
      </c>
      <c r="V38" s="10" t="n">
        <f aca="false">IF($H38="숙박",0,1)</f>
        <v>1</v>
      </c>
    </row>
    <row r="39" customFormat="false" ht="15" hidden="false" customHeight="false" outlineLevel="0" collapsed="false">
      <c r="A39" s="8" t="n">
        <v>38</v>
      </c>
      <c r="B39" s="8" t="s">
        <v>45</v>
      </c>
      <c r="C39" s="8" t="s">
        <v>170</v>
      </c>
      <c r="D39" s="8" t="s">
        <v>171</v>
      </c>
      <c r="E39" s="7" t="s">
        <v>172</v>
      </c>
      <c r="F39" s="8"/>
      <c r="G39" s="8" t="s">
        <v>49</v>
      </c>
      <c r="H39" s="9" t="s">
        <v>50</v>
      </c>
      <c r="I39" s="9" t="s">
        <v>49</v>
      </c>
      <c r="J39" s="9" t="s">
        <v>168</v>
      </c>
      <c r="K39" s="9" t="s">
        <v>52</v>
      </c>
      <c r="L39" s="7" t="s">
        <v>53</v>
      </c>
      <c r="M39" s="8"/>
      <c r="N39" s="8" t="s">
        <v>54</v>
      </c>
      <c r="O39" s="8" t="s">
        <v>173</v>
      </c>
      <c r="P39" s="10" t="n">
        <f aca="false">IF($H39="숙박",0,IF($H39=MID(P$1,3,20),IF($I39="",1,0.6),IF($I39=MID(P$1,3,20),0.4,0)))</f>
        <v>0</v>
      </c>
      <c r="Q39" s="10" t="n">
        <f aca="false">IF($H39="숙박",0,IF($H39=MID(Q$1,3,20),IF($I39="",1,0.6),IF($I39=MID(Q$1,3,20),0.4,0)))</f>
        <v>0.4</v>
      </c>
      <c r="R39" s="10" t="n">
        <f aca="false">IF($H39="숙박",0,IF($H39=MID(R$1,3,20),IF($I39="",1,0.6),IF($I39=MID(R$1,3,20),0.4,0)))</f>
        <v>0</v>
      </c>
      <c r="S39" s="10" t="n">
        <f aca="false">IF($H39="숙박",0,IF($H39=MID(S$1,3,20),IF($I39="",1,0.6),IF($I39=MID(S$1,3,20),0.4,0)))</f>
        <v>0</v>
      </c>
      <c r="T39" s="10" t="n">
        <f aca="false">IF($H39="숙박",0,IF($H39=MID(T$1,3,20),IF($I39="",1,0.6),IF($I39=MID(T$1,3,20),0.4,0)))</f>
        <v>0.6</v>
      </c>
      <c r="U39" s="10" t="n">
        <f aca="false">IF($H39="숙박",0,IF(ISNUMBER(SEARCH("야경",$J39)),1,0))</f>
        <v>0</v>
      </c>
      <c r="V39" s="10" t="n">
        <f aca="false">IF($H39="숙박",0,1)</f>
        <v>1</v>
      </c>
    </row>
    <row r="40" customFormat="false" ht="15" hidden="false" customHeight="false" outlineLevel="0" collapsed="false">
      <c r="A40" s="8" t="n">
        <v>39</v>
      </c>
      <c r="B40" s="8" t="s">
        <v>45</v>
      </c>
      <c r="C40" s="8" t="s">
        <v>174</v>
      </c>
      <c r="D40" s="8" t="s">
        <v>175</v>
      </c>
      <c r="E40" s="7" t="s">
        <v>176</v>
      </c>
      <c r="F40" s="8"/>
      <c r="G40" s="8" t="s">
        <v>49</v>
      </c>
      <c r="H40" s="9" t="s">
        <v>50</v>
      </c>
      <c r="I40" s="9" t="s">
        <v>49</v>
      </c>
      <c r="J40" s="9" t="s">
        <v>168</v>
      </c>
      <c r="K40" s="9" t="s">
        <v>52</v>
      </c>
      <c r="L40" s="7" t="s">
        <v>53</v>
      </c>
      <c r="M40" s="8"/>
      <c r="N40" s="8" t="s">
        <v>54</v>
      </c>
      <c r="O40" s="8" t="s">
        <v>177</v>
      </c>
      <c r="P40" s="10" t="n">
        <f aca="false">IF($H40="숙박",0,IF($H40=MID(P$1,3,20),IF($I40="",1,0.6),IF($I40=MID(P$1,3,20),0.4,0)))</f>
        <v>0</v>
      </c>
      <c r="Q40" s="10" t="n">
        <f aca="false">IF($H40="숙박",0,IF($H40=MID(Q$1,3,20),IF($I40="",1,0.6),IF($I40=MID(Q$1,3,20),0.4,0)))</f>
        <v>0.4</v>
      </c>
      <c r="R40" s="10" t="n">
        <f aca="false">IF($H40="숙박",0,IF($H40=MID(R$1,3,20),IF($I40="",1,0.6),IF($I40=MID(R$1,3,20),0.4,0)))</f>
        <v>0</v>
      </c>
      <c r="S40" s="10" t="n">
        <f aca="false">IF($H40="숙박",0,IF($H40=MID(S$1,3,20),IF($I40="",1,0.6),IF($I40=MID(S$1,3,20),0.4,0)))</f>
        <v>0</v>
      </c>
      <c r="T40" s="10" t="n">
        <f aca="false">IF($H40="숙박",0,IF($H40=MID(T$1,3,20),IF($I40="",1,0.6),IF($I40=MID(T$1,3,20),0.4,0)))</f>
        <v>0.6</v>
      </c>
      <c r="U40" s="10" t="n">
        <f aca="false">IF($H40="숙박",0,IF(ISNUMBER(SEARCH("야경",$J40)),1,0))</f>
        <v>0</v>
      </c>
      <c r="V40" s="10" t="n">
        <f aca="false">IF($H40="숙박",0,1)</f>
        <v>1</v>
      </c>
    </row>
    <row r="41" customFormat="false" ht="15" hidden="false" customHeight="false" outlineLevel="0" collapsed="false">
      <c r="A41" s="8" t="n">
        <v>40</v>
      </c>
      <c r="B41" s="8" t="s">
        <v>45</v>
      </c>
      <c r="C41" s="8" t="s">
        <v>178</v>
      </c>
      <c r="D41" s="8" t="s">
        <v>179</v>
      </c>
      <c r="E41" s="7" t="s">
        <v>180</v>
      </c>
      <c r="F41" s="8"/>
      <c r="G41" s="8" t="s">
        <v>49</v>
      </c>
      <c r="H41" s="9" t="s">
        <v>50</v>
      </c>
      <c r="I41" s="9" t="s">
        <v>49</v>
      </c>
      <c r="J41" s="9" t="s">
        <v>168</v>
      </c>
      <c r="K41" s="9" t="s">
        <v>52</v>
      </c>
      <c r="L41" s="7" t="s">
        <v>53</v>
      </c>
      <c r="M41" s="8"/>
      <c r="N41" s="8" t="s">
        <v>54</v>
      </c>
      <c r="O41" s="8" t="s">
        <v>181</v>
      </c>
      <c r="P41" s="10" t="n">
        <f aca="false">IF($H41="숙박",0,IF($H41=MID(P$1,3,20),IF($I41="",1,0.6),IF($I41=MID(P$1,3,20),0.4,0)))</f>
        <v>0</v>
      </c>
      <c r="Q41" s="10" t="n">
        <f aca="false">IF($H41="숙박",0,IF($H41=MID(Q$1,3,20),IF($I41="",1,0.6),IF($I41=MID(Q$1,3,20),0.4,0)))</f>
        <v>0.4</v>
      </c>
      <c r="R41" s="10" t="n">
        <f aca="false">IF($H41="숙박",0,IF($H41=MID(R$1,3,20),IF($I41="",1,0.6),IF($I41=MID(R$1,3,20),0.4,0)))</f>
        <v>0</v>
      </c>
      <c r="S41" s="10" t="n">
        <f aca="false">IF($H41="숙박",0,IF($H41=MID(S$1,3,20),IF($I41="",1,0.6),IF($I41=MID(S$1,3,20),0.4,0)))</f>
        <v>0</v>
      </c>
      <c r="T41" s="10" t="n">
        <f aca="false">IF($H41="숙박",0,IF($H41=MID(T$1,3,20),IF($I41="",1,0.6),IF($I41=MID(T$1,3,20),0.4,0)))</f>
        <v>0.6</v>
      </c>
      <c r="U41" s="10" t="n">
        <f aca="false">IF($H41="숙박",0,IF(ISNUMBER(SEARCH("야경",$J41)),1,0))</f>
        <v>0</v>
      </c>
      <c r="V41" s="10" t="n">
        <f aca="false">IF($H41="숙박",0,1)</f>
        <v>1</v>
      </c>
    </row>
    <row r="42" customFormat="false" ht="15" hidden="false" customHeight="false" outlineLevel="0" collapsed="false">
      <c r="A42" s="8" t="n">
        <v>41</v>
      </c>
      <c r="B42" s="8" t="s">
        <v>45</v>
      </c>
      <c r="C42" s="8"/>
      <c r="D42" s="8" t="s">
        <v>182</v>
      </c>
      <c r="E42" s="7" t="s">
        <v>183</v>
      </c>
      <c r="F42" s="8" t="s">
        <v>48</v>
      </c>
      <c r="G42" s="8" t="s">
        <v>184</v>
      </c>
      <c r="H42" s="9" t="s">
        <v>184</v>
      </c>
      <c r="I42" s="9" t="s">
        <v>50</v>
      </c>
      <c r="J42" s="9" t="s">
        <v>51</v>
      </c>
      <c r="K42" s="9" t="s">
        <v>52</v>
      </c>
      <c r="L42" s="8"/>
      <c r="M42" s="7" t="s">
        <v>53</v>
      </c>
      <c r="N42" s="8" t="s">
        <v>185</v>
      </c>
      <c r="O42" s="8" t="s">
        <v>186</v>
      </c>
      <c r="P42" s="10" t="n">
        <f aca="false">IF($H42="숙박",0,IF($H42=MID(P$1,3,20),IF($I42="",1,0.6),IF($I42=MID(P$1,3,20),0.4,0)))</f>
        <v>0</v>
      </c>
      <c r="Q42" s="10" t="n">
        <f aca="false">IF($H42="숙박",0,IF($H42=MID(Q$1,3,20),IF($I42="",1,0.6),IF($I42=MID(Q$1,3,20),0.4,0)))</f>
        <v>0</v>
      </c>
      <c r="R42" s="10" t="n">
        <f aca="false">IF($H42="숙박",0,IF($H42=MID(R$1,3,20),IF($I42="",1,0.6),IF($I42=MID(R$1,3,20),0.4,0)))</f>
        <v>0.6</v>
      </c>
      <c r="S42" s="10" t="n">
        <f aca="false">IF($H42="숙박",0,IF($H42=MID(S$1,3,20),IF($I42="",1,0.6),IF($I42=MID(S$1,3,20),0.4,0)))</f>
        <v>0</v>
      </c>
      <c r="T42" s="10" t="n">
        <f aca="false">IF($H42="숙박",0,IF($H42=MID(T$1,3,20),IF($I42="",1,0.6),IF($I42=MID(T$1,3,20),0.4,0)))</f>
        <v>0.4</v>
      </c>
      <c r="U42" s="10" t="n">
        <f aca="false">IF($H42="숙박",0,IF(ISNUMBER(SEARCH("야경",$J42)),1,0))</f>
        <v>0</v>
      </c>
      <c r="V42" s="10" t="n">
        <f aca="false">IF($H42="숙박",0,1)</f>
        <v>1</v>
      </c>
    </row>
    <row r="43" customFormat="false" ht="15" hidden="false" customHeight="false" outlineLevel="0" collapsed="false">
      <c r="A43" s="8" t="n">
        <v>42</v>
      </c>
      <c r="B43" s="8" t="s">
        <v>45</v>
      </c>
      <c r="C43" s="8"/>
      <c r="D43" s="8" t="s">
        <v>187</v>
      </c>
      <c r="E43" s="7" t="s">
        <v>188</v>
      </c>
      <c r="F43" s="7" t="s">
        <v>189</v>
      </c>
      <c r="G43" s="8" t="s">
        <v>190</v>
      </c>
      <c r="H43" s="9" t="s">
        <v>190</v>
      </c>
      <c r="I43" s="9" t="s">
        <v>50</v>
      </c>
      <c r="J43" s="9" t="s">
        <v>51</v>
      </c>
      <c r="K43" s="9" t="s">
        <v>191</v>
      </c>
      <c r="L43" s="8"/>
      <c r="M43" s="7" t="s">
        <v>53</v>
      </c>
      <c r="N43" s="8" t="s">
        <v>185</v>
      </c>
      <c r="O43" s="8" t="s">
        <v>192</v>
      </c>
      <c r="P43" s="10" t="n">
        <f aca="false">IF($H43="숙박",0,IF($H43=MID(P$1,3,20),IF($I43="",1,0.6),IF($I43=MID(P$1,3,20),0.4,0)))</f>
        <v>0.6</v>
      </c>
      <c r="Q43" s="10" t="n">
        <f aca="false">IF($H43="숙박",0,IF($H43=MID(Q$1,3,20),IF($I43="",1,0.6),IF($I43=MID(Q$1,3,20),0.4,0)))</f>
        <v>0</v>
      </c>
      <c r="R43" s="10" t="n">
        <f aca="false">IF($H43="숙박",0,IF($H43=MID(R$1,3,20),IF($I43="",1,0.6),IF($I43=MID(R$1,3,20),0.4,0)))</f>
        <v>0</v>
      </c>
      <c r="S43" s="10" t="n">
        <f aca="false">IF($H43="숙박",0,IF($H43=MID(S$1,3,20),IF($I43="",1,0.6),IF($I43=MID(S$1,3,20),0.4,0)))</f>
        <v>0</v>
      </c>
      <c r="T43" s="10" t="n">
        <f aca="false">IF($H43="숙박",0,IF($H43=MID(T$1,3,20),IF($I43="",1,0.6),IF($I43=MID(T$1,3,20),0.4,0)))</f>
        <v>0.4</v>
      </c>
      <c r="U43" s="10" t="n">
        <f aca="false">IF($H43="숙박",0,IF(ISNUMBER(SEARCH("야경",$J43)),1,0))</f>
        <v>0</v>
      </c>
      <c r="V43" s="10" t="n">
        <f aca="false">IF($H43="숙박",0,1)</f>
        <v>1</v>
      </c>
    </row>
    <row r="44" customFormat="false" ht="15" hidden="false" customHeight="false" outlineLevel="0" collapsed="false">
      <c r="A44" s="8" t="n">
        <v>43</v>
      </c>
      <c r="B44" s="8" t="s">
        <v>45</v>
      </c>
      <c r="C44" s="8"/>
      <c r="D44" s="8" t="s">
        <v>193</v>
      </c>
      <c r="E44" s="7" t="s">
        <v>194</v>
      </c>
      <c r="F44" s="8" t="s">
        <v>48</v>
      </c>
      <c r="G44" s="8" t="s">
        <v>190</v>
      </c>
      <c r="H44" s="9" t="s">
        <v>190</v>
      </c>
      <c r="I44" s="9" t="s">
        <v>50</v>
      </c>
      <c r="J44" s="9" t="s">
        <v>195</v>
      </c>
      <c r="K44" s="9" t="s">
        <v>52</v>
      </c>
      <c r="L44" s="8"/>
      <c r="M44" s="7" t="s">
        <v>53</v>
      </c>
      <c r="N44" s="8" t="s">
        <v>185</v>
      </c>
      <c r="O44" s="8" t="s">
        <v>196</v>
      </c>
      <c r="P44" s="10" t="n">
        <f aca="false">IF($H44="숙박",0,IF($H44=MID(P$1,3,20),IF($I44="",1,0.6),IF($I44=MID(P$1,3,20),0.4,0)))</f>
        <v>0.6</v>
      </c>
      <c r="Q44" s="10" t="n">
        <f aca="false">IF($H44="숙박",0,IF($H44=MID(Q$1,3,20),IF($I44="",1,0.6),IF($I44=MID(Q$1,3,20),0.4,0)))</f>
        <v>0</v>
      </c>
      <c r="R44" s="10" t="n">
        <f aca="false">IF($H44="숙박",0,IF($H44=MID(R$1,3,20),IF($I44="",1,0.6),IF($I44=MID(R$1,3,20),0.4,0)))</f>
        <v>0</v>
      </c>
      <c r="S44" s="10" t="n">
        <f aca="false">IF($H44="숙박",0,IF($H44=MID(S$1,3,20),IF($I44="",1,0.6),IF($I44=MID(S$1,3,20),0.4,0)))</f>
        <v>0</v>
      </c>
      <c r="T44" s="10" t="n">
        <f aca="false">IF($H44="숙박",0,IF($H44=MID(T$1,3,20),IF($I44="",1,0.6),IF($I44=MID(T$1,3,20),0.4,0)))</f>
        <v>0.4</v>
      </c>
      <c r="U44" s="10" t="n">
        <f aca="false">IF($H44="숙박",0,IF(ISNUMBER(SEARCH("야경",$J44)),1,0))</f>
        <v>0</v>
      </c>
      <c r="V44" s="10" t="n">
        <f aca="false">IF($H44="숙박",0,1)</f>
        <v>1</v>
      </c>
    </row>
    <row r="45" customFormat="false" ht="15" hidden="false" customHeight="false" outlineLevel="0" collapsed="false">
      <c r="A45" s="8" t="n">
        <v>44</v>
      </c>
      <c r="B45" s="8" t="s">
        <v>45</v>
      </c>
      <c r="C45" s="8"/>
      <c r="D45" s="8" t="s">
        <v>197</v>
      </c>
      <c r="E45" s="7" t="s">
        <v>198</v>
      </c>
      <c r="F45" s="8" t="s">
        <v>199</v>
      </c>
      <c r="G45" s="8" t="s">
        <v>184</v>
      </c>
      <c r="H45" s="9" t="s">
        <v>184</v>
      </c>
      <c r="I45" s="9" t="s">
        <v>50</v>
      </c>
      <c r="J45" s="9" t="s">
        <v>195</v>
      </c>
      <c r="K45" s="9" t="s">
        <v>52</v>
      </c>
      <c r="L45" s="8"/>
      <c r="M45" s="7" t="s">
        <v>53</v>
      </c>
      <c r="N45" s="8" t="s">
        <v>185</v>
      </c>
      <c r="O45" s="8" t="s">
        <v>200</v>
      </c>
      <c r="P45" s="10" t="n">
        <f aca="false">IF($H45="숙박",0,IF($H45=MID(P$1,3,20),IF($I45="",1,0.6),IF($I45=MID(P$1,3,20),0.4,0)))</f>
        <v>0</v>
      </c>
      <c r="Q45" s="10" t="n">
        <f aca="false">IF($H45="숙박",0,IF($H45=MID(Q$1,3,20),IF($I45="",1,0.6),IF($I45=MID(Q$1,3,20),0.4,0)))</f>
        <v>0</v>
      </c>
      <c r="R45" s="10" t="n">
        <f aca="false">IF($H45="숙박",0,IF($H45=MID(R$1,3,20),IF($I45="",1,0.6),IF($I45=MID(R$1,3,20),0.4,0)))</f>
        <v>0.6</v>
      </c>
      <c r="S45" s="10" t="n">
        <f aca="false">IF($H45="숙박",0,IF($H45=MID(S$1,3,20),IF($I45="",1,0.6),IF($I45=MID(S$1,3,20),0.4,0)))</f>
        <v>0</v>
      </c>
      <c r="T45" s="10" t="n">
        <f aca="false">IF($H45="숙박",0,IF($H45=MID(T$1,3,20),IF($I45="",1,0.6),IF($I45=MID(T$1,3,20),0.4,0)))</f>
        <v>0.4</v>
      </c>
      <c r="U45" s="10" t="n">
        <f aca="false">IF($H45="숙박",0,IF(ISNUMBER(SEARCH("야경",$J45)),1,0))</f>
        <v>0</v>
      </c>
      <c r="V45" s="10" t="n">
        <f aca="false">IF($H45="숙박",0,1)</f>
        <v>1</v>
      </c>
    </row>
    <row r="46" customFormat="false" ht="15" hidden="false" customHeight="false" outlineLevel="0" collapsed="false">
      <c r="A46" s="8" t="n">
        <v>45</v>
      </c>
      <c r="B46" s="8" t="s">
        <v>45</v>
      </c>
      <c r="C46" s="8"/>
      <c r="D46" s="8" t="s">
        <v>201</v>
      </c>
      <c r="E46" s="7" t="s">
        <v>202</v>
      </c>
      <c r="F46" s="8" t="s">
        <v>59</v>
      </c>
      <c r="G46" s="8" t="s">
        <v>49</v>
      </c>
      <c r="H46" s="9" t="s">
        <v>49</v>
      </c>
      <c r="I46" s="9" t="s">
        <v>50</v>
      </c>
      <c r="J46" s="9" t="s">
        <v>51</v>
      </c>
      <c r="K46" s="9" t="s">
        <v>52</v>
      </c>
      <c r="L46" s="8"/>
      <c r="M46" s="7" t="s">
        <v>53</v>
      </c>
      <c r="N46" s="8" t="s">
        <v>185</v>
      </c>
      <c r="O46" s="8" t="s">
        <v>203</v>
      </c>
      <c r="P46" s="10" t="n">
        <f aca="false">IF($H46="숙박",0,IF($H46=MID(P$1,3,20),IF($I46="",1,0.6),IF($I46=MID(P$1,3,20),0.4,0)))</f>
        <v>0</v>
      </c>
      <c r="Q46" s="10" t="n">
        <f aca="false">IF($H46="숙박",0,IF($H46=MID(Q$1,3,20),IF($I46="",1,0.6),IF($I46=MID(Q$1,3,20),0.4,0)))</f>
        <v>0.6</v>
      </c>
      <c r="R46" s="10" t="n">
        <f aca="false">IF($H46="숙박",0,IF($H46=MID(R$1,3,20),IF($I46="",1,0.6),IF($I46=MID(R$1,3,20),0.4,0)))</f>
        <v>0</v>
      </c>
      <c r="S46" s="10" t="n">
        <f aca="false">IF($H46="숙박",0,IF($H46=MID(S$1,3,20),IF($I46="",1,0.6),IF($I46=MID(S$1,3,20),0.4,0)))</f>
        <v>0</v>
      </c>
      <c r="T46" s="10" t="n">
        <f aca="false">IF($H46="숙박",0,IF($H46=MID(T$1,3,20),IF($I46="",1,0.6),IF($I46=MID(T$1,3,20),0.4,0)))</f>
        <v>0.4</v>
      </c>
      <c r="U46" s="10" t="n">
        <f aca="false">IF($H46="숙박",0,IF(ISNUMBER(SEARCH("야경",$J46)),1,0))</f>
        <v>0</v>
      </c>
      <c r="V46" s="10" t="n">
        <f aca="false">IF($H46="숙박",0,1)</f>
        <v>1</v>
      </c>
    </row>
    <row r="47" customFormat="false" ht="15" hidden="false" customHeight="false" outlineLevel="0" collapsed="false">
      <c r="A47" s="8" t="n">
        <v>46</v>
      </c>
      <c r="B47" s="8" t="s">
        <v>45</v>
      </c>
      <c r="C47" s="8"/>
      <c r="D47" s="8" t="s">
        <v>204</v>
      </c>
      <c r="E47" s="7" t="s">
        <v>205</v>
      </c>
      <c r="F47" s="8" t="s">
        <v>48</v>
      </c>
      <c r="G47" s="8" t="s">
        <v>190</v>
      </c>
      <c r="H47" s="9" t="s">
        <v>190</v>
      </c>
      <c r="I47" s="9" t="s">
        <v>50</v>
      </c>
      <c r="J47" s="9" t="s">
        <v>51</v>
      </c>
      <c r="K47" s="9" t="s">
        <v>191</v>
      </c>
      <c r="L47" s="8"/>
      <c r="M47" s="7" t="s">
        <v>53</v>
      </c>
      <c r="N47" s="8" t="s">
        <v>185</v>
      </c>
      <c r="O47" s="8" t="s">
        <v>206</v>
      </c>
      <c r="P47" s="10" t="n">
        <f aca="false">IF($H47="숙박",0,IF($H47=MID(P$1,3,20),IF($I47="",1,0.6),IF($I47=MID(P$1,3,20),0.4,0)))</f>
        <v>0.6</v>
      </c>
      <c r="Q47" s="10" t="n">
        <f aca="false">IF($H47="숙박",0,IF($H47=MID(Q$1,3,20),IF($I47="",1,0.6),IF($I47=MID(Q$1,3,20),0.4,0)))</f>
        <v>0</v>
      </c>
      <c r="R47" s="10" t="n">
        <f aca="false">IF($H47="숙박",0,IF($H47=MID(R$1,3,20),IF($I47="",1,0.6),IF($I47=MID(R$1,3,20),0.4,0)))</f>
        <v>0</v>
      </c>
      <c r="S47" s="10" t="n">
        <f aca="false">IF($H47="숙박",0,IF($H47=MID(S$1,3,20),IF($I47="",1,0.6),IF($I47=MID(S$1,3,20),0.4,0)))</f>
        <v>0</v>
      </c>
      <c r="T47" s="10" t="n">
        <f aca="false">IF($H47="숙박",0,IF($H47=MID(T$1,3,20),IF($I47="",1,0.6),IF($I47=MID(T$1,3,20),0.4,0)))</f>
        <v>0.4</v>
      </c>
      <c r="U47" s="10" t="n">
        <f aca="false">IF($H47="숙박",0,IF(ISNUMBER(SEARCH("야경",$J47)),1,0))</f>
        <v>0</v>
      </c>
      <c r="V47" s="10" t="n">
        <f aca="false">IF($H47="숙박",0,1)</f>
        <v>1</v>
      </c>
    </row>
    <row r="48" customFormat="false" ht="15" hidden="false" customHeight="false" outlineLevel="0" collapsed="false">
      <c r="A48" s="8" t="n">
        <v>47</v>
      </c>
      <c r="B48" s="8" t="s">
        <v>45</v>
      </c>
      <c r="C48" s="8"/>
      <c r="D48" s="8" t="s">
        <v>207</v>
      </c>
      <c r="E48" s="7" t="s">
        <v>208</v>
      </c>
      <c r="F48" s="8" t="s">
        <v>48</v>
      </c>
      <c r="G48" s="8" t="s">
        <v>49</v>
      </c>
      <c r="H48" s="9" t="s">
        <v>49</v>
      </c>
      <c r="I48" s="9" t="s">
        <v>50</v>
      </c>
      <c r="J48" s="9" t="s">
        <v>51</v>
      </c>
      <c r="K48" s="9" t="s">
        <v>209</v>
      </c>
      <c r="L48" s="8"/>
      <c r="M48" s="7" t="s">
        <v>53</v>
      </c>
      <c r="N48" s="8" t="s">
        <v>185</v>
      </c>
      <c r="O48" s="8" t="s">
        <v>210</v>
      </c>
      <c r="P48" s="10" t="n">
        <f aca="false">IF($H48="숙박",0,IF($H48=MID(P$1,3,20),IF($I48="",1,0.6),IF($I48=MID(P$1,3,20),0.4,0)))</f>
        <v>0</v>
      </c>
      <c r="Q48" s="10" t="n">
        <f aca="false">IF($H48="숙박",0,IF($H48=MID(Q$1,3,20),IF($I48="",1,0.6),IF($I48=MID(Q$1,3,20),0.4,0)))</f>
        <v>0.6</v>
      </c>
      <c r="R48" s="10" t="n">
        <f aca="false">IF($H48="숙박",0,IF($H48=MID(R$1,3,20),IF($I48="",1,0.6),IF($I48=MID(R$1,3,20),0.4,0)))</f>
        <v>0</v>
      </c>
      <c r="S48" s="10" t="n">
        <f aca="false">IF($H48="숙박",0,IF($H48=MID(S$1,3,20),IF($I48="",1,0.6),IF($I48=MID(S$1,3,20),0.4,0)))</f>
        <v>0</v>
      </c>
      <c r="T48" s="10" t="n">
        <f aca="false">IF($H48="숙박",0,IF($H48=MID(T$1,3,20),IF($I48="",1,0.6),IF($I48=MID(T$1,3,20),0.4,0)))</f>
        <v>0.4</v>
      </c>
      <c r="U48" s="10" t="n">
        <f aca="false">IF($H48="숙박",0,IF(ISNUMBER(SEARCH("야경",$J48)),1,0))</f>
        <v>0</v>
      </c>
      <c r="V48" s="10" t="n">
        <f aca="false">IF($H48="숙박",0,1)</f>
        <v>1</v>
      </c>
    </row>
    <row r="49" customFormat="false" ht="15" hidden="false" customHeight="false" outlineLevel="0" collapsed="false">
      <c r="A49" s="8" t="n">
        <v>48</v>
      </c>
      <c r="B49" s="8" t="s">
        <v>45</v>
      </c>
      <c r="C49" s="8"/>
      <c r="D49" s="8" t="s">
        <v>211</v>
      </c>
      <c r="E49" s="7" t="s">
        <v>212</v>
      </c>
      <c r="F49" s="8" t="s">
        <v>48</v>
      </c>
      <c r="G49" s="8" t="s">
        <v>184</v>
      </c>
      <c r="H49" s="9" t="s">
        <v>184</v>
      </c>
      <c r="I49" s="9" t="s">
        <v>50</v>
      </c>
      <c r="J49" s="9" t="s">
        <v>51</v>
      </c>
      <c r="K49" s="9" t="s">
        <v>52</v>
      </c>
      <c r="L49" s="8"/>
      <c r="M49" s="7" t="s">
        <v>53</v>
      </c>
      <c r="N49" s="8" t="s">
        <v>185</v>
      </c>
      <c r="O49" s="8" t="s">
        <v>213</v>
      </c>
      <c r="P49" s="10" t="n">
        <f aca="false">IF($H49="숙박",0,IF($H49=MID(P$1,3,20),IF($I49="",1,0.6),IF($I49=MID(P$1,3,20),0.4,0)))</f>
        <v>0</v>
      </c>
      <c r="Q49" s="10" t="n">
        <f aca="false">IF($H49="숙박",0,IF($H49=MID(Q$1,3,20),IF($I49="",1,0.6),IF($I49=MID(Q$1,3,20),0.4,0)))</f>
        <v>0</v>
      </c>
      <c r="R49" s="10" t="n">
        <f aca="false">IF($H49="숙박",0,IF($H49=MID(R$1,3,20),IF($I49="",1,0.6),IF($I49=MID(R$1,3,20),0.4,0)))</f>
        <v>0.6</v>
      </c>
      <c r="S49" s="10" t="n">
        <f aca="false">IF($H49="숙박",0,IF($H49=MID(S$1,3,20),IF($I49="",1,0.6),IF($I49=MID(S$1,3,20),0.4,0)))</f>
        <v>0</v>
      </c>
      <c r="T49" s="10" t="n">
        <f aca="false">IF($H49="숙박",0,IF($H49=MID(T$1,3,20),IF($I49="",1,0.6),IF($I49=MID(T$1,3,20),0.4,0)))</f>
        <v>0.4</v>
      </c>
      <c r="U49" s="10" t="n">
        <f aca="false">IF($H49="숙박",0,IF(ISNUMBER(SEARCH("야경",$J49)),1,0))</f>
        <v>0</v>
      </c>
      <c r="V49" s="10" t="n">
        <f aca="false">IF($H49="숙박",0,1)</f>
        <v>1</v>
      </c>
    </row>
    <row r="50" customFormat="false" ht="15" hidden="false" customHeight="false" outlineLevel="0" collapsed="false">
      <c r="A50" s="8" t="n">
        <v>49</v>
      </c>
      <c r="B50" s="8" t="s">
        <v>45</v>
      </c>
      <c r="C50" s="8"/>
      <c r="D50" s="8" t="s">
        <v>214</v>
      </c>
      <c r="E50" s="7" t="s">
        <v>215</v>
      </c>
      <c r="F50" s="8" t="s">
        <v>59</v>
      </c>
      <c r="G50" s="8" t="s">
        <v>216</v>
      </c>
      <c r="H50" s="9" t="s">
        <v>216</v>
      </c>
      <c r="I50" s="9" t="s">
        <v>50</v>
      </c>
      <c r="J50" s="9" t="s">
        <v>60</v>
      </c>
      <c r="K50" s="9" t="s">
        <v>52</v>
      </c>
      <c r="L50" s="8"/>
      <c r="M50" s="7" t="s">
        <v>53</v>
      </c>
      <c r="N50" s="8" t="s">
        <v>185</v>
      </c>
      <c r="O50" s="8" t="s">
        <v>217</v>
      </c>
      <c r="P50" s="10" t="n">
        <f aca="false">IF($H50="숙박",0,IF($H50=MID(P$1,3,20),IF($I50="",1,0.6),IF($I50=MID(P$1,3,20),0.4,0)))</f>
        <v>0</v>
      </c>
      <c r="Q50" s="10" t="n">
        <f aca="false">IF($H50="숙박",0,IF($H50=MID(Q$1,3,20),IF($I50="",1,0.6),IF($I50=MID(Q$1,3,20),0.4,0)))</f>
        <v>0</v>
      </c>
      <c r="R50" s="10" t="n">
        <f aca="false">IF($H50="숙박",0,IF($H50=MID(R$1,3,20),IF($I50="",1,0.6),IF($I50=MID(R$1,3,20),0.4,0)))</f>
        <v>0</v>
      </c>
      <c r="S50" s="10" t="n">
        <f aca="false">IF($H50="숙박",0,IF($H50=MID(S$1,3,20),IF($I50="",1,0.6),IF($I50=MID(S$1,3,20),0.4,0)))</f>
        <v>0.6</v>
      </c>
      <c r="T50" s="10" t="n">
        <f aca="false">IF($H50="숙박",0,IF($H50=MID(T$1,3,20),IF($I50="",1,0.6),IF($I50=MID(T$1,3,20),0.4,0)))</f>
        <v>0.4</v>
      </c>
      <c r="U50" s="10" t="n">
        <f aca="false">IF($H50="숙박",0,IF(ISNUMBER(SEARCH("야경",$J50)),1,0))</f>
        <v>1</v>
      </c>
      <c r="V50" s="10" t="n">
        <f aca="false">IF($H50="숙박",0,1)</f>
        <v>1</v>
      </c>
    </row>
    <row r="51" customFormat="false" ht="15" hidden="false" customHeight="false" outlineLevel="0" collapsed="false">
      <c r="A51" s="8" t="n">
        <v>50</v>
      </c>
      <c r="B51" s="8" t="s">
        <v>45</v>
      </c>
      <c r="C51" s="8"/>
      <c r="D51" s="8" t="s">
        <v>218</v>
      </c>
      <c r="E51" s="7" t="s">
        <v>219</v>
      </c>
      <c r="F51" s="8" t="s">
        <v>59</v>
      </c>
      <c r="G51" s="8" t="s">
        <v>49</v>
      </c>
      <c r="H51" s="9" t="s">
        <v>49</v>
      </c>
      <c r="I51" s="9" t="s">
        <v>50</v>
      </c>
      <c r="J51" s="9" t="s">
        <v>60</v>
      </c>
      <c r="K51" s="9" t="s">
        <v>52</v>
      </c>
      <c r="L51" s="8"/>
      <c r="M51" s="7" t="s">
        <v>53</v>
      </c>
      <c r="N51" s="8" t="s">
        <v>185</v>
      </c>
      <c r="O51" s="8" t="s">
        <v>220</v>
      </c>
      <c r="P51" s="10" t="n">
        <f aca="false">IF($H51="숙박",0,IF($H51=MID(P$1,3,20),IF($I51="",1,0.6),IF($I51=MID(P$1,3,20),0.4,0)))</f>
        <v>0</v>
      </c>
      <c r="Q51" s="10" t="n">
        <f aca="false">IF($H51="숙박",0,IF($H51=MID(Q$1,3,20),IF($I51="",1,0.6),IF($I51=MID(Q$1,3,20),0.4,0)))</f>
        <v>0.6</v>
      </c>
      <c r="R51" s="10" t="n">
        <f aca="false">IF($H51="숙박",0,IF($H51=MID(R$1,3,20),IF($I51="",1,0.6),IF($I51=MID(R$1,3,20),0.4,0)))</f>
        <v>0</v>
      </c>
      <c r="S51" s="10" t="n">
        <f aca="false">IF($H51="숙박",0,IF($H51=MID(S$1,3,20),IF($I51="",1,0.6),IF($I51=MID(S$1,3,20),0.4,0)))</f>
        <v>0</v>
      </c>
      <c r="T51" s="10" t="n">
        <f aca="false">IF($H51="숙박",0,IF($H51=MID(T$1,3,20),IF($I51="",1,0.6),IF($I51=MID(T$1,3,20),0.4,0)))</f>
        <v>0.4</v>
      </c>
      <c r="U51" s="10" t="n">
        <f aca="false">IF($H51="숙박",0,IF(ISNUMBER(SEARCH("야경",$J51)),1,0))</f>
        <v>1</v>
      </c>
      <c r="V51" s="10" t="n">
        <f aca="false">IF($H51="숙박",0,1)</f>
        <v>1</v>
      </c>
    </row>
    <row r="52" customFormat="false" ht="15" hidden="false" customHeight="false" outlineLevel="0" collapsed="false">
      <c r="A52" s="8" t="n">
        <v>51</v>
      </c>
      <c r="B52" s="8" t="s">
        <v>45</v>
      </c>
      <c r="C52" s="8"/>
      <c r="D52" s="8" t="s">
        <v>221</v>
      </c>
      <c r="E52" s="7" t="s">
        <v>222</v>
      </c>
      <c r="F52" s="8" t="s">
        <v>59</v>
      </c>
      <c r="G52" s="8" t="s">
        <v>184</v>
      </c>
      <c r="H52" s="9" t="s">
        <v>184</v>
      </c>
      <c r="I52" s="9" t="s">
        <v>50</v>
      </c>
      <c r="J52" s="9" t="s">
        <v>51</v>
      </c>
      <c r="K52" s="9" t="s">
        <v>191</v>
      </c>
      <c r="L52" s="8"/>
      <c r="M52" s="7" t="s">
        <v>53</v>
      </c>
      <c r="N52" s="8" t="s">
        <v>185</v>
      </c>
      <c r="O52" s="8" t="s">
        <v>223</v>
      </c>
      <c r="P52" s="10" t="n">
        <f aca="false">IF($H52="숙박",0,IF($H52=MID(P$1,3,20),IF($I52="",1,0.6),IF($I52=MID(P$1,3,20),0.4,0)))</f>
        <v>0</v>
      </c>
      <c r="Q52" s="10" t="n">
        <f aca="false">IF($H52="숙박",0,IF($H52=MID(Q$1,3,20),IF($I52="",1,0.6),IF($I52=MID(Q$1,3,20),0.4,0)))</f>
        <v>0</v>
      </c>
      <c r="R52" s="10" t="n">
        <f aca="false">IF($H52="숙박",0,IF($H52=MID(R$1,3,20),IF($I52="",1,0.6),IF($I52=MID(R$1,3,20),0.4,0)))</f>
        <v>0.6</v>
      </c>
      <c r="S52" s="10" t="n">
        <f aca="false">IF($H52="숙박",0,IF($H52=MID(S$1,3,20),IF($I52="",1,0.6),IF($I52=MID(S$1,3,20),0.4,0)))</f>
        <v>0</v>
      </c>
      <c r="T52" s="10" t="n">
        <f aca="false">IF($H52="숙박",0,IF($H52=MID(T$1,3,20),IF($I52="",1,0.6),IF($I52=MID(T$1,3,20),0.4,0)))</f>
        <v>0.4</v>
      </c>
      <c r="U52" s="10" t="n">
        <f aca="false">IF($H52="숙박",0,IF(ISNUMBER(SEARCH("야경",$J52)),1,0))</f>
        <v>0</v>
      </c>
      <c r="V52" s="10" t="n">
        <f aca="false">IF($H52="숙박",0,1)</f>
        <v>1</v>
      </c>
    </row>
    <row r="53" customFormat="false" ht="15" hidden="false" customHeight="false" outlineLevel="0" collapsed="false">
      <c r="A53" s="8" t="n">
        <v>52</v>
      </c>
      <c r="B53" s="8" t="s">
        <v>45</v>
      </c>
      <c r="C53" s="8"/>
      <c r="D53" s="8" t="s">
        <v>224</v>
      </c>
      <c r="E53" s="7" t="s">
        <v>225</v>
      </c>
      <c r="F53" s="8" t="s">
        <v>48</v>
      </c>
      <c r="G53" s="8" t="s">
        <v>190</v>
      </c>
      <c r="H53" s="9" t="s">
        <v>190</v>
      </c>
      <c r="I53" s="9" t="s">
        <v>50</v>
      </c>
      <c r="J53" s="9" t="s">
        <v>51</v>
      </c>
      <c r="K53" s="9" t="s">
        <v>209</v>
      </c>
      <c r="L53" s="8"/>
      <c r="M53" s="7" t="s">
        <v>53</v>
      </c>
      <c r="N53" s="8" t="s">
        <v>185</v>
      </c>
      <c r="O53" s="8" t="s">
        <v>226</v>
      </c>
      <c r="P53" s="10" t="n">
        <f aca="false">IF($H53="숙박",0,IF($H53=MID(P$1,3,20),IF($I53="",1,0.6),IF($I53=MID(P$1,3,20),0.4,0)))</f>
        <v>0.6</v>
      </c>
      <c r="Q53" s="10" t="n">
        <f aca="false">IF($H53="숙박",0,IF($H53=MID(Q$1,3,20),IF($I53="",1,0.6),IF($I53=MID(Q$1,3,20),0.4,0)))</f>
        <v>0</v>
      </c>
      <c r="R53" s="10" t="n">
        <f aca="false">IF($H53="숙박",0,IF($H53=MID(R$1,3,20),IF($I53="",1,0.6),IF($I53=MID(R$1,3,20),0.4,0)))</f>
        <v>0</v>
      </c>
      <c r="S53" s="10" t="n">
        <f aca="false">IF($H53="숙박",0,IF($H53=MID(S$1,3,20),IF($I53="",1,0.6),IF($I53=MID(S$1,3,20),0.4,0)))</f>
        <v>0</v>
      </c>
      <c r="T53" s="10" t="n">
        <f aca="false">IF($H53="숙박",0,IF($H53=MID(T$1,3,20),IF($I53="",1,0.6),IF($I53=MID(T$1,3,20),0.4,0)))</f>
        <v>0.4</v>
      </c>
      <c r="U53" s="10" t="n">
        <f aca="false">IF($H53="숙박",0,IF(ISNUMBER(SEARCH("야경",$J53)),1,0))</f>
        <v>0</v>
      </c>
      <c r="V53" s="10" t="n">
        <f aca="false">IF($H53="숙박",0,1)</f>
        <v>1</v>
      </c>
    </row>
    <row r="54" customFormat="false" ht="15" hidden="false" customHeight="false" outlineLevel="0" collapsed="false">
      <c r="A54" s="8" t="n">
        <v>53</v>
      </c>
      <c r="B54" s="8" t="s">
        <v>45</v>
      </c>
      <c r="C54" s="8"/>
      <c r="D54" s="8" t="s">
        <v>227</v>
      </c>
      <c r="E54" s="7" t="s">
        <v>228</v>
      </c>
      <c r="F54" s="8" t="s">
        <v>48</v>
      </c>
      <c r="G54" s="8" t="s">
        <v>49</v>
      </c>
      <c r="H54" s="9" t="s">
        <v>49</v>
      </c>
      <c r="I54" s="9" t="s">
        <v>50</v>
      </c>
      <c r="J54" s="9" t="s">
        <v>60</v>
      </c>
      <c r="K54" s="9" t="s">
        <v>52</v>
      </c>
      <c r="L54" s="8"/>
      <c r="M54" s="7" t="s">
        <v>53</v>
      </c>
      <c r="N54" s="8" t="s">
        <v>185</v>
      </c>
      <c r="O54" s="8" t="s">
        <v>229</v>
      </c>
      <c r="P54" s="10" t="n">
        <f aca="false">IF($H54="숙박",0,IF($H54=MID(P$1,3,20),IF($I54="",1,0.6),IF($I54=MID(P$1,3,20),0.4,0)))</f>
        <v>0</v>
      </c>
      <c r="Q54" s="10" t="n">
        <f aca="false">IF($H54="숙박",0,IF($H54=MID(Q$1,3,20),IF($I54="",1,0.6),IF($I54=MID(Q$1,3,20),0.4,0)))</f>
        <v>0.6</v>
      </c>
      <c r="R54" s="10" t="n">
        <f aca="false">IF($H54="숙박",0,IF($H54=MID(R$1,3,20),IF($I54="",1,0.6),IF($I54=MID(R$1,3,20),0.4,0)))</f>
        <v>0</v>
      </c>
      <c r="S54" s="10" t="n">
        <f aca="false">IF($H54="숙박",0,IF($H54=MID(S$1,3,20),IF($I54="",1,0.6),IF($I54=MID(S$1,3,20),0.4,0)))</f>
        <v>0</v>
      </c>
      <c r="T54" s="10" t="n">
        <f aca="false">IF($H54="숙박",0,IF($H54=MID(T$1,3,20),IF($I54="",1,0.6),IF($I54=MID(T$1,3,20),0.4,0)))</f>
        <v>0.4</v>
      </c>
      <c r="U54" s="10" t="n">
        <f aca="false">IF($H54="숙박",0,IF(ISNUMBER(SEARCH("야경",$J54)),1,0))</f>
        <v>1</v>
      </c>
      <c r="V54" s="10" t="n">
        <f aca="false">IF($H54="숙박",0,1)</f>
        <v>1</v>
      </c>
    </row>
    <row r="55" customFormat="false" ht="15" hidden="false" customHeight="false" outlineLevel="0" collapsed="false">
      <c r="A55" s="8" t="n">
        <v>54</v>
      </c>
      <c r="B55" s="8" t="s">
        <v>45</v>
      </c>
      <c r="C55" s="8"/>
      <c r="D55" s="8" t="s">
        <v>230</v>
      </c>
      <c r="E55" s="7" t="s">
        <v>231</v>
      </c>
      <c r="F55" s="8" t="s">
        <v>199</v>
      </c>
      <c r="G55" s="8" t="s">
        <v>49</v>
      </c>
      <c r="H55" s="9" t="s">
        <v>49</v>
      </c>
      <c r="I55" s="9" t="s">
        <v>50</v>
      </c>
      <c r="J55" s="9" t="s">
        <v>60</v>
      </c>
      <c r="K55" s="9" t="s">
        <v>52</v>
      </c>
      <c r="L55" s="8"/>
      <c r="M55" s="7" t="s">
        <v>53</v>
      </c>
      <c r="N55" s="8" t="s">
        <v>185</v>
      </c>
      <c r="O55" s="8" t="s">
        <v>232</v>
      </c>
      <c r="P55" s="10" t="n">
        <f aca="false">IF($H55="숙박",0,IF($H55=MID(P$1,3,20),IF($I55="",1,0.6),IF($I55=MID(P$1,3,20),0.4,0)))</f>
        <v>0</v>
      </c>
      <c r="Q55" s="10" t="n">
        <f aca="false">IF($H55="숙박",0,IF($H55=MID(Q$1,3,20),IF($I55="",1,0.6),IF($I55=MID(Q$1,3,20),0.4,0)))</f>
        <v>0.6</v>
      </c>
      <c r="R55" s="10" t="n">
        <f aca="false">IF($H55="숙박",0,IF($H55=MID(R$1,3,20),IF($I55="",1,0.6),IF($I55=MID(R$1,3,20),0.4,0)))</f>
        <v>0</v>
      </c>
      <c r="S55" s="10" t="n">
        <f aca="false">IF($H55="숙박",0,IF($H55=MID(S$1,3,20),IF($I55="",1,0.6),IF($I55=MID(S$1,3,20),0.4,0)))</f>
        <v>0</v>
      </c>
      <c r="T55" s="10" t="n">
        <f aca="false">IF($H55="숙박",0,IF($H55=MID(T$1,3,20),IF($I55="",1,0.6),IF($I55=MID(T$1,3,20),0.4,0)))</f>
        <v>0.4</v>
      </c>
      <c r="U55" s="10" t="n">
        <f aca="false">IF($H55="숙박",0,IF(ISNUMBER(SEARCH("야경",$J55)),1,0))</f>
        <v>1</v>
      </c>
      <c r="V55" s="10" t="n">
        <f aca="false">IF($H55="숙박",0,1)</f>
        <v>1</v>
      </c>
    </row>
    <row r="56" customFormat="false" ht="15" hidden="false" customHeight="false" outlineLevel="0" collapsed="false">
      <c r="A56" s="8" t="n">
        <v>55</v>
      </c>
      <c r="B56" s="8" t="s">
        <v>45</v>
      </c>
      <c r="C56" s="8"/>
      <c r="D56" s="8" t="s">
        <v>233</v>
      </c>
      <c r="E56" s="7" t="s">
        <v>234</v>
      </c>
      <c r="F56" s="8" t="s">
        <v>48</v>
      </c>
      <c r="G56" s="8" t="s">
        <v>49</v>
      </c>
      <c r="H56" s="9" t="s">
        <v>49</v>
      </c>
      <c r="I56" s="9" t="s">
        <v>50</v>
      </c>
      <c r="J56" s="9" t="s">
        <v>51</v>
      </c>
      <c r="K56" s="9" t="s">
        <v>52</v>
      </c>
      <c r="L56" s="8"/>
      <c r="M56" s="7" t="s">
        <v>53</v>
      </c>
      <c r="N56" s="8" t="s">
        <v>185</v>
      </c>
      <c r="O56" s="8" t="s">
        <v>235</v>
      </c>
      <c r="P56" s="10" t="n">
        <f aca="false">IF($H56="숙박",0,IF($H56=MID(P$1,3,20),IF($I56="",1,0.6),IF($I56=MID(P$1,3,20),0.4,0)))</f>
        <v>0</v>
      </c>
      <c r="Q56" s="10" t="n">
        <f aca="false">IF($H56="숙박",0,IF($H56=MID(Q$1,3,20),IF($I56="",1,0.6),IF($I56=MID(Q$1,3,20),0.4,0)))</f>
        <v>0.6</v>
      </c>
      <c r="R56" s="10" t="n">
        <f aca="false">IF($H56="숙박",0,IF($H56=MID(R$1,3,20),IF($I56="",1,0.6),IF($I56=MID(R$1,3,20),0.4,0)))</f>
        <v>0</v>
      </c>
      <c r="S56" s="10" t="n">
        <f aca="false">IF($H56="숙박",0,IF($H56=MID(S$1,3,20),IF($I56="",1,0.6),IF($I56=MID(S$1,3,20),0.4,0)))</f>
        <v>0</v>
      </c>
      <c r="T56" s="10" t="n">
        <f aca="false">IF($H56="숙박",0,IF($H56=MID(T$1,3,20),IF($I56="",1,0.6),IF($I56=MID(T$1,3,20),0.4,0)))</f>
        <v>0.4</v>
      </c>
      <c r="U56" s="10" t="n">
        <f aca="false">IF($H56="숙박",0,IF(ISNUMBER(SEARCH("야경",$J56)),1,0))</f>
        <v>0</v>
      </c>
      <c r="V56" s="10" t="n">
        <f aca="false">IF($H56="숙박",0,1)</f>
        <v>1</v>
      </c>
    </row>
    <row r="57" customFormat="false" ht="15" hidden="false" customHeight="false" outlineLevel="0" collapsed="false">
      <c r="A57" s="8" t="n">
        <v>56</v>
      </c>
      <c r="B57" s="8" t="s">
        <v>45</v>
      </c>
      <c r="C57" s="8"/>
      <c r="D57" s="8" t="s">
        <v>236</v>
      </c>
      <c r="E57" s="7" t="s">
        <v>237</v>
      </c>
      <c r="F57" s="8" t="s">
        <v>48</v>
      </c>
      <c r="G57" s="8" t="s">
        <v>216</v>
      </c>
      <c r="H57" s="9" t="s">
        <v>216</v>
      </c>
      <c r="I57" s="9" t="s">
        <v>50</v>
      </c>
      <c r="J57" s="9" t="s">
        <v>51</v>
      </c>
      <c r="K57" s="9" t="s">
        <v>191</v>
      </c>
      <c r="L57" s="8"/>
      <c r="M57" s="7" t="s">
        <v>53</v>
      </c>
      <c r="N57" s="8" t="s">
        <v>185</v>
      </c>
      <c r="O57" s="8" t="s">
        <v>238</v>
      </c>
      <c r="P57" s="10" t="n">
        <f aca="false">IF($H57="숙박",0,IF($H57=MID(P$1,3,20),IF($I57="",1,0.6),IF($I57=MID(P$1,3,20),0.4,0)))</f>
        <v>0</v>
      </c>
      <c r="Q57" s="10" t="n">
        <f aca="false">IF($H57="숙박",0,IF($H57=MID(Q$1,3,20),IF($I57="",1,0.6),IF($I57=MID(Q$1,3,20),0.4,0)))</f>
        <v>0</v>
      </c>
      <c r="R57" s="10" t="n">
        <f aca="false">IF($H57="숙박",0,IF($H57=MID(R$1,3,20),IF($I57="",1,0.6),IF($I57=MID(R$1,3,20),0.4,0)))</f>
        <v>0</v>
      </c>
      <c r="S57" s="10" t="n">
        <f aca="false">IF($H57="숙박",0,IF($H57=MID(S$1,3,20),IF($I57="",1,0.6),IF($I57=MID(S$1,3,20),0.4,0)))</f>
        <v>0.6</v>
      </c>
      <c r="T57" s="10" t="n">
        <f aca="false">IF($H57="숙박",0,IF($H57=MID(T$1,3,20),IF($I57="",1,0.6),IF($I57=MID(T$1,3,20),0.4,0)))</f>
        <v>0.4</v>
      </c>
      <c r="U57" s="10" t="n">
        <f aca="false">IF($H57="숙박",0,IF(ISNUMBER(SEARCH("야경",$J57)),1,0))</f>
        <v>0</v>
      </c>
      <c r="V57" s="10" t="n">
        <f aca="false">IF($H57="숙박",0,1)</f>
        <v>1</v>
      </c>
    </row>
    <row r="58" customFormat="false" ht="15" hidden="false" customHeight="false" outlineLevel="0" collapsed="false">
      <c r="A58" s="8" t="n">
        <v>57</v>
      </c>
      <c r="B58" s="8" t="s">
        <v>45</v>
      </c>
      <c r="C58" s="8"/>
      <c r="D58" s="8" t="s">
        <v>239</v>
      </c>
      <c r="E58" s="7" t="s">
        <v>240</v>
      </c>
      <c r="F58" s="8" t="s">
        <v>48</v>
      </c>
      <c r="G58" s="8" t="s">
        <v>49</v>
      </c>
      <c r="H58" s="9" t="s">
        <v>49</v>
      </c>
      <c r="I58" s="9" t="s">
        <v>50</v>
      </c>
      <c r="J58" s="9" t="s">
        <v>51</v>
      </c>
      <c r="K58" s="9" t="s">
        <v>209</v>
      </c>
      <c r="L58" s="8"/>
      <c r="M58" s="7" t="s">
        <v>53</v>
      </c>
      <c r="N58" s="8" t="s">
        <v>185</v>
      </c>
      <c r="O58" s="8" t="s">
        <v>241</v>
      </c>
      <c r="P58" s="10" t="n">
        <f aca="false">IF($H58="숙박",0,IF($H58=MID(P$1,3,20),IF($I58="",1,0.6),IF($I58=MID(P$1,3,20),0.4,0)))</f>
        <v>0</v>
      </c>
      <c r="Q58" s="10" t="n">
        <f aca="false">IF($H58="숙박",0,IF($H58=MID(Q$1,3,20),IF($I58="",1,0.6),IF($I58=MID(Q$1,3,20),0.4,0)))</f>
        <v>0.6</v>
      </c>
      <c r="R58" s="10" t="n">
        <f aca="false">IF($H58="숙박",0,IF($H58=MID(R$1,3,20),IF($I58="",1,0.6),IF($I58=MID(R$1,3,20),0.4,0)))</f>
        <v>0</v>
      </c>
      <c r="S58" s="10" t="n">
        <f aca="false">IF($H58="숙박",0,IF($H58=MID(S$1,3,20),IF($I58="",1,0.6),IF($I58=MID(S$1,3,20),0.4,0)))</f>
        <v>0</v>
      </c>
      <c r="T58" s="10" t="n">
        <f aca="false">IF($H58="숙박",0,IF($H58=MID(T$1,3,20),IF($I58="",1,0.6),IF($I58=MID(T$1,3,20),0.4,0)))</f>
        <v>0.4</v>
      </c>
      <c r="U58" s="10" t="n">
        <f aca="false">IF($H58="숙박",0,IF(ISNUMBER(SEARCH("야경",$J58)),1,0))</f>
        <v>0</v>
      </c>
      <c r="V58" s="10" t="n">
        <f aca="false">IF($H58="숙박",0,1)</f>
        <v>1</v>
      </c>
    </row>
    <row r="59" customFormat="false" ht="15" hidden="false" customHeight="false" outlineLevel="0" collapsed="false">
      <c r="A59" s="8" t="n">
        <v>58</v>
      </c>
      <c r="B59" s="8" t="s">
        <v>45</v>
      </c>
      <c r="C59" s="8"/>
      <c r="D59" s="8" t="s">
        <v>242</v>
      </c>
      <c r="E59" s="7" t="s">
        <v>243</v>
      </c>
      <c r="F59" s="8" t="s">
        <v>48</v>
      </c>
      <c r="G59" s="8" t="s">
        <v>49</v>
      </c>
      <c r="H59" s="9" t="s">
        <v>49</v>
      </c>
      <c r="I59" s="9" t="s">
        <v>50</v>
      </c>
      <c r="J59" s="9" t="s">
        <v>51</v>
      </c>
      <c r="K59" s="9" t="s">
        <v>52</v>
      </c>
      <c r="L59" s="8"/>
      <c r="M59" s="7" t="s">
        <v>53</v>
      </c>
      <c r="N59" s="8" t="s">
        <v>185</v>
      </c>
      <c r="O59" s="8" t="s">
        <v>244</v>
      </c>
      <c r="P59" s="10" t="n">
        <f aca="false">IF($H59="숙박",0,IF($H59=MID(P$1,3,20),IF($I59="",1,0.6),IF($I59=MID(P$1,3,20),0.4,0)))</f>
        <v>0</v>
      </c>
      <c r="Q59" s="10" t="n">
        <f aca="false">IF($H59="숙박",0,IF($H59=MID(Q$1,3,20),IF($I59="",1,0.6),IF($I59=MID(Q$1,3,20),0.4,0)))</f>
        <v>0.6</v>
      </c>
      <c r="R59" s="10" t="n">
        <f aca="false">IF($H59="숙박",0,IF($H59=MID(R$1,3,20),IF($I59="",1,0.6),IF($I59=MID(R$1,3,20),0.4,0)))</f>
        <v>0</v>
      </c>
      <c r="S59" s="10" t="n">
        <f aca="false">IF($H59="숙박",0,IF($H59=MID(S$1,3,20),IF($I59="",1,0.6),IF($I59=MID(S$1,3,20),0.4,0)))</f>
        <v>0</v>
      </c>
      <c r="T59" s="10" t="n">
        <f aca="false">IF($H59="숙박",0,IF($H59=MID(T$1,3,20),IF($I59="",1,0.6),IF($I59=MID(T$1,3,20),0.4,0)))</f>
        <v>0.4</v>
      </c>
      <c r="U59" s="10" t="n">
        <f aca="false">IF($H59="숙박",0,IF(ISNUMBER(SEARCH("야경",$J59)),1,0))</f>
        <v>0</v>
      </c>
      <c r="V59" s="10" t="n">
        <f aca="false">IF($H59="숙박",0,1)</f>
        <v>1</v>
      </c>
    </row>
    <row r="60" customFormat="false" ht="15" hidden="false" customHeight="false" outlineLevel="0" collapsed="false">
      <c r="A60" s="8" t="n">
        <v>59</v>
      </c>
      <c r="B60" s="8" t="s">
        <v>45</v>
      </c>
      <c r="C60" s="8"/>
      <c r="D60" s="8" t="s">
        <v>245</v>
      </c>
      <c r="E60" s="7" t="s">
        <v>246</v>
      </c>
      <c r="F60" s="8" t="s">
        <v>48</v>
      </c>
      <c r="G60" s="8" t="s">
        <v>190</v>
      </c>
      <c r="H60" s="9" t="s">
        <v>190</v>
      </c>
      <c r="I60" s="9" t="s">
        <v>50</v>
      </c>
      <c r="J60" s="9" t="s">
        <v>51</v>
      </c>
      <c r="K60" s="9" t="s">
        <v>209</v>
      </c>
      <c r="L60" s="8"/>
      <c r="M60" s="7" t="s">
        <v>53</v>
      </c>
      <c r="N60" s="8" t="s">
        <v>185</v>
      </c>
      <c r="O60" s="8" t="s">
        <v>247</v>
      </c>
      <c r="P60" s="10" t="n">
        <f aca="false">IF($H60="숙박",0,IF($H60=MID(P$1,3,20),IF($I60="",1,0.6),IF($I60=MID(P$1,3,20),0.4,0)))</f>
        <v>0.6</v>
      </c>
      <c r="Q60" s="10" t="n">
        <f aca="false">IF($H60="숙박",0,IF($H60=MID(Q$1,3,20),IF($I60="",1,0.6),IF($I60=MID(Q$1,3,20),0.4,0)))</f>
        <v>0</v>
      </c>
      <c r="R60" s="10" t="n">
        <f aca="false">IF($H60="숙박",0,IF($H60=MID(R$1,3,20),IF($I60="",1,0.6),IF($I60=MID(R$1,3,20),0.4,0)))</f>
        <v>0</v>
      </c>
      <c r="S60" s="10" t="n">
        <f aca="false">IF($H60="숙박",0,IF($H60=MID(S$1,3,20),IF($I60="",1,0.6),IF($I60=MID(S$1,3,20),0.4,0)))</f>
        <v>0</v>
      </c>
      <c r="T60" s="10" t="n">
        <f aca="false">IF($H60="숙박",0,IF($H60=MID(T$1,3,20),IF($I60="",1,0.6),IF($I60=MID(T$1,3,20),0.4,0)))</f>
        <v>0.4</v>
      </c>
      <c r="U60" s="10" t="n">
        <f aca="false">IF($H60="숙박",0,IF(ISNUMBER(SEARCH("야경",$J60)),1,0))</f>
        <v>0</v>
      </c>
      <c r="V60" s="10" t="n">
        <f aca="false">IF($H60="숙박",0,1)</f>
        <v>1</v>
      </c>
    </row>
    <row r="61" customFormat="false" ht="15" hidden="false" customHeight="false" outlineLevel="0" collapsed="false">
      <c r="A61" s="8" t="n">
        <v>60</v>
      </c>
      <c r="B61" s="8" t="s">
        <v>45</v>
      </c>
      <c r="C61" s="8"/>
      <c r="D61" s="8" t="s">
        <v>248</v>
      </c>
      <c r="E61" s="7" t="s">
        <v>249</v>
      </c>
      <c r="F61" s="8" t="s">
        <v>59</v>
      </c>
      <c r="G61" s="8" t="s">
        <v>49</v>
      </c>
      <c r="H61" s="9" t="s">
        <v>49</v>
      </c>
      <c r="I61" s="9" t="s">
        <v>50</v>
      </c>
      <c r="J61" s="9" t="s">
        <v>51</v>
      </c>
      <c r="K61" s="9" t="s">
        <v>52</v>
      </c>
      <c r="L61" s="8"/>
      <c r="M61" s="7" t="s">
        <v>53</v>
      </c>
      <c r="N61" s="8" t="s">
        <v>185</v>
      </c>
      <c r="O61" s="8" t="s">
        <v>250</v>
      </c>
      <c r="P61" s="10" t="n">
        <f aca="false">IF($H61="숙박",0,IF($H61=MID(P$1,3,20),IF($I61="",1,0.6),IF($I61=MID(P$1,3,20),0.4,0)))</f>
        <v>0</v>
      </c>
      <c r="Q61" s="10" t="n">
        <f aca="false">IF($H61="숙박",0,IF($H61=MID(Q$1,3,20),IF($I61="",1,0.6),IF($I61=MID(Q$1,3,20),0.4,0)))</f>
        <v>0.6</v>
      </c>
      <c r="R61" s="10" t="n">
        <f aca="false">IF($H61="숙박",0,IF($H61=MID(R$1,3,20),IF($I61="",1,0.6),IF($I61=MID(R$1,3,20),0.4,0)))</f>
        <v>0</v>
      </c>
      <c r="S61" s="10" t="n">
        <f aca="false">IF($H61="숙박",0,IF($H61=MID(S$1,3,20),IF($I61="",1,0.6),IF($I61=MID(S$1,3,20),0.4,0)))</f>
        <v>0</v>
      </c>
      <c r="T61" s="10" t="n">
        <f aca="false">IF($H61="숙박",0,IF($H61=MID(T$1,3,20),IF($I61="",1,0.6),IF($I61=MID(T$1,3,20),0.4,0)))</f>
        <v>0.4</v>
      </c>
      <c r="U61" s="10" t="n">
        <f aca="false">IF($H61="숙박",0,IF(ISNUMBER(SEARCH("야경",$J61)),1,0))</f>
        <v>0</v>
      </c>
      <c r="V61" s="10" t="n">
        <f aca="false">IF($H61="숙박",0,1)</f>
        <v>1</v>
      </c>
    </row>
    <row r="62" customFormat="false" ht="15" hidden="false" customHeight="false" outlineLevel="0" collapsed="false">
      <c r="A62" s="8" t="n">
        <v>61</v>
      </c>
      <c r="B62" s="8" t="s">
        <v>45</v>
      </c>
      <c r="C62" s="8"/>
      <c r="D62" s="8" t="s">
        <v>251</v>
      </c>
      <c r="E62" s="7" t="s">
        <v>252</v>
      </c>
      <c r="F62" s="8" t="s">
        <v>59</v>
      </c>
      <c r="G62" s="8" t="s">
        <v>184</v>
      </c>
      <c r="H62" s="9" t="s">
        <v>184</v>
      </c>
      <c r="I62" s="9" t="s">
        <v>50</v>
      </c>
      <c r="J62" s="9" t="s">
        <v>195</v>
      </c>
      <c r="K62" s="9" t="s">
        <v>52</v>
      </c>
      <c r="L62" s="8"/>
      <c r="M62" s="7" t="s">
        <v>53</v>
      </c>
      <c r="N62" s="8" t="s">
        <v>185</v>
      </c>
      <c r="O62" s="8" t="s">
        <v>253</v>
      </c>
      <c r="P62" s="10" t="n">
        <f aca="false">IF($H62="숙박",0,IF($H62=MID(P$1,3,20),IF($I62="",1,0.6),IF($I62=MID(P$1,3,20),0.4,0)))</f>
        <v>0</v>
      </c>
      <c r="Q62" s="10" t="n">
        <f aca="false">IF($H62="숙박",0,IF($H62=MID(Q$1,3,20),IF($I62="",1,0.6),IF($I62=MID(Q$1,3,20),0.4,0)))</f>
        <v>0</v>
      </c>
      <c r="R62" s="10" t="n">
        <f aca="false">IF($H62="숙박",0,IF($H62=MID(R$1,3,20),IF($I62="",1,0.6),IF($I62=MID(R$1,3,20),0.4,0)))</f>
        <v>0.6</v>
      </c>
      <c r="S62" s="10" t="n">
        <f aca="false">IF($H62="숙박",0,IF($H62=MID(S$1,3,20),IF($I62="",1,0.6),IF($I62=MID(S$1,3,20),0.4,0)))</f>
        <v>0</v>
      </c>
      <c r="T62" s="10" t="n">
        <f aca="false">IF($H62="숙박",0,IF($H62=MID(T$1,3,20),IF($I62="",1,0.6),IF($I62=MID(T$1,3,20),0.4,0)))</f>
        <v>0.4</v>
      </c>
      <c r="U62" s="10" t="n">
        <f aca="false">IF($H62="숙박",0,IF(ISNUMBER(SEARCH("야경",$J62)),1,0))</f>
        <v>0</v>
      </c>
      <c r="V62" s="10" t="n">
        <f aca="false">IF($H62="숙박",0,1)</f>
        <v>1</v>
      </c>
    </row>
    <row r="63" customFormat="false" ht="15" hidden="false" customHeight="false" outlineLevel="0" collapsed="false">
      <c r="A63" s="8" t="n">
        <v>62</v>
      </c>
      <c r="B63" s="8" t="s">
        <v>45</v>
      </c>
      <c r="C63" s="8"/>
      <c r="D63" s="8" t="s">
        <v>254</v>
      </c>
      <c r="E63" s="7" t="s">
        <v>255</v>
      </c>
      <c r="F63" s="7" t="s">
        <v>189</v>
      </c>
      <c r="G63" s="8" t="s">
        <v>49</v>
      </c>
      <c r="H63" s="9" t="s">
        <v>49</v>
      </c>
      <c r="I63" s="9" t="s">
        <v>50</v>
      </c>
      <c r="J63" s="9" t="s">
        <v>51</v>
      </c>
      <c r="K63" s="9" t="s">
        <v>52</v>
      </c>
      <c r="L63" s="8"/>
      <c r="M63" s="7" t="s">
        <v>53</v>
      </c>
      <c r="N63" s="8" t="s">
        <v>185</v>
      </c>
      <c r="O63" s="8" t="s">
        <v>256</v>
      </c>
      <c r="P63" s="10" t="n">
        <f aca="false">IF($H63="숙박",0,IF($H63=MID(P$1,3,20),IF($I63="",1,0.6),IF($I63=MID(P$1,3,20),0.4,0)))</f>
        <v>0</v>
      </c>
      <c r="Q63" s="10" t="n">
        <f aca="false">IF($H63="숙박",0,IF($H63=MID(Q$1,3,20),IF($I63="",1,0.6),IF($I63=MID(Q$1,3,20),0.4,0)))</f>
        <v>0.6</v>
      </c>
      <c r="R63" s="10" t="n">
        <f aca="false">IF($H63="숙박",0,IF($H63=MID(R$1,3,20),IF($I63="",1,0.6),IF($I63=MID(R$1,3,20),0.4,0)))</f>
        <v>0</v>
      </c>
      <c r="S63" s="10" t="n">
        <f aca="false">IF($H63="숙박",0,IF($H63=MID(S$1,3,20),IF($I63="",1,0.6),IF($I63=MID(S$1,3,20),0.4,0)))</f>
        <v>0</v>
      </c>
      <c r="T63" s="10" t="n">
        <f aca="false">IF($H63="숙박",0,IF($H63=MID(T$1,3,20),IF($I63="",1,0.6),IF($I63=MID(T$1,3,20),0.4,0)))</f>
        <v>0.4</v>
      </c>
      <c r="U63" s="10" t="n">
        <f aca="false">IF($H63="숙박",0,IF(ISNUMBER(SEARCH("야경",$J63)),1,0))</f>
        <v>0</v>
      </c>
      <c r="V63" s="10" t="n">
        <f aca="false">IF($H63="숙박",0,1)</f>
        <v>1</v>
      </c>
    </row>
    <row r="64" customFormat="false" ht="15" hidden="false" customHeight="false" outlineLevel="0" collapsed="false">
      <c r="A64" s="8" t="n">
        <v>63</v>
      </c>
      <c r="B64" s="8" t="s">
        <v>45</v>
      </c>
      <c r="C64" s="8"/>
      <c r="D64" s="8" t="s">
        <v>257</v>
      </c>
      <c r="E64" s="7" t="s">
        <v>258</v>
      </c>
      <c r="F64" s="8" t="s">
        <v>48</v>
      </c>
      <c r="G64" s="8" t="s">
        <v>49</v>
      </c>
      <c r="H64" s="9" t="s">
        <v>49</v>
      </c>
      <c r="I64" s="9" t="s">
        <v>50</v>
      </c>
      <c r="J64" s="9" t="s">
        <v>51</v>
      </c>
      <c r="K64" s="9" t="s">
        <v>52</v>
      </c>
      <c r="L64" s="8"/>
      <c r="M64" s="7" t="s">
        <v>53</v>
      </c>
      <c r="N64" s="8" t="s">
        <v>185</v>
      </c>
      <c r="O64" s="8" t="s">
        <v>259</v>
      </c>
      <c r="P64" s="10" t="n">
        <f aca="false">IF($H64="숙박",0,IF($H64=MID(P$1,3,20),IF($I64="",1,0.6),IF($I64=MID(P$1,3,20),0.4,0)))</f>
        <v>0</v>
      </c>
      <c r="Q64" s="10" t="n">
        <f aca="false">IF($H64="숙박",0,IF($H64=MID(Q$1,3,20),IF($I64="",1,0.6),IF($I64=MID(Q$1,3,20),0.4,0)))</f>
        <v>0.6</v>
      </c>
      <c r="R64" s="10" t="n">
        <f aca="false">IF($H64="숙박",0,IF($H64=MID(R$1,3,20),IF($I64="",1,0.6),IF($I64=MID(R$1,3,20),0.4,0)))</f>
        <v>0</v>
      </c>
      <c r="S64" s="10" t="n">
        <f aca="false">IF($H64="숙박",0,IF($H64=MID(S$1,3,20),IF($I64="",1,0.6),IF($I64=MID(S$1,3,20),0.4,0)))</f>
        <v>0</v>
      </c>
      <c r="T64" s="10" t="n">
        <f aca="false">IF($H64="숙박",0,IF($H64=MID(T$1,3,20),IF($I64="",1,0.6),IF($I64=MID(T$1,3,20),0.4,0)))</f>
        <v>0.4</v>
      </c>
      <c r="U64" s="10" t="n">
        <f aca="false">IF($H64="숙박",0,IF(ISNUMBER(SEARCH("야경",$J64)),1,0))</f>
        <v>0</v>
      </c>
      <c r="V64" s="10" t="n">
        <f aca="false">IF($H64="숙박",0,1)</f>
        <v>1</v>
      </c>
    </row>
    <row r="65" customFormat="false" ht="15" hidden="false" customHeight="false" outlineLevel="0" collapsed="false">
      <c r="A65" s="8" t="n">
        <v>64</v>
      </c>
      <c r="B65" s="8" t="s">
        <v>62</v>
      </c>
      <c r="C65" s="8"/>
      <c r="D65" s="8" t="s">
        <v>260</v>
      </c>
      <c r="E65" s="7" t="s">
        <v>261</v>
      </c>
      <c r="F65" s="8" t="s">
        <v>48</v>
      </c>
      <c r="G65" s="8" t="s">
        <v>184</v>
      </c>
      <c r="H65" s="9" t="s">
        <v>184</v>
      </c>
      <c r="I65" s="9" t="s">
        <v>50</v>
      </c>
      <c r="J65" s="9" t="s">
        <v>51</v>
      </c>
      <c r="K65" s="9" t="s">
        <v>52</v>
      </c>
      <c r="L65" s="8"/>
      <c r="M65" s="7" t="s">
        <v>53</v>
      </c>
      <c r="N65" s="8" t="s">
        <v>185</v>
      </c>
      <c r="O65" s="8" t="s">
        <v>262</v>
      </c>
      <c r="P65" s="10" t="n">
        <f aca="false">IF($H65="숙박",0,IF($H65=MID(P$1,3,20),IF($I65="",1,0.6),IF($I65=MID(P$1,3,20),0.4,0)))</f>
        <v>0</v>
      </c>
      <c r="Q65" s="10" t="n">
        <f aca="false">IF($H65="숙박",0,IF($H65=MID(Q$1,3,20),IF($I65="",1,0.6),IF($I65=MID(Q$1,3,20),0.4,0)))</f>
        <v>0</v>
      </c>
      <c r="R65" s="10" t="n">
        <f aca="false">IF($H65="숙박",0,IF($H65=MID(R$1,3,20),IF($I65="",1,0.6),IF($I65=MID(R$1,3,20),0.4,0)))</f>
        <v>0.6</v>
      </c>
      <c r="S65" s="10" t="n">
        <f aca="false">IF($H65="숙박",0,IF($H65=MID(S$1,3,20),IF($I65="",1,0.6),IF($I65=MID(S$1,3,20),0.4,0)))</f>
        <v>0</v>
      </c>
      <c r="T65" s="10" t="n">
        <f aca="false">IF($H65="숙박",0,IF($H65=MID(T$1,3,20),IF($I65="",1,0.6),IF($I65=MID(T$1,3,20),0.4,0)))</f>
        <v>0.4</v>
      </c>
      <c r="U65" s="10" t="n">
        <f aca="false">IF($H65="숙박",0,IF(ISNUMBER(SEARCH("야경",$J65)),1,0))</f>
        <v>0</v>
      </c>
      <c r="V65" s="10" t="n">
        <f aca="false">IF($H65="숙박",0,1)</f>
        <v>1</v>
      </c>
    </row>
    <row r="66" customFormat="false" ht="15" hidden="false" customHeight="false" outlineLevel="0" collapsed="false">
      <c r="A66" s="8" t="n">
        <v>65</v>
      </c>
      <c r="B66" s="8" t="s">
        <v>45</v>
      </c>
      <c r="C66" s="8"/>
      <c r="D66" s="8" t="s">
        <v>263</v>
      </c>
      <c r="E66" s="7" t="s">
        <v>264</v>
      </c>
      <c r="F66" s="8" t="s">
        <v>59</v>
      </c>
      <c r="G66" s="8" t="s">
        <v>49</v>
      </c>
      <c r="H66" s="9" t="s">
        <v>49</v>
      </c>
      <c r="I66" s="9" t="s">
        <v>50</v>
      </c>
      <c r="J66" s="9" t="s">
        <v>60</v>
      </c>
      <c r="K66" s="9" t="s">
        <v>52</v>
      </c>
      <c r="L66" s="8"/>
      <c r="M66" s="7" t="s">
        <v>53</v>
      </c>
      <c r="N66" s="8" t="s">
        <v>185</v>
      </c>
      <c r="O66" s="8" t="s">
        <v>265</v>
      </c>
      <c r="P66" s="10" t="n">
        <f aca="false">IF($H66="숙박",0,IF($H66=MID(P$1,3,20),IF($I66="",1,0.6),IF($I66=MID(P$1,3,20),0.4,0)))</f>
        <v>0</v>
      </c>
      <c r="Q66" s="10" t="n">
        <f aca="false">IF($H66="숙박",0,IF($H66=MID(Q$1,3,20),IF($I66="",1,0.6),IF($I66=MID(Q$1,3,20),0.4,0)))</f>
        <v>0.6</v>
      </c>
      <c r="R66" s="10" t="n">
        <f aca="false">IF($H66="숙박",0,IF($H66=MID(R$1,3,20),IF($I66="",1,0.6),IF($I66=MID(R$1,3,20),0.4,0)))</f>
        <v>0</v>
      </c>
      <c r="S66" s="10" t="n">
        <f aca="false">IF($H66="숙박",0,IF($H66=MID(S$1,3,20),IF($I66="",1,0.6),IF($I66=MID(S$1,3,20),0.4,0)))</f>
        <v>0</v>
      </c>
      <c r="T66" s="10" t="n">
        <f aca="false">IF($H66="숙박",0,IF($H66=MID(T$1,3,20),IF($I66="",1,0.6),IF($I66=MID(T$1,3,20),0.4,0)))</f>
        <v>0.4</v>
      </c>
      <c r="U66" s="10" t="n">
        <f aca="false">IF($H66="숙박",0,IF(ISNUMBER(SEARCH("야경",$J66)),1,0))</f>
        <v>1</v>
      </c>
      <c r="V66" s="10" t="n">
        <f aca="false">IF($H66="숙박",0,1)</f>
        <v>1</v>
      </c>
    </row>
    <row r="67" customFormat="false" ht="15" hidden="false" customHeight="false" outlineLevel="0" collapsed="false">
      <c r="A67" s="8" t="n">
        <v>66</v>
      </c>
      <c r="B67" s="8" t="s">
        <v>45</v>
      </c>
      <c r="C67" s="8"/>
      <c r="D67" s="8" t="s">
        <v>266</v>
      </c>
      <c r="E67" s="7" t="s">
        <v>267</v>
      </c>
      <c r="F67" s="8" t="s">
        <v>48</v>
      </c>
      <c r="G67" s="8" t="s">
        <v>49</v>
      </c>
      <c r="H67" s="9" t="s">
        <v>49</v>
      </c>
      <c r="I67" s="9" t="s">
        <v>50</v>
      </c>
      <c r="J67" s="9" t="s">
        <v>51</v>
      </c>
      <c r="K67" s="9" t="s">
        <v>52</v>
      </c>
      <c r="L67" s="8"/>
      <c r="M67" s="7" t="s">
        <v>53</v>
      </c>
      <c r="N67" s="8" t="s">
        <v>185</v>
      </c>
      <c r="O67" s="8" t="s">
        <v>268</v>
      </c>
      <c r="P67" s="10" t="n">
        <f aca="false">IF($H67="숙박",0,IF($H67=MID(P$1,3,20),IF($I67="",1,0.6),IF($I67=MID(P$1,3,20),0.4,0)))</f>
        <v>0</v>
      </c>
      <c r="Q67" s="10" t="n">
        <f aca="false">IF($H67="숙박",0,IF($H67=MID(Q$1,3,20),IF($I67="",1,0.6),IF($I67=MID(Q$1,3,20),0.4,0)))</f>
        <v>0.6</v>
      </c>
      <c r="R67" s="10" t="n">
        <f aca="false">IF($H67="숙박",0,IF($H67=MID(R$1,3,20),IF($I67="",1,0.6),IF($I67=MID(R$1,3,20),0.4,0)))</f>
        <v>0</v>
      </c>
      <c r="S67" s="10" t="n">
        <f aca="false">IF($H67="숙박",0,IF($H67=MID(S$1,3,20),IF($I67="",1,0.6),IF($I67=MID(S$1,3,20),0.4,0)))</f>
        <v>0</v>
      </c>
      <c r="T67" s="10" t="n">
        <f aca="false">IF($H67="숙박",0,IF($H67=MID(T$1,3,20),IF($I67="",1,0.6),IF($I67=MID(T$1,3,20),0.4,0)))</f>
        <v>0.4</v>
      </c>
      <c r="U67" s="10" t="n">
        <f aca="false">IF($H67="숙박",0,IF(ISNUMBER(SEARCH("야경",$J67)),1,0))</f>
        <v>0</v>
      </c>
      <c r="V67" s="10" t="n">
        <f aca="false">IF($H67="숙박",0,1)</f>
        <v>1</v>
      </c>
    </row>
    <row r="68" customFormat="false" ht="15" hidden="false" customHeight="false" outlineLevel="0" collapsed="false">
      <c r="A68" s="8" t="n">
        <v>67</v>
      </c>
      <c r="B68" s="8" t="s">
        <v>45</v>
      </c>
      <c r="C68" s="8"/>
      <c r="D68" s="8" t="s">
        <v>269</v>
      </c>
      <c r="E68" s="7" t="s">
        <v>270</v>
      </c>
      <c r="F68" s="8" t="s">
        <v>48</v>
      </c>
      <c r="G68" s="8" t="s">
        <v>190</v>
      </c>
      <c r="H68" s="9" t="s">
        <v>190</v>
      </c>
      <c r="I68" s="9" t="s">
        <v>50</v>
      </c>
      <c r="J68" s="9" t="s">
        <v>195</v>
      </c>
      <c r="K68" s="9" t="s">
        <v>52</v>
      </c>
      <c r="L68" s="8"/>
      <c r="M68" s="7" t="s">
        <v>53</v>
      </c>
      <c r="N68" s="8" t="s">
        <v>185</v>
      </c>
      <c r="O68" s="7" t="s">
        <v>271</v>
      </c>
      <c r="P68" s="10" t="n">
        <f aca="false">IF($H68="숙박",0,IF($H68=MID(P$1,3,20),IF($I68="",1,0.6),IF($I68=MID(P$1,3,20),0.4,0)))</f>
        <v>0.6</v>
      </c>
      <c r="Q68" s="10" t="n">
        <f aca="false">IF($H68="숙박",0,IF($H68=MID(Q$1,3,20),IF($I68="",1,0.6),IF($I68=MID(Q$1,3,20),0.4,0)))</f>
        <v>0</v>
      </c>
      <c r="R68" s="10" t="n">
        <f aca="false">IF($H68="숙박",0,IF($H68=MID(R$1,3,20),IF($I68="",1,0.6),IF($I68=MID(R$1,3,20),0.4,0)))</f>
        <v>0</v>
      </c>
      <c r="S68" s="10" t="n">
        <f aca="false">IF($H68="숙박",0,IF($H68=MID(S$1,3,20),IF($I68="",1,0.6),IF($I68=MID(S$1,3,20),0.4,0)))</f>
        <v>0</v>
      </c>
      <c r="T68" s="10" t="n">
        <f aca="false">IF($H68="숙박",0,IF($H68=MID(T$1,3,20),IF($I68="",1,0.6),IF($I68=MID(T$1,3,20),0.4,0)))</f>
        <v>0.4</v>
      </c>
      <c r="U68" s="10" t="n">
        <f aca="false">IF($H68="숙박",0,IF(ISNUMBER(SEARCH("야경",$J68)),1,0))</f>
        <v>0</v>
      </c>
      <c r="V68" s="10" t="n">
        <f aca="false">IF($H68="숙박",0,1)</f>
        <v>1</v>
      </c>
    </row>
    <row r="69" customFormat="false" ht="15" hidden="false" customHeight="false" outlineLevel="0" collapsed="false">
      <c r="A69" s="8" t="n">
        <v>68</v>
      </c>
      <c r="B69" s="8" t="s">
        <v>45</v>
      </c>
      <c r="C69" s="8"/>
      <c r="D69" s="8" t="s">
        <v>272</v>
      </c>
      <c r="E69" s="7" t="s">
        <v>273</v>
      </c>
      <c r="F69" s="8" t="s">
        <v>48</v>
      </c>
      <c r="G69" s="8" t="s">
        <v>190</v>
      </c>
      <c r="H69" s="9" t="s">
        <v>190</v>
      </c>
      <c r="I69" s="9" t="s">
        <v>50</v>
      </c>
      <c r="J69" s="9" t="s">
        <v>195</v>
      </c>
      <c r="K69" s="9" t="s">
        <v>52</v>
      </c>
      <c r="L69" s="8"/>
      <c r="M69" s="7" t="s">
        <v>53</v>
      </c>
      <c r="N69" s="8" t="s">
        <v>185</v>
      </c>
      <c r="O69" s="8" t="s">
        <v>274</v>
      </c>
      <c r="P69" s="10" t="n">
        <f aca="false">IF($H69="숙박",0,IF($H69=MID(P$1,3,20),IF($I69="",1,0.6),IF($I69=MID(P$1,3,20),0.4,0)))</f>
        <v>0.6</v>
      </c>
      <c r="Q69" s="10" t="n">
        <f aca="false">IF($H69="숙박",0,IF($H69=MID(Q$1,3,20),IF($I69="",1,0.6),IF($I69=MID(Q$1,3,20),0.4,0)))</f>
        <v>0</v>
      </c>
      <c r="R69" s="10" t="n">
        <f aca="false">IF($H69="숙박",0,IF($H69=MID(R$1,3,20),IF($I69="",1,0.6),IF($I69=MID(R$1,3,20),0.4,0)))</f>
        <v>0</v>
      </c>
      <c r="S69" s="10" t="n">
        <f aca="false">IF($H69="숙박",0,IF($H69=MID(S$1,3,20),IF($I69="",1,0.6),IF($I69=MID(S$1,3,20),0.4,0)))</f>
        <v>0</v>
      </c>
      <c r="T69" s="10" t="n">
        <f aca="false">IF($H69="숙박",0,IF($H69=MID(T$1,3,20),IF($I69="",1,0.6),IF($I69=MID(T$1,3,20),0.4,0)))</f>
        <v>0.4</v>
      </c>
      <c r="U69" s="10" t="n">
        <f aca="false">IF($H69="숙박",0,IF(ISNUMBER(SEARCH("야경",$J69)),1,0))</f>
        <v>0</v>
      </c>
      <c r="V69" s="10" t="n">
        <f aca="false">IF($H69="숙박",0,1)</f>
        <v>1</v>
      </c>
    </row>
    <row r="70" customFormat="false" ht="15" hidden="false" customHeight="false" outlineLevel="0" collapsed="false">
      <c r="A70" s="8" t="n">
        <v>69</v>
      </c>
      <c r="B70" s="8" t="s">
        <v>45</v>
      </c>
      <c r="C70" s="8"/>
      <c r="D70" s="8" t="s">
        <v>275</v>
      </c>
      <c r="E70" s="7" t="s">
        <v>276</v>
      </c>
      <c r="F70" s="7" t="s">
        <v>189</v>
      </c>
      <c r="G70" s="8" t="s">
        <v>49</v>
      </c>
      <c r="H70" s="9" t="s">
        <v>49</v>
      </c>
      <c r="I70" s="9" t="s">
        <v>50</v>
      </c>
      <c r="J70" s="9" t="s">
        <v>51</v>
      </c>
      <c r="K70" s="9" t="s">
        <v>52</v>
      </c>
      <c r="L70" s="8"/>
      <c r="M70" s="7" t="s">
        <v>53</v>
      </c>
      <c r="N70" s="8" t="s">
        <v>185</v>
      </c>
      <c r="O70" s="8" t="s">
        <v>277</v>
      </c>
      <c r="P70" s="10" t="n">
        <f aca="false">IF($H70="숙박",0,IF($H70=MID(P$1,3,20),IF($I70="",1,0.6),IF($I70=MID(P$1,3,20),0.4,0)))</f>
        <v>0</v>
      </c>
      <c r="Q70" s="10" t="n">
        <f aca="false">IF($H70="숙박",0,IF($H70=MID(Q$1,3,20),IF($I70="",1,0.6),IF($I70=MID(Q$1,3,20),0.4,0)))</f>
        <v>0.6</v>
      </c>
      <c r="R70" s="10" t="n">
        <f aca="false">IF($H70="숙박",0,IF($H70=MID(R$1,3,20),IF($I70="",1,0.6),IF($I70=MID(R$1,3,20),0.4,0)))</f>
        <v>0</v>
      </c>
      <c r="S70" s="10" t="n">
        <f aca="false">IF($H70="숙박",0,IF($H70=MID(S$1,3,20),IF($I70="",1,0.6),IF($I70=MID(S$1,3,20),0.4,0)))</f>
        <v>0</v>
      </c>
      <c r="T70" s="10" t="n">
        <f aca="false">IF($H70="숙박",0,IF($H70=MID(T$1,3,20),IF($I70="",1,0.6),IF($I70=MID(T$1,3,20),0.4,0)))</f>
        <v>0.4</v>
      </c>
      <c r="U70" s="10" t="n">
        <f aca="false">IF($H70="숙박",0,IF(ISNUMBER(SEARCH("야경",$J70)),1,0))</f>
        <v>0</v>
      </c>
      <c r="V70" s="10" t="n">
        <f aca="false">IF($H70="숙박",0,1)</f>
        <v>1</v>
      </c>
    </row>
    <row r="71" customFormat="false" ht="15" hidden="false" customHeight="false" outlineLevel="0" collapsed="false">
      <c r="A71" s="8" t="n">
        <v>70</v>
      </c>
      <c r="B71" s="8" t="s">
        <v>56</v>
      </c>
      <c r="C71" s="8"/>
      <c r="D71" s="8" t="s">
        <v>278</v>
      </c>
      <c r="E71" s="7" t="s">
        <v>279</v>
      </c>
      <c r="F71" s="8" t="s">
        <v>59</v>
      </c>
      <c r="G71" s="8" t="s">
        <v>49</v>
      </c>
      <c r="H71" s="9" t="s">
        <v>49</v>
      </c>
      <c r="I71" s="9" t="s">
        <v>50</v>
      </c>
      <c r="J71" s="9" t="s">
        <v>51</v>
      </c>
      <c r="K71" s="9" t="s">
        <v>52</v>
      </c>
      <c r="L71" s="8"/>
      <c r="M71" s="7" t="s">
        <v>53</v>
      </c>
      <c r="N71" s="8" t="s">
        <v>185</v>
      </c>
      <c r="O71" s="8" t="s">
        <v>280</v>
      </c>
      <c r="P71" s="10" t="n">
        <f aca="false">IF($H71="숙박",0,IF($H71=MID(P$1,3,20),IF($I71="",1,0.6),IF($I71=MID(P$1,3,20),0.4,0)))</f>
        <v>0</v>
      </c>
      <c r="Q71" s="10" t="n">
        <f aca="false">IF($H71="숙박",0,IF($H71=MID(Q$1,3,20),IF($I71="",1,0.6),IF($I71=MID(Q$1,3,20),0.4,0)))</f>
        <v>0.6</v>
      </c>
      <c r="R71" s="10" t="n">
        <f aca="false">IF($H71="숙박",0,IF($H71=MID(R$1,3,20),IF($I71="",1,0.6),IF($I71=MID(R$1,3,20),0.4,0)))</f>
        <v>0</v>
      </c>
      <c r="S71" s="10" t="n">
        <f aca="false">IF($H71="숙박",0,IF($H71=MID(S$1,3,20),IF($I71="",1,0.6),IF($I71=MID(S$1,3,20),0.4,0)))</f>
        <v>0</v>
      </c>
      <c r="T71" s="10" t="n">
        <f aca="false">IF($H71="숙박",0,IF($H71=MID(T$1,3,20),IF($I71="",1,0.6),IF($I71=MID(T$1,3,20),0.4,0)))</f>
        <v>0.4</v>
      </c>
      <c r="U71" s="10" t="n">
        <f aca="false">IF($H71="숙박",0,IF(ISNUMBER(SEARCH("야경",$J71)),1,0))</f>
        <v>0</v>
      </c>
      <c r="V71" s="10" t="n">
        <f aca="false">IF($H71="숙박",0,1)</f>
        <v>1</v>
      </c>
    </row>
    <row r="72" customFormat="false" ht="15" hidden="false" customHeight="false" outlineLevel="0" collapsed="false">
      <c r="A72" s="8" t="n">
        <v>71</v>
      </c>
      <c r="B72" s="8" t="s">
        <v>45</v>
      </c>
      <c r="C72" s="8"/>
      <c r="D72" s="8" t="s">
        <v>281</v>
      </c>
      <c r="E72" s="7" t="s">
        <v>282</v>
      </c>
      <c r="F72" s="8" t="s">
        <v>48</v>
      </c>
      <c r="G72" s="8" t="s">
        <v>49</v>
      </c>
      <c r="H72" s="9" t="s">
        <v>49</v>
      </c>
      <c r="I72" s="9" t="s">
        <v>50</v>
      </c>
      <c r="J72" s="9" t="s">
        <v>51</v>
      </c>
      <c r="K72" s="9" t="s">
        <v>52</v>
      </c>
      <c r="L72" s="8"/>
      <c r="M72" s="7" t="s">
        <v>53</v>
      </c>
      <c r="N72" s="8" t="s">
        <v>185</v>
      </c>
      <c r="O72" s="8" t="s">
        <v>283</v>
      </c>
      <c r="P72" s="10" t="n">
        <f aca="false">IF($H72="숙박",0,IF($H72=MID(P$1,3,20),IF($I72="",1,0.6),IF($I72=MID(P$1,3,20),0.4,0)))</f>
        <v>0</v>
      </c>
      <c r="Q72" s="10" t="n">
        <f aca="false">IF($H72="숙박",0,IF($H72=MID(Q$1,3,20),IF($I72="",1,0.6),IF($I72=MID(Q$1,3,20),0.4,0)))</f>
        <v>0.6</v>
      </c>
      <c r="R72" s="10" t="n">
        <f aca="false">IF($H72="숙박",0,IF($H72=MID(R$1,3,20),IF($I72="",1,0.6),IF($I72=MID(R$1,3,20),0.4,0)))</f>
        <v>0</v>
      </c>
      <c r="S72" s="10" t="n">
        <f aca="false">IF($H72="숙박",0,IF($H72=MID(S$1,3,20),IF($I72="",1,0.6),IF($I72=MID(S$1,3,20),0.4,0)))</f>
        <v>0</v>
      </c>
      <c r="T72" s="10" t="n">
        <f aca="false">IF($H72="숙박",0,IF($H72=MID(T$1,3,20),IF($I72="",1,0.6),IF($I72=MID(T$1,3,20),0.4,0)))</f>
        <v>0.4</v>
      </c>
      <c r="U72" s="10" t="n">
        <f aca="false">IF($H72="숙박",0,IF(ISNUMBER(SEARCH("야경",$J72)),1,0))</f>
        <v>0</v>
      </c>
      <c r="V72" s="10" t="n">
        <f aca="false">IF($H72="숙박",0,1)</f>
        <v>1</v>
      </c>
    </row>
    <row r="73" customFormat="false" ht="15" hidden="false" customHeight="false" outlineLevel="0" collapsed="false">
      <c r="A73" s="8" t="n">
        <v>72</v>
      </c>
      <c r="B73" s="8" t="s">
        <v>45</v>
      </c>
      <c r="C73" s="8"/>
      <c r="D73" s="8" t="s">
        <v>284</v>
      </c>
      <c r="E73" s="7" t="s">
        <v>285</v>
      </c>
      <c r="F73" s="8" t="s">
        <v>59</v>
      </c>
      <c r="G73" s="8" t="s">
        <v>216</v>
      </c>
      <c r="H73" s="9" t="s">
        <v>216</v>
      </c>
      <c r="I73" s="9" t="s">
        <v>50</v>
      </c>
      <c r="J73" s="9" t="s">
        <v>51</v>
      </c>
      <c r="K73" s="9" t="s">
        <v>52</v>
      </c>
      <c r="L73" s="8"/>
      <c r="M73" s="7" t="s">
        <v>53</v>
      </c>
      <c r="N73" s="8" t="s">
        <v>185</v>
      </c>
      <c r="O73" s="8" t="s">
        <v>286</v>
      </c>
      <c r="P73" s="10" t="n">
        <f aca="false">IF($H73="숙박",0,IF($H73=MID(P$1,3,20),IF($I73="",1,0.6),IF($I73=MID(P$1,3,20),0.4,0)))</f>
        <v>0</v>
      </c>
      <c r="Q73" s="10" t="n">
        <f aca="false">IF($H73="숙박",0,IF($H73=MID(Q$1,3,20),IF($I73="",1,0.6),IF($I73=MID(Q$1,3,20),0.4,0)))</f>
        <v>0</v>
      </c>
      <c r="R73" s="10" t="n">
        <f aca="false">IF($H73="숙박",0,IF($H73=MID(R$1,3,20),IF($I73="",1,0.6),IF($I73=MID(R$1,3,20),0.4,0)))</f>
        <v>0</v>
      </c>
      <c r="S73" s="10" t="n">
        <f aca="false">IF($H73="숙박",0,IF($H73=MID(S$1,3,20),IF($I73="",1,0.6),IF($I73=MID(S$1,3,20),0.4,0)))</f>
        <v>0.6</v>
      </c>
      <c r="T73" s="10" t="n">
        <f aca="false">IF($H73="숙박",0,IF($H73=MID(T$1,3,20),IF($I73="",1,0.6),IF($I73=MID(T$1,3,20),0.4,0)))</f>
        <v>0.4</v>
      </c>
      <c r="U73" s="10" t="n">
        <f aca="false">IF($H73="숙박",0,IF(ISNUMBER(SEARCH("야경",$J73)),1,0))</f>
        <v>0</v>
      </c>
      <c r="V73" s="10" t="n">
        <f aca="false">IF($H73="숙박",0,1)</f>
        <v>1</v>
      </c>
    </row>
    <row r="74" customFormat="false" ht="15" hidden="false" customHeight="false" outlineLevel="0" collapsed="false">
      <c r="A74" s="8" t="n">
        <v>73</v>
      </c>
      <c r="B74" s="8" t="s">
        <v>56</v>
      </c>
      <c r="C74" s="8"/>
      <c r="D74" s="8" t="s">
        <v>287</v>
      </c>
      <c r="E74" s="7" t="s">
        <v>288</v>
      </c>
      <c r="F74" s="8" t="s">
        <v>59</v>
      </c>
      <c r="G74" s="8" t="s">
        <v>49</v>
      </c>
      <c r="H74" s="9" t="s">
        <v>49</v>
      </c>
      <c r="I74" s="9" t="s">
        <v>50</v>
      </c>
      <c r="J74" s="9" t="s">
        <v>51</v>
      </c>
      <c r="K74" s="9" t="s">
        <v>52</v>
      </c>
      <c r="L74" s="8"/>
      <c r="M74" s="7" t="s">
        <v>53</v>
      </c>
      <c r="N74" s="8" t="s">
        <v>185</v>
      </c>
      <c r="O74" s="8" t="s">
        <v>289</v>
      </c>
      <c r="P74" s="10" t="n">
        <f aca="false">IF($H74="숙박",0,IF($H74=MID(P$1,3,20),IF($I74="",1,0.6),IF($I74=MID(P$1,3,20),0.4,0)))</f>
        <v>0</v>
      </c>
      <c r="Q74" s="10" t="n">
        <f aca="false">IF($H74="숙박",0,IF($H74=MID(Q$1,3,20),IF($I74="",1,0.6),IF($I74=MID(Q$1,3,20),0.4,0)))</f>
        <v>0.6</v>
      </c>
      <c r="R74" s="10" t="n">
        <f aca="false">IF($H74="숙박",0,IF($H74=MID(R$1,3,20),IF($I74="",1,0.6),IF($I74=MID(R$1,3,20),0.4,0)))</f>
        <v>0</v>
      </c>
      <c r="S74" s="10" t="n">
        <f aca="false">IF($H74="숙박",0,IF($H74=MID(S$1,3,20),IF($I74="",1,0.6),IF($I74=MID(S$1,3,20),0.4,0)))</f>
        <v>0</v>
      </c>
      <c r="T74" s="10" t="n">
        <f aca="false">IF($H74="숙박",0,IF($H74=MID(T$1,3,20),IF($I74="",1,0.6),IF($I74=MID(T$1,3,20),0.4,0)))</f>
        <v>0.4</v>
      </c>
      <c r="U74" s="10" t="n">
        <f aca="false">IF($H74="숙박",0,IF(ISNUMBER(SEARCH("야경",$J74)),1,0))</f>
        <v>0</v>
      </c>
      <c r="V74" s="10" t="n">
        <f aca="false">IF($H74="숙박",0,1)</f>
        <v>1</v>
      </c>
    </row>
    <row r="75" customFormat="false" ht="15" hidden="false" customHeight="false" outlineLevel="0" collapsed="false">
      <c r="A75" s="8" t="n">
        <v>74</v>
      </c>
      <c r="B75" s="8" t="s">
        <v>45</v>
      </c>
      <c r="C75" s="8" t="s">
        <v>290</v>
      </c>
      <c r="D75" s="8" t="s">
        <v>291</v>
      </c>
      <c r="E75" s="7" t="s">
        <v>292</v>
      </c>
      <c r="F75" s="8"/>
      <c r="G75" s="8" t="s">
        <v>190</v>
      </c>
      <c r="H75" s="9" t="s">
        <v>190</v>
      </c>
      <c r="I75" s="9" t="s">
        <v>50</v>
      </c>
      <c r="J75" s="9" t="s">
        <v>168</v>
      </c>
      <c r="K75" s="9" t="s">
        <v>191</v>
      </c>
      <c r="L75" s="8"/>
      <c r="M75" s="7" t="s">
        <v>53</v>
      </c>
      <c r="N75" s="8" t="s">
        <v>185</v>
      </c>
      <c r="O75" s="8" t="s">
        <v>293</v>
      </c>
      <c r="P75" s="10" t="n">
        <f aca="false">IF($H75="숙박",0,IF($H75=MID(P$1,3,20),IF($I75="",1,0.6),IF($I75=MID(P$1,3,20),0.4,0)))</f>
        <v>0.6</v>
      </c>
      <c r="Q75" s="10" t="n">
        <f aca="false">IF($H75="숙박",0,IF($H75=MID(Q$1,3,20),IF($I75="",1,0.6),IF($I75=MID(Q$1,3,20),0.4,0)))</f>
        <v>0</v>
      </c>
      <c r="R75" s="10" t="n">
        <f aca="false">IF($H75="숙박",0,IF($H75=MID(R$1,3,20),IF($I75="",1,0.6),IF($I75=MID(R$1,3,20),0.4,0)))</f>
        <v>0</v>
      </c>
      <c r="S75" s="10" t="n">
        <f aca="false">IF($H75="숙박",0,IF($H75=MID(S$1,3,20),IF($I75="",1,0.6),IF($I75=MID(S$1,3,20),0.4,0)))</f>
        <v>0</v>
      </c>
      <c r="T75" s="10" t="n">
        <f aca="false">IF($H75="숙박",0,IF($H75=MID(T$1,3,20),IF($I75="",1,0.6),IF($I75=MID(T$1,3,20),0.4,0)))</f>
        <v>0.4</v>
      </c>
      <c r="U75" s="10" t="n">
        <f aca="false">IF($H75="숙박",0,IF(ISNUMBER(SEARCH("야경",$J75)),1,0))</f>
        <v>0</v>
      </c>
      <c r="V75" s="10" t="n">
        <f aca="false">IF($H75="숙박",0,1)</f>
        <v>1</v>
      </c>
    </row>
    <row r="76" customFormat="false" ht="15" hidden="false" customHeight="false" outlineLevel="0" collapsed="false">
      <c r="A76" s="8" t="n">
        <v>75</v>
      </c>
      <c r="B76" s="8" t="s">
        <v>45</v>
      </c>
      <c r="C76" s="8" t="s">
        <v>178</v>
      </c>
      <c r="D76" s="8" t="s">
        <v>294</v>
      </c>
      <c r="E76" s="7" t="s">
        <v>295</v>
      </c>
      <c r="F76" s="8"/>
      <c r="G76" s="8" t="s">
        <v>49</v>
      </c>
      <c r="H76" s="9" t="s">
        <v>49</v>
      </c>
      <c r="I76" s="9" t="s">
        <v>50</v>
      </c>
      <c r="J76" s="9" t="s">
        <v>168</v>
      </c>
      <c r="K76" s="9" t="s">
        <v>52</v>
      </c>
      <c r="L76" s="8"/>
      <c r="M76" s="7" t="s">
        <v>53</v>
      </c>
      <c r="N76" s="8" t="s">
        <v>185</v>
      </c>
      <c r="O76" s="8" t="s">
        <v>296</v>
      </c>
      <c r="P76" s="10" t="n">
        <f aca="false">IF($H76="숙박",0,IF($H76=MID(P$1,3,20),IF($I76="",1,0.6),IF($I76=MID(P$1,3,20),0.4,0)))</f>
        <v>0</v>
      </c>
      <c r="Q76" s="10" t="n">
        <f aca="false">IF($H76="숙박",0,IF($H76=MID(Q$1,3,20),IF($I76="",1,0.6),IF($I76=MID(Q$1,3,20),0.4,0)))</f>
        <v>0.6</v>
      </c>
      <c r="R76" s="10" t="n">
        <f aca="false">IF($H76="숙박",0,IF($H76=MID(R$1,3,20),IF($I76="",1,0.6),IF($I76=MID(R$1,3,20),0.4,0)))</f>
        <v>0</v>
      </c>
      <c r="S76" s="10" t="n">
        <f aca="false">IF($H76="숙박",0,IF($H76=MID(S$1,3,20),IF($I76="",1,0.6),IF($I76=MID(S$1,3,20),0.4,0)))</f>
        <v>0</v>
      </c>
      <c r="T76" s="10" t="n">
        <f aca="false">IF($H76="숙박",0,IF($H76=MID(T$1,3,20),IF($I76="",1,0.6),IF($I76=MID(T$1,3,20),0.4,0)))</f>
        <v>0.4</v>
      </c>
      <c r="U76" s="10" t="n">
        <f aca="false">IF($H76="숙박",0,IF(ISNUMBER(SEARCH("야경",$J76)),1,0))</f>
        <v>0</v>
      </c>
      <c r="V76" s="10" t="n">
        <f aca="false">IF($H76="숙박",0,1)</f>
        <v>1</v>
      </c>
    </row>
    <row r="77" customFormat="false" ht="15" hidden="false" customHeight="false" outlineLevel="0" collapsed="false">
      <c r="A77" s="8" t="n">
        <v>76</v>
      </c>
      <c r="B77" s="8" t="s">
        <v>45</v>
      </c>
      <c r="C77" s="8" t="s">
        <v>297</v>
      </c>
      <c r="D77" s="8" t="s">
        <v>298</v>
      </c>
      <c r="E77" s="7" t="s">
        <v>299</v>
      </c>
      <c r="F77" s="8"/>
      <c r="G77" s="8" t="s">
        <v>190</v>
      </c>
      <c r="H77" s="9" t="s">
        <v>190</v>
      </c>
      <c r="I77" s="9" t="s">
        <v>50</v>
      </c>
      <c r="J77" s="9" t="s">
        <v>168</v>
      </c>
      <c r="K77" s="9" t="s">
        <v>52</v>
      </c>
      <c r="L77" s="8"/>
      <c r="M77" s="7" t="s">
        <v>53</v>
      </c>
      <c r="N77" s="8" t="s">
        <v>185</v>
      </c>
      <c r="O77" s="8" t="s">
        <v>300</v>
      </c>
      <c r="P77" s="10" t="n">
        <f aca="false">IF($H77="숙박",0,IF($H77=MID(P$1,3,20),IF($I77="",1,0.6),IF($I77=MID(P$1,3,20),0.4,0)))</f>
        <v>0.6</v>
      </c>
      <c r="Q77" s="10" t="n">
        <f aca="false">IF($H77="숙박",0,IF($H77=MID(Q$1,3,20),IF($I77="",1,0.6),IF($I77=MID(Q$1,3,20),0.4,0)))</f>
        <v>0</v>
      </c>
      <c r="R77" s="10" t="n">
        <f aca="false">IF($H77="숙박",0,IF($H77=MID(R$1,3,20),IF($I77="",1,0.6),IF($I77=MID(R$1,3,20),0.4,0)))</f>
        <v>0</v>
      </c>
      <c r="S77" s="10" t="n">
        <f aca="false">IF($H77="숙박",0,IF($H77=MID(S$1,3,20),IF($I77="",1,0.6),IF($I77=MID(S$1,3,20),0.4,0)))</f>
        <v>0</v>
      </c>
      <c r="T77" s="10" t="n">
        <f aca="false">IF($H77="숙박",0,IF($H77=MID(T$1,3,20),IF($I77="",1,0.6),IF($I77=MID(T$1,3,20),0.4,0)))</f>
        <v>0.4</v>
      </c>
      <c r="U77" s="10" t="n">
        <f aca="false">IF($H77="숙박",0,IF(ISNUMBER(SEARCH("야경",$J77)),1,0))</f>
        <v>0</v>
      </c>
      <c r="V77" s="10" t="n">
        <f aca="false">IF($H77="숙박",0,1)</f>
        <v>1</v>
      </c>
    </row>
    <row r="78" customFormat="false" ht="15" hidden="false" customHeight="false" outlineLevel="0" collapsed="false">
      <c r="A78" s="8" t="n">
        <v>77</v>
      </c>
      <c r="B78" s="8" t="s">
        <v>45</v>
      </c>
      <c r="C78" s="8" t="s">
        <v>301</v>
      </c>
      <c r="D78" s="8" t="s">
        <v>302</v>
      </c>
      <c r="E78" s="7" t="s">
        <v>303</v>
      </c>
      <c r="F78" s="8"/>
      <c r="G78" s="8" t="s">
        <v>49</v>
      </c>
      <c r="H78" s="9" t="s">
        <v>49</v>
      </c>
      <c r="I78" s="9" t="s">
        <v>50</v>
      </c>
      <c r="J78" s="9" t="s">
        <v>168</v>
      </c>
      <c r="K78" s="9" t="s">
        <v>52</v>
      </c>
      <c r="L78" s="8"/>
      <c r="M78" s="7" t="s">
        <v>53</v>
      </c>
      <c r="N78" s="8" t="s">
        <v>185</v>
      </c>
      <c r="O78" s="8" t="s">
        <v>304</v>
      </c>
      <c r="P78" s="10" t="n">
        <f aca="false">IF($H78="숙박",0,IF($H78=MID(P$1,3,20),IF($I78="",1,0.6),IF($I78=MID(P$1,3,20),0.4,0)))</f>
        <v>0</v>
      </c>
      <c r="Q78" s="10" t="n">
        <f aca="false">IF($H78="숙박",0,IF($H78=MID(Q$1,3,20),IF($I78="",1,0.6),IF($I78=MID(Q$1,3,20),0.4,0)))</f>
        <v>0.6</v>
      </c>
      <c r="R78" s="10" t="n">
        <f aca="false">IF($H78="숙박",0,IF($H78=MID(R$1,3,20),IF($I78="",1,0.6),IF($I78=MID(R$1,3,20),0.4,0)))</f>
        <v>0</v>
      </c>
      <c r="S78" s="10" t="n">
        <f aca="false">IF($H78="숙박",0,IF($H78=MID(S$1,3,20),IF($I78="",1,0.6),IF($I78=MID(S$1,3,20),0.4,0)))</f>
        <v>0</v>
      </c>
      <c r="T78" s="10" t="n">
        <f aca="false">IF($H78="숙박",0,IF($H78=MID(T$1,3,20),IF($I78="",1,0.6),IF($I78=MID(T$1,3,20),0.4,0)))</f>
        <v>0.4</v>
      </c>
      <c r="U78" s="10" t="n">
        <f aca="false">IF($H78="숙박",0,IF(ISNUMBER(SEARCH("야경",$J78)),1,0))</f>
        <v>0</v>
      </c>
      <c r="V78" s="10" t="n">
        <f aca="false">IF($H78="숙박",0,1)</f>
        <v>1</v>
      </c>
    </row>
    <row r="79" customFormat="false" ht="15" hidden="false" customHeight="false" outlineLevel="0" collapsed="false">
      <c r="A79" s="8" t="n">
        <v>78</v>
      </c>
      <c r="B79" s="8" t="s">
        <v>45</v>
      </c>
      <c r="C79" s="8"/>
      <c r="D79" s="8" t="s">
        <v>305</v>
      </c>
      <c r="E79" s="7" t="s">
        <v>306</v>
      </c>
      <c r="F79" s="8"/>
      <c r="G79" s="8"/>
      <c r="H79" s="9" t="s">
        <v>190</v>
      </c>
      <c r="I79" s="9"/>
      <c r="J79" s="9"/>
      <c r="K79" s="9" t="s">
        <v>191</v>
      </c>
      <c r="L79" s="8"/>
      <c r="M79" s="7" t="s">
        <v>53</v>
      </c>
      <c r="N79" s="8" t="s">
        <v>307</v>
      </c>
      <c r="O79" s="8"/>
      <c r="P79" s="10" t="n">
        <f aca="false">IF($H79="숙박",0,IF($H79=MID(P$1,3,20),IF($I79="",1,0.6),IF($I79=MID(P$1,3,20),0.4,0)))</f>
        <v>1</v>
      </c>
      <c r="Q79" s="10" t="n">
        <f aca="false">IF($H79="숙박",0,IF($H79=MID(Q$1,3,20),IF($I79="",1,0.6),IF($I79=MID(Q$1,3,20),0.4,0)))</f>
        <v>0</v>
      </c>
      <c r="R79" s="10" t="n">
        <f aca="false">IF($H79="숙박",0,IF($H79=MID(R$1,3,20),IF($I79="",1,0.6),IF($I79=MID(R$1,3,20),0.4,0)))</f>
        <v>0</v>
      </c>
      <c r="S79" s="10" t="n">
        <f aca="false">IF($H79="숙박",0,IF($H79=MID(S$1,3,20),IF($I79="",1,0.6),IF($I79=MID(S$1,3,20),0.4,0)))</f>
        <v>0</v>
      </c>
      <c r="T79" s="10" t="n">
        <f aca="false">IF($H79="숙박",0,IF($H79=MID(T$1,3,20),IF($I79="",1,0.6),IF($I79=MID(T$1,3,20),0.4,0)))</f>
        <v>0</v>
      </c>
      <c r="U79" s="10" t="n">
        <f aca="false">IF($H79="숙박",0,IF(ISNUMBER(SEARCH("야경",$J79)),1,0))</f>
        <v>0</v>
      </c>
      <c r="V79" s="10" t="n">
        <f aca="false">IF($H79="숙박",0,1)</f>
        <v>1</v>
      </c>
    </row>
    <row r="80" customFormat="false" ht="15" hidden="false" customHeight="false" outlineLevel="0" collapsed="false">
      <c r="A80" s="8" t="n">
        <v>79</v>
      </c>
      <c r="B80" s="8" t="s">
        <v>45</v>
      </c>
      <c r="C80" s="8"/>
      <c r="D80" s="8" t="s">
        <v>308</v>
      </c>
      <c r="E80" s="7" t="s">
        <v>309</v>
      </c>
      <c r="F80" s="8"/>
      <c r="G80" s="8"/>
      <c r="H80" s="9" t="s">
        <v>190</v>
      </c>
      <c r="I80" s="9"/>
      <c r="J80" s="9"/>
      <c r="K80" s="9" t="s">
        <v>191</v>
      </c>
      <c r="L80" s="8"/>
      <c r="M80" s="7" t="s">
        <v>53</v>
      </c>
      <c r="N80" s="8" t="s">
        <v>307</v>
      </c>
      <c r="O80" s="8"/>
      <c r="P80" s="10" t="n">
        <f aca="false">IF($H80="숙박",0,IF($H80=MID(P$1,3,20),IF($I80="",1,0.6),IF($I80=MID(P$1,3,20),0.4,0)))</f>
        <v>1</v>
      </c>
      <c r="Q80" s="10" t="n">
        <f aca="false">IF($H80="숙박",0,IF($H80=MID(Q$1,3,20),IF($I80="",1,0.6),IF($I80=MID(Q$1,3,20),0.4,0)))</f>
        <v>0</v>
      </c>
      <c r="R80" s="10" t="n">
        <f aca="false">IF($H80="숙박",0,IF($H80=MID(R$1,3,20),IF($I80="",1,0.6),IF($I80=MID(R$1,3,20),0.4,0)))</f>
        <v>0</v>
      </c>
      <c r="S80" s="10" t="n">
        <f aca="false">IF($H80="숙박",0,IF($H80=MID(S$1,3,20),IF($I80="",1,0.6),IF($I80=MID(S$1,3,20),0.4,0)))</f>
        <v>0</v>
      </c>
      <c r="T80" s="10" t="n">
        <f aca="false">IF($H80="숙박",0,IF($H80=MID(T$1,3,20),IF($I80="",1,0.6),IF($I80=MID(T$1,3,20),0.4,0)))</f>
        <v>0</v>
      </c>
      <c r="U80" s="10" t="n">
        <f aca="false">IF($H80="숙박",0,IF(ISNUMBER(SEARCH("야경",$J80)),1,0))</f>
        <v>0</v>
      </c>
      <c r="V80" s="10" t="n">
        <f aca="false">IF($H80="숙박",0,1)</f>
        <v>1</v>
      </c>
    </row>
    <row r="81" customFormat="false" ht="15" hidden="false" customHeight="false" outlineLevel="0" collapsed="false">
      <c r="A81" s="8" t="n">
        <v>80</v>
      </c>
      <c r="B81" s="8" t="s">
        <v>45</v>
      </c>
      <c r="C81" s="8" t="s">
        <v>310</v>
      </c>
      <c r="D81" s="8" t="s">
        <v>311</v>
      </c>
      <c r="E81" s="7" t="s">
        <v>312</v>
      </c>
      <c r="F81" s="8"/>
      <c r="G81" s="8" t="s">
        <v>190</v>
      </c>
      <c r="H81" s="9" t="s">
        <v>190</v>
      </c>
      <c r="I81" s="9" t="s">
        <v>50</v>
      </c>
      <c r="J81" s="9" t="s">
        <v>168</v>
      </c>
      <c r="K81" s="9" t="s">
        <v>191</v>
      </c>
      <c r="L81" s="8"/>
      <c r="M81" s="7" t="s">
        <v>53</v>
      </c>
      <c r="N81" s="8" t="s">
        <v>185</v>
      </c>
      <c r="O81" s="8" t="s">
        <v>313</v>
      </c>
      <c r="P81" s="10" t="n">
        <f aca="false">IF($H81="숙박",0,IF($H81=MID(P$1,3,20),IF($I81="",1,0.6),IF($I81=MID(P$1,3,20),0.4,0)))</f>
        <v>0.6</v>
      </c>
      <c r="Q81" s="10" t="n">
        <f aca="false">IF($H81="숙박",0,IF($H81=MID(Q$1,3,20),IF($I81="",1,0.6),IF($I81=MID(Q$1,3,20),0.4,0)))</f>
        <v>0</v>
      </c>
      <c r="R81" s="10" t="n">
        <f aca="false">IF($H81="숙박",0,IF($H81=MID(R$1,3,20),IF($I81="",1,0.6),IF($I81=MID(R$1,3,20),0.4,0)))</f>
        <v>0</v>
      </c>
      <c r="S81" s="10" t="n">
        <f aca="false">IF($H81="숙박",0,IF($H81=MID(S$1,3,20),IF($I81="",1,0.6),IF($I81=MID(S$1,3,20),0.4,0)))</f>
        <v>0</v>
      </c>
      <c r="T81" s="10" t="n">
        <f aca="false">IF($H81="숙박",0,IF($H81=MID(T$1,3,20),IF($I81="",1,0.6),IF($I81=MID(T$1,3,20),0.4,0)))</f>
        <v>0.4</v>
      </c>
      <c r="U81" s="10" t="n">
        <f aca="false">IF($H81="숙박",0,IF(ISNUMBER(SEARCH("야경",$J81)),1,0))</f>
        <v>0</v>
      </c>
      <c r="V81" s="10" t="n">
        <f aca="false">IF($H81="숙박",0,1)</f>
        <v>1</v>
      </c>
    </row>
    <row r="82" customFormat="false" ht="15" hidden="false" customHeight="false" outlineLevel="0" collapsed="false">
      <c r="A82" s="8" t="n">
        <v>81</v>
      </c>
      <c r="B82" s="8" t="s">
        <v>45</v>
      </c>
      <c r="C82" s="8" t="s">
        <v>165</v>
      </c>
      <c r="D82" s="8" t="s">
        <v>314</v>
      </c>
      <c r="E82" s="7" t="s">
        <v>315</v>
      </c>
      <c r="F82" s="8"/>
      <c r="G82" s="8" t="s">
        <v>184</v>
      </c>
      <c r="H82" s="9" t="s">
        <v>184</v>
      </c>
      <c r="I82" s="9" t="s">
        <v>50</v>
      </c>
      <c r="J82" s="9" t="s">
        <v>168</v>
      </c>
      <c r="K82" s="9" t="s">
        <v>191</v>
      </c>
      <c r="L82" s="8"/>
      <c r="M82" s="7" t="s">
        <v>53</v>
      </c>
      <c r="N82" s="8" t="s">
        <v>185</v>
      </c>
      <c r="O82" s="8" t="s">
        <v>316</v>
      </c>
      <c r="P82" s="10" t="n">
        <f aca="false">IF($H82="숙박",0,IF($H82=MID(P$1,3,20),IF($I82="",1,0.6),IF($I82=MID(P$1,3,20),0.4,0)))</f>
        <v>0</v>
      </c>
      <c r="Q82" s="10" t="n">
        <f aca="false">IF($H82="숙박",0,IF($H82=MID(Q$1,3,20),IF($I82="",1,0.6),IF($I82=MID(Q$1,3,20),0.4,0)))</f>
        <v>0</v>
      </c>
      <c r="R82" s="10" t="n">
        <f aca="false">IF($H82="숙박",0,IF($H82=MID(R$1,3,20),IF($I82="",1,0.6),IF($I82=MID(R$1,3,20),0.4,0)))</f>
        <v>0.6</v>
      </c>
      <c r="S82" s="10" t="n">
        <f aca="false">IF($H82="숙박",0,IF($H82=MID(S$1,3,20),IF($I82="",1,0.6),IF($I82=MID(S$1,3,20),0.4,0)))</f>
        <v>0</v>
      </c>
      <c r="T82" s="10" t="n">
        <f aca="false">IF($H82="숙박",0,IF($H82=MID(T$1,3,20),IF($I82="",1,0.6),IF($I82=MID(T$1,3,20),0.4,0)))</f>
        <v>0.4</v>
      </c>
      <c r="U82" s="10" t="n">
        <f aca="false">IF($H82="숙박",0,IF(ISNUMBER(SEARCH("야경",$J82)),1,0))</f>
        <v>0</v>
      </c>
      <c r="V82" s="10" t="n">
        <f aca="false">IF($H82="숙박",0,1)</f>
        <v>1</v>
      </c>
    </row>
    <row r="83" customFormat="false" ht="15" hidden="false" customHeight="false" outlineLevel="0" collapsed="false">
      <c r="A83" s="8" t="n">
        <v>82</v>
      </c>
      <c r="B83" s="8" t="s">
        <v>45</v>
      </c>
      <c r="C83" s="8" t="s">
        <v>317</v>
      </c>
      <c r="D83" s="8" t="s">
        <v>318</v>
      </c>
      <c r="E83" s="7" t="s">
        <v>319</v>
      </c>
      <c r="F83" s="8"/>
      <c r="G83" s="8" t="s">
        <v>49</v>
      </c>
      <c r="H83" s="9" t="s">
        <v>49</v>
      </c>
      <c r="I83" s="9" t="s">
        <v>50</v>
      </c>
      <c r="J83" s="9" t="s">
        <v>168</v>
      </c>
      <c r="K83" s="9" t="s">
        <v>52</v>
      </c>
      <c r="L83" s="8"/>
      <c r="M83" s="7" t="s">
        <v>53</v>
      </c>
      <c r="N83" s="8" t="s">
        <v>185</v>
      </c>
      <c r="O83" s="8" t="s">
        <v>320</v>
      </c>
      <c r="P83" s="10" t="n">
        <f aca="false">IF($H83="숙박",0,IF($H83=MID(P$1,3,20),IF($I83="",1,0.6),IF($I83=MID(P$1,3,20),0.4,0)))</f>
        <v>0</v>
      </c>
      <c r="Q83" s="10" t="n">
        <f aca="false">IF($H83="숙박",0,IF($H83=MID(Q$1,3,20),IF($I83="",1,0.6),IF($I83=MID(Q$1,3,20),0.4,0)))</f>
        <v>0.6</v>
      </c>
      <c r="R83" s="10" t="n">
        <f aca="false">IF($H83="숙박",0,IF($H83=MID(R$1,3,20),IF($I83="",1,0.6),IF($I83=MID(R$1,3,20),0.4,0)))</f>
        <v>0</v>
      </c>
      <c r="S83" s="10" t="n">
        <f aca="false">IF($H83="숙박",0,IF($H83=MID(S$1,3,20),IF($I83="",1,0.6),IF($I83=MID(S$1,3,20),0.4,0)))</f>
        <v>0</v>
      </c>
      <c r="T83" s="10" t="n">
        <f aca="false">IF($H83="숙박",0,IF($H83=MID(T$1,3,20),IF($I83="",1,0.6),IF($I83=MID(T$1,3,20),0.4,0)))</f>
        <v>0.4</v>
      </c>
      <c r="U83" s="10" t="n">
        <f aca="false">IF($H83="숙박",0,IF(ISNUMBER(SEARCH("야경",$J83)),1,0))</f>
        <v>0</v>
      </c>
      <c r="V83" s="10" t="n">
        <f aca="false">IF($H83="숙박",0,1)</f>
        <v>1</v>
      </c>
    </row>
    <row r="84" customFormat="false" ht="15" hidden="false" customHeight="false" outlineLevel="0" collapsed="false">
      <c r="A84" s="8" t="n">
        <v>83</v>
      </c>
      <c r="B84" s="8" t="s">
        <v>45</v>
      </c>
      <c r="C84" s="8" t="s">
        <v>321</v>
      </c>
      <c r="D84" s="8" t="s">
        <v>322</v>
      </c>
      <c r="E84" s="7" t="s">
        <v>323</v>
      </c>
      <c r="F84" s="8"/>
      <c r="G84" s="8" t="s">
        <v>184</v>
      </c>
      <c r="H84" s="9" t="s">
        <v>184</v>
      </c>
      <c r="I84" s="9" t="s">
        <v>50</v>
      </c>
      <c r="J84" s="9" t="s">
        <v>168</v>
      </c>
      <c r="K84" s="9" t="s">
        <v>191</v>
      </c>
      <c r="L84" s="8"/>
      <c r="M84" s="7" t="s">
        <v>53</v>
      </c>
      <c r="N84" s="8" t="s">
        <v>185</v>
      </c>
      <c r="O84" s="8" t="s">
        <v>324</v>
      </c>
      <c r="P84" s="10" t="n">
        <f aca="false">IF($H84="숙박",0,IF($H84=MID(P$1,3,20),IF($I84="",1,0.6),IF($I84=MID(P$1,3,20),0.4,0)))</f>
        <v>0</v>
      </c>
      <c r="Q84" s="10" t="n">
        <f aca="false">IF($H84="숙박",0,IF($H84=MID(Q$1,3,20),IF($I84="",1,0.6),IF($I84=MID(Q$1,3,20),0.4,0)))</f>
        <v>0</v>
      </c>
      <c r="R84" s="10" t="n">
        <f aca="false">IF($H84="숙박",0,IF($H84=MID(R$1,3,20),IF($I84="",1,0.6),IF($I84=MID(R$1,3,20),0.4,0)))</f>
        <v>0.6</v>
      </c>
      <c r="S84" s="10" t="n">
        <f aca="false">IF($H84="숙박",0,IF($H84=MID(S$1,3,20),IF($I84="",1,0.6),IF($I84=MID(S$1,3,20),0.4,0)))</f>
        <v>0</v>
      </c>
      <c r="T84" s="10" t="n">
        <f aca="false">IF($H84="숙박",0,IF($H84=MID(T$1,3,20),IF($I84="",1,0.6),IF($I84=MID(T$1,3,20),0.4,0)))</f>
        <v>0.4</v>
      </c>
      <c r="U84" s="10" t="n">
        <f aca="false">IF($H84="숙박",0,IF(ISNUMBER(SEARCH("야경",$J84)),1,0))</f>
        <v>0</v>
      </c>
      <c r="V84" s="10" t="n">
        <f aca="false">IF($H84="숙박",0,1)</f>
        <v>1</v>
      </c>
    </row>
    <row r="85" customFormat="false" ht="15" hidden="false" customHeight="false" outlineLevel="0" collapsed="false">
      <c r="A85" s="8" t="n">
        <v>84</v>
      </c>
      <c r="B85" s="8" t="s">
        <v>45</v>
      </c>
      <c r="C85" s="8"/>
      <c r="D85" s="8" t="s">
        <v>325</v>
      </c>
      <c r="E85" s="7" t="s">
        <v>326</v>
      </c>
      <c r="F85" s="8"/>
      <c r="G85" s="8"/>
      <c r="H85" s="9" t="s">
        <v>49</v>
      </c>
      <c r="I85" s="9"/>
      <c r="J85" s="9"/>
      <c r="K85" s="9" t="s">
        <v>52</v>
      </c>
      <c r="L85" s="8"/>
      <c r="M85" s="7" t="s">
        <v>53</v>
      </c>
      <c r="N85" s="8" t="s">
        <v>307</v>
      </c>
      <c r="O85" s="8"/>
      <c r="P85" s="10" t="n">
        <f aca="false">IF($H85="숙박",0,IF($H85=MID(P$1,3,20),IF($I85="",1,0.6),IF($I85=MID(P$1,3,20),0.4,0)))</f>
        <v>0</v>
      </c>
      <c r="Q85" s="10" t="n">
        <f aca="false">IF($H85="숙박",0,IF($H85=MID(Q$1,3,20),IF($I85="",1,0.6),IF($I85=MID(Q$1,3,20),0.4,0)))</f>
        <v>1</v>
      </c>
      <c r="R85" s="10" t="n">
        <f aca="false">IF($H85="숙박",0,IF($H85=MID(R$1,3,20),IF($I85="",1,0.6),IF($I85=MID(R$1,3,20),0.4,0)))</f>
        <v>0</v>
      </c>
      <c r="S85" s="10" t="n">
        <f aca="false">IF($H85="숙박",0,IF($H85=MID(S$1,3,20),IF($I85="",1,0.6),IF($I85=MID(S$1,3,20),0.4,0)))</f>
        <v>0</v>
      </c>
      <c r="T85" s="10" t="n">
        <f aca="false">IF($H85="숙박",0,IF($H85=MID(T$1,3,20),IF($I85="",1,0.6),IF($I85=MID(T$1,3,20),0.4,0)))</f>
        <v>0</v>
      </c>
      <c r="U85" s="10" t="n">
        <f aca="false">IF($H85="숙박",0,IF(ISNUMBER(SEARCH("야경",$J85)),1,0))</f>
        <v>0</v>
      </c>
      <c r="V85" s="10" t="n">
        <f aca="false">IF($H85="숙박",0,1)</f>
        <v>1</v>
      </c>
    </row>
    <row r="86" customFormat="false" ht="15" hidden="false" customHeight="false" outlineLevel="0" collapsed="false">
      <c r="A86" s="8" t="n">
        <v>85</v>
      </c>
      <c r="B86" s="8" t="s">
        <v>45</v>
      </c>
      <c r="C86" s="8" t="s">
        <v>327</v>
      </c>
      <c r="D86" s="8" t="s">
        <v>328</v>
      </c>
      <c r="E86" s="7" t="s">
        <v>329</v>
      </c>
      <c r="F86" s="8"/>
      <c r="G86" s="8" t="s">
        <v>49</v>
      </c>
      <c r="H86" s="9" t="s">
        <v>49</v>
      </c>
      <c r="I86" s="9" t="s">
        <v>50</v>
      </c>
      <c r="J86" s="9" t="s">
        <v>168</v>
      </c>
      <c r="K86" s="9" t="s">
        <v>52</v>
      </c>
      <c r="L86" s="8"/>
      <c r="M86" s="7" t="s">
        <v>53</v>
      </c>
      <c r="N86" s="8" t="s">
        <v>185</v>
      </c>
      <c r="O86" s="8" t="s">
        <v>330</v>
      </c>
      <c r="P86" s="10" t="n">
        <f aca="false">IF($H86="숙박",0,IF($H86=MID(P$1,3,20),IF($I86="",1,0.6),IF($I86=MID(P$1,3,20),0.4,0)))</f>
        <v>0</v>
      </c>
      <c r="Q86" s="10" t="n">
        <f aca="false">IF($H86="숙박",0,IF($H86=MID(Q$1,3,20),IF($I86="",1,0.6),IF($I86=MID(Q$1,3,20),0.4,0)))</f>
        <v>0.6</v>
      </c>
      <c r="R86" s="10" t="n">
        <f aca="false">IF($H86="숙박",0,IF($H86=MID(R$1,3,20),IF($I86="",1,0.6),IF($I86=MID(R$1,3,20),0.4,0)))</f>
        <v>0</v>
      </c>
      <c r="S86" s="10" t="n">
        <f aca="false">IF($H86="숙박",0,IF($H86=MID(S$1,3,20),IF($I86="",1,0.6),IF($I86=MID(S$1,3,20),0.4,0)))</f>
        <v>0</v>
      </c>
      <c r="T86" s="10" t="n">
        <f aca="false">IF($H86="숙박",0,IF($H86=MID(T$1,3,20),IF($I86="",1,0.6),IF($I86=MID(T$1,3,20),0.4,0)))</f>
        <v>0.4</v>
      </c>
      <c r="U86" s="10" t="n">
        <f aca="false">IF($H86="숙박",0,IF(ISNUMBER(SEARCH("야경",$J86)),1,0))</f>
        <v>0</v>
      </c>
      <c r="V86" s="10" t="n">
        <f aca="false">IF($H86="숙박",0,1)</f>
        <v>1</v>
      </c>
    </row>
    <row r="87" customFormat="false" ht="15" hidden="false" customHeight="false" outlineLevel="0" collapsed="false">
      <c r="A87" s="8" t="n">
        <v>86</v>
      </c>
      <c r="B87" s="8" t="s">
        <v>45</v>
      </c>
      <c r="C87" s="8" t="s">
        <v>331</v>
      </c>
      <c r="D87" s="8" t="s">
        <v>332</v>
      </c>
      <c r="E87" s="7" t="s">
        <v>333</v>
      </c>
      <c r="F87" s="8"/>
      <c r="G87" s="8" t="s">
        <v>184</v>
      </c>
      <c r="H87" s="9" t="s">
        <v>184</v>
      </c>
      <c r="I87" s="9" t="s">
        <v>50</v>
      </c>
      <c r="J87" s="9" t="s">
        <v>168</v>
      </c>
      <c r="K87" s="9" t="s">
        <v>52</v>
      </c>
      <c r="L87" s="8"/>
      <c r="M87" s="7" t="s">
        <v>53</v>
      </c>
      <c r="N87" s="8" t="s">
        <v>185</v>
      </c>
      <c r="O87" s="8" t="s">
        <v>334</v>
      </c>
      <c r="P87" s="10" t="n">
        <f aca="false">IF($H87="숙박",0,IF($H87=MID(P$1,3,20),IF($I87="",1,0.6),IF($I87=MID(P$1,3,20),0.4,0)))</f>
        <v>0</v>
      </c>
      <c r="Q87" s="10" t="n">
        <f aca="false">IF($H87="숙박",0,IF($H87=MID(Q$1,3,20),IF($I87="",1,0.6),IF($I87=MID(Q$1,3,20),0.4,0)))</f>
        <v>0</v>
      </c>
      <c r="R87" s="10" t="n">
        <f aca="false">IF($H87="숙박",0,IF($H87=MID(R$1,3,20),IF($I87="",1,0.6),IF($I87=MID(R$1,3,20),0.4,0)))</f>
        <v>0.6</v>
      </c>
      <c r="S87" s="10" t="n">
        <f aca="false">IF($H87="숙박",0,IF($H87=MID(S$1,3,20),IF($I87="",1,0.6),IF($I87=MID(S$1,3,20),0.4,0)))</f>
        <v>0</v>
      </c>
      <c r="T87" s="10" t="n">
        <f aca="false">IF($H87="숙박",0,IF($H87=MID(T$1,3,20),IF($I87="",1,0.6),IF($I87=MID(T$1,3,20),0.4,0)))</f>
        <v>0.4</v>
      </c>
      <c r="U87" s="10" t="n">
        <f aca="false">IF($H87="숙박",0,IF(ISNUMBER(SEARCH("야경",$J87)),1,0))</f>
        <v>0</v>
      </c>
      <c r="V87" s="10" t="n">
        <f aca="false">IF($H87="숙박",0,1)</f>
        <v>1</v>
      </c>
    </row>
    <row r="88" customFormat="false" ht="15" hidden="false" customHeight="false" outlineLevel="0" collapsed="false">
      <c r="A88" s="8" t="n">
        <v>87</v>
      </c>
      <c r="B88" s="8" t="s">
        <v>45</v>
      </c>
      <c r="C88" s="8" t="s">
        <v>331</v>
      </c>
      <c r="D88" s="8" t="s">
        <v>335</v>
      </c>
      <c r="E88" s="7" t="s">
        <v>336</v>
      </c>
      <c r="F88" s="8"/>
      <c r="G88" s="8" t="s">
        <v>49</v>
      </c>
      <c r="H88" s="9" t="s">
        <v>49</v>
      </c>
      <c r="I88" s="9" t="s">
        <v>50</v>
      </c>
      <c r="J88" s="9" t="s">
        <v>168</v>
      </c>
      <c r="K88" s="9" t="s">
        <v>52</v>
      </c>
      <c r="L88" s="8"/>
      <c r="M88" s="7" t="s">
        <v>53</v>
      </c>
      <c r="N88" s="8" t="s">
        <v>185</v>
      </c>
      <c r="O88" s="8" t="s">
        <v>337</v>
      </c>
      <c r="P88" s="10" t="n">
        <f aca="false">IF($H88="숙박",0,IF($H88=MID(P$1,3,20),IF($I88="",1,0.6),IF($I88=MID(P$1,3,20),0.4,0)))</f>
        <v>0</v>
      </c>
      <c r="Q88" s="10" t="n">
        <f aca="false">IF($H88="숙박",0,IF($H88=MID(Q$1,3,20),IF($I88="",1,0.6),IF($I88=MID(Q$1,3,20),0.4,0)))</f>
        <v>0.6</v>
      </c>
      <c r="R88" s="10" t="n">
        <f aca="false">IF($H88="숙박",0,IF($H88=MID(R$1,3,20),IF($I88="",1,0.6),IF($I88=MID(R$1,3,20),0.4,0)))</f>
        <v>0</v>
      </c>
      <c r="S88" s="10" t="n">
        <f aca="false">IF($H88="숙박",0,IF($H88=MID(S$1,3,20),IF($I88="",1,0.6),IF($I88=MID(S$1,3,20),0.4,0)))</f>
        <v>0</v>
      </c>
      <c r="T88" s="10" t="n">
        <f aca="false">IF($H88="숙박",0,IF($H88=MID(T$1,3,20),IF($I88="",1,0.6),IF($I88=MID(T$1,3,20),0.4,0)))</f>
        <v>0.4</v>
      </c>
      <c r="U88" s="10" t="n">
        <f aca="false">IF($H88="숙박",0,IF(ISNUMBER(SEARCH("야경",$J88)),1,0))</f>
        <v>0</v>
      </c>
      <c r="V88" s="10" t="n">
        <f aca="false">IF($H88="숙박",0,1)</f>
        <v>1</v>
      </c>
    </row>
    <row r="89" customFormat="false" ht="15" hidden="false" customHeight="false" outlineLevel="0" collapsed="false">
      <c r="A89" s="8" t="n">
        <v>88</v>
      </c>
      <c r="B89" s="8" t="s">
        <v>45</v>
      </c>
      <c r="C89" s="8" t="s">
        <v>317</v>
      </c>
      <c r="D89" s="8" t="s">
        <v>338</v>
      </c>
      <c r="E89" s="7" t="s">
        <v>339</v>
      </c>
      <c r="F89" s="8"/>
      <c r="G89" s="8" t="s">
        <v>216</v>
      </c>
      <c r="H89" s="9" t="s">
        <v>216</v>
      </c>
      <c r="I89" s="9" t="s">
        <v>50</v>
      </c>
      <c r="J89" s="9" t="s">
        <v>340</v>
      </c>
      <c r="K89" s="9" t="s">
        <v>191</v>
      </c>
      <c r="L89" s="8"/>
      <c r="M89" s="7" t="s">
        <v>53</v>
      </c>
      <c r="N89" s="8" t="s">
        <v>185</v>
      </c>
      <c r="O89" s="8" t="s">
        <v>341</v>
      </c>
      <c r="P89" s="10" t="n">
        <f aca="false">IF($H89="숙박",0,IF($H89=MID(P$1,3,20),IF($I89="",1,0.6),IF($I89=MID(P$1,3,20),0.4,0)))</f>
        <v>0</v>
      </c>
      <c r="Q89" s="10" t="n">
        <f aca="false">IF($H89="숙박",0,IF($H89=MID(Q$1,3,20),IF($I89="",1,0.6),IF($I89=MID(Q$1,3,20),0.4,0)))</f>
        <v>0</v>
      </c>
      <c r="R89" s="10" t="n">
        <f aca="false">IF($H89="숙박",0,IF($H89=MID(R$1,3,20),IF($I89="",1,0.6),IF($I89=MID(R$1,3,20),0.4,0)))</f>
        <v>0</v>
      </c>
      <c r="S89" s="10" t="n">
        <f aca="false">IF($H89="숙박",0,IF($H89=MID(S$1,3,20),IF($I89="",1,0.6),IF($I89=MID(S$1,3,20),0.4,0)))</f>
        <v>0.6</v>
      </c>
      <c r="T89" s="10" t="n">
        <f aca="false">IF($H89="숙박",0,IF($H89=MID(T$1,3,20),IF($I89="",1,0.6),IF($I89=MID(T$1,3,20),0.4,0)))</f>
        <v>0.4</v>
      </c>
      <c r="U89" s="10" t="n">
        <f aca="false">IF($H89="숙박",0,IF(ISNUMBER(SEARCH("야경",$J89)),1,0))</f>
        <v>1</v>
      </c>
      <c r="V89" s="10" t="n">
        <f aca="false">IF($H89="숙박",0,1)</f>
        <v>1</v>
      </c>
    </row>
    <row r="90" customFormat="false" ht="15" hidden="false" customHeight="false" outlineLevel="0" collapsed="false">
      <c r="A90" s="8" t="n">
        <v>89</v>
      </c>
      <c r="B90" s="8" t="s">
        <v>45</v>
      </c>
      <c r="C90" s="8" t="s">
        <v>342</v>
      </c>
      <c r="D90" s="8" t="s">
        <v>343</v>
      </c>
      <c r="E90" s="7" t="s">
        <v>344</v>
      </c>
      <c r="F90" s="8"/>
      <c r="G90" s="8" t="s">
        <v>216</v>
      </c>
      <c r="H90" s="9" t="s">
        <v>216</v>
      </c>
      <c r="I90" s="9" t="s">
        <v>50</v>
      </c>
      <c r="J90" s="9" t="s">
        <v>168</v>
      </c>
      <c r="K90" s="9" t="s">
        <v>191</v>
      </c>
      <c r="L90" s="8"/>
      <c r="M90" s="7" t="s">
        <v>53</v>
      </c>
      <c r="N90" s="8" t="s">
        <v>185</v>
      </c>
      <c r="O90" s="8" t="s">
        <v>345</v>
      </c>
      <c r="P90" s="10" t="n">
        <f aca="false">IF($H90="숙박",0,IF($H90=MID(P$1,3,20),IF($I90="",1,0.6),IF($I90=MID(P$1,3,20),0.4,0)))</f>
        <v>0</v>
      </c>
      <c r="Q90" s="10" t="n">
        <f aca="false">IF($H90="숙박",0,IF($H90=MID(Q$1,3,20),IF($I90="",1,0.6),IF($I90=MID(Q$1,3,20),0.4,0)))</f>
        <v>0</v>
      </c>
      <c r="R90" s="10" t="n">
        <f aca="false">IF($H90="숙박",0,IF($H90=MID(R$1,3,20),IF($I90="",1,0.6),IF($I90=MID(R$1,3,20),0.4,0)))</f>
        <v>0</v>
      </c>
      <c r="S90" s="10" t="n">
        <f aca="false">IF($H90="숙박",0,IF($H90=MID(S$1,3,20),IF($I90="",1,0.6),IF($I90=MID(S$1,3,20),0.4,0)))</f>
        <v>0.6</v>
      </c>
      <c r="T90" s="10" t="n">
        <f aca="false">IF($H90="숙박",0,IF($H90=MID(T$1,3,20),IF($I90="",1,0.6),IF($I90=MID(T$1,3,20),0.4,0)))</f>
        <v>0.4</v>
      </c>
      <c r="U90" s="10" t="n">
        <f aca="false">IF($H90="숙박",0,IF(ISNUMBER(SEARCH("야경",$J90)),1,0))</f>
        <v>0</v>
      </c>
      <c r="V90" s="10" t="n">
        <f aca="false">IF($H90="숙박",0,1)</f>
        <v>1</v>
      </c>
    </row>
    <row r="91" customFormat="false" ht="15" hidden="false" customHeight="false" outlineLevel="0" collapsed="false">
      <c r="A91" s="8" t="n">
        <v>90</v>
      </c>
      <c r="B91" s="8" t="s">
        <v>45</v>
      </c>
      <c r="C91" s="8"/>
      <c r="D91" s="8" t="s">
        <v>346</v>
      </c>
      <c r="E91" s="7" t="s">
        <v>347</v>
      </c>
      <c r="F91" s="8"/>
      <c r="G91" s="8"/>
      <c r="H91" s="9" t="s">
        <v>50</v>
      </c>
      <c r="I91" s="9" t="s">
        <v>190</v>
      </c>
      <c r="J91" s="9" t="s">
        <v>168</v>
      </c>
      <c r="K91" s="9" t="s">
        <v>52</v>
      </c>
      <c r="L91" s="8"/>
      <c r="M91" s="7" t="s">
        <v>53</v>
      </c>
      <c r="N91" s="8" t="s">
        <v>348</v>
      </c>
      <c r="O91" s="8"/>
      <c r="P91" s="10" t="n">
        <f aca="false">IF($H91="숙박",0,IF($H91=MID(P$1,3,20),IF($I91="",1,0.6),IF($I91=MID(P$1,3,20),0.4,0)))</f>
        <v>0.4</v>
      </c>
      <c r="Q91" s="10" t="n">
        <f aca="false">IF($H91="숙박",0,IF($H91=MID(Q$1,3,20),IF($I91="",1,0.6),IF($I91=MID(Q$1,3,20),0.4,0)))</f>
        <v>0</v>
      </c>
      <c r="R91" s="10" t="n">
        <f aca="false">IF($H91="숙박",0,IF($H91=MID(R$1,3,20),IF($I91="",1,0.6),IF($I91=MID(R$1,3,20),0.4,0)))</f>
        <v>0</v>
      </c>
      <c r="S91" s="10" t="n">
        <f aca="false">IF($H91="숙박",0,IF($H91=MID(S$1,3,20),IF($I91="",1,0.6),IF($I91=MID(S$1,3,20),0.4,0)))</f>
        <v>0</v>
      </c>
      <c r="T91" s="10" t="n">
        <f aca="false">IF($H91="숙박",0,IF($H91=MID(T$1,3,20),IF($I91="",1,0.6),IF($I91=MID(T$1,3,20),0.4,0)))</f>
        <v>0.6</v>
      </c>
      <c r="U91" s="10" t="n">
        <f aca="false">IF($H91="숙박",0,IF(ISNUMBER(SEARCH("야경",$J91)),1,0))</f>
        <v>0</v>
      </c>
      <c r="V91" s="10" t="n">
        <f aca="false">IF($H91="숙박",0,1)</f>
        <v>1</v>
      </c>
    </row>
    <row r="92" customFormat="false" ht="15" hidden="false" customHeight="false" outlineLevel="0" collapsed="false">
      <c r="A92" s="8" t="n">
        <v>91</v>
      </c>
      <c r="B92" s="8" t="s">
        <v>45</v>
      </c>
      <c r="C92" s="8" t="s">
        <v>349</v>
      </c>
      <c r="D92" s="8" t="s">
        <v>350</v>
      </c>
      <c r="E92" s="7" t="s">
        <v>351</v>
      </c>
      <c r="F92" s="8"/>
      <c r="G92" s="8" t="s">
        <v>216</v>
      </c>
      <c r="H92" s="9" t="s">
        <v>216</v>
      </c>
      <c r="I92" s="9" t="s">
        <v>50</v>
      </c>
      <c r="J92" s="9" t="s">
        <v>340</v>
      </c>
      <c r="K92" s="9" t="s">
        <v>191</v>
      </c>
      <c r="L92" s="8"/>
      <c r="M92" s="7" t="s">
        <v>53</v>
      </c>
      <c r="N92" s="8" t="s">
        <v>185</v>
      </c>
      <c r="O92" s="8" t="s">
        <v>352</v>
      </c>
      <c r="P92" s="10" t="n">
        <f aca="false">IF($H92="숙박",0,IF($H92=MID(P$1,3,20),IF($I92="",1,0.6),IF($I92=MID(P$1,3,20),0.4,0)))</f>
        <v>0</v>
      </c>
      <c r="Q92" s="10" t="n">
        <f aca="false">IF($H92="숙박",0,IF($H92=MID(Q$1,3,20),IF($I92="",1,0.6),IF($I92=MID(Q$1,3,20),0.4,0)))</f>
        <v>0</v>
      </c>
      <c r="R92" s="10" t="n">
        <f aca="false">IF($H92="숙박",0,IF($H92=MID(R$1,3,20),IF($I92="",1,0.6),IF($I92=MID(R$1,3,20),0.4,0)))</f>
        <v>0</v>
      </c>
      <c r="S92" s="10" t="n">
        <f aca="false">IF($H92="숙박",0,IF($H92=MID(S$1,3,20),IF($I92="",1,0.6),IF($I92=MID(S$1,3,20),0.4,0)))</f>
        <v>0.6</v>
      </c>
      <c r="T92" s="10" t="n">
        <f aca="false">IF($H92="숙박",0,IF($H92=MID(T$1,3,20),IF($I92="",1,0.6),IF($I92=MID(T$1,3,20),0.4,0)))</f>
        <v>0.4</v>
      </c>
      <c r="U92" s="10" t="n">
        <f aca="false">IF($H92="숙박",0,IF(ISNUMBER(SEARCH("야경",$J92)),1,0))</f>
        <v>1</v>
      </c>
      <c r="V92" s="10" t="n">
        <f aca="false">IF($H92="숙박",0,1)</f>
        <v>1</v>
      </c>
    </row>
    <row r="93" customFormat="false" ht="15" hidden="false" customHeight="false" outlineLevel="0" collapsed="false">
      <c r="A93" s="8" t="n">
        <v>92</v>
      </c>
      <c r="B93" s="8" t="s">
        <v>45</v>
      </c>
      <c r="C93" s="8" t="s">
        <v>331</v>
      </c>
      <c r="D93" s="8" t="s">
        <v>353</v>
      </c>
      <c r="E93" s="7" t="s">
        <v>354</v>
      </c>
      <c r="F93" s="8"/>
      <c r="G93" s="8" t="s">
        <v>49</v>
      </c>
      <c r="H93" s="9" t="s">
        <v>49</v>
      </c>
      <c r="I93" s="9" t="s">
        <v>50</v>
      </c>
      <c r="J93" s="9" t="s">
        <v>168</v>
      </c>
      <c r="K93" s="9" t="s">
        <v>52</v>
      </c>
      <c r="L93" s="8"/>
      <c r="M93" s="7" t="s">
        <v>53</v>
      </c>
      <c r="N93" s="8" t="s">
        <v>185</v>
      </c>
      <c r="O93" s="8" t="s">
        <v>355</v>
      </c>
      <c r="P93" s="10" t="n">
        <f aca="false">IF($H93="숙박",0,IF($H93=MID(P$1,3,20),IF($I93="",1,0.6),IF($I93=MID(P$1,3,20),0.4,0)))</f>
        <v>0</v>
      </c>
      <c r="Q93" s="10" t="n">
        <f aca="false">IF($H93="숙박",0,IF($H93=MID(Q$1,3,20),IF($I93="",1,0.6),IF($I93=MID(Q$1,3,20),0.4,0)))</f>
        <v>0.6</v>
      </c>
      <c r="R93" s="10" t="n">
        <f aca="false">IF($H93="숙박",0,IF($H93=MID(R$1,3,20),IF($I93="",1,0.6),IF($I93=MID(R$1,3,20),0.4,0)))</f>
        <v>0</v>
      </c>
      <c r="S93" s="10" t="n">
        <f aca="false">IF($H93="숙박",0,IF($H93=MID(S$1,3,20),IF($I93="",1,0.6),IF($I93=MID(S$1,3,20),0.4,0)))</f>
        <v>0</v>
      </c>
      <c r="T93" s="10" t="n">
        <f aca="false">IF($H93="숙박",0,IF($H93=MID(T$1,3,20),IF($I93="",1,0.6),IF($I93=MID(T$1,3,20),0.4,0)))</f>
        <v>0.4</v>
      </c>
      <c r="U93" s="10" t="n">
        <f aca="false">IF($H93="숙박",0,IF(ISNUMBER(SEARCH("야경",$J93)),1,0))</f>
        <v>0</v>
      </c>
      <c r="V93" s="10" t="n">
        <f aca="false">IF($H93="숙박",0,1)</f>
        <v>1</v>
      </c>
    </row>
    <row r="94" customFormat="false" ht="15" hidden="false" customHeight="false" outlineLevel="0" collapsed="false">
      <c r="A94" s="8" t="n">
        <v>93</v>
      </c>
      <c r="B94" s="8" t="s">
        <v>45</v>
      </c>
      <c r="C94" s="8" t="s">
        <v>178</v>
      </c>
      <c r="D94" s="8" t="s">
        <v>356</v>
      </c>
      <c r="E94" s="7" t="s">
        <v>357</v>
      </c>
      <c r="F94" s="8"/>
      <c r="G94" s="8" t="s">
        <v>49</v>
      </c>
      <c r="H94" s="9" t="s">
        <v>49</v>
      </c>
      <c r="I94" s="9" t="s">
        <v>50</v>
      </c>
      <c r="J94" s="9" t="s">
        <v>168</v>
      </c>
      <c r="K94" s="9" t="s">
        <v>209</v>
      </c>
      <c r="L94" s="8"/>
      <c r="M94" s="7" t="s">
        <v>53</v>
      </c>
      <c r="N94" s="8" t="s">
        <v>185</v>
      </c>
      <c r="O94" s="8" t="s">
        <v>358</v>
      </c>
      <c r="P94" s="10" t="n">
        <f aca="false">IF($H94="숙박",0,IF($H94=MID(P$1,3,20),IF($I94="",1,0.6),IF($I94=MID(P$1,3,20),0.4,0)))</f>
        <v>0</v>
      </c>
      <c r="Q94" s="10" t="n">
        <f aca="false">IF($H94="숙박",0,IF($H94=MID(Q$1,3,20),IF($I94="",1,0.6),IF($I94=MID(Q$1,3,20),0.4,0)))</f>
        <v>0.6</v>
      </c>
      <c r="R94" s="10" t="n">
        <f aca="false">IF($H94="숙박",0,IF($H94=MID(R$1,3,20),IF($I94="",1,0.6),IF($I94=MID(R$1,3,20),0.4,0)))</f>
        <v>0</v>
      </c>
      <c r="S94" s="10" t="n">
        <f aca="false">IF($H94="숙박",0,IF($H94=MID(S$1,3,20),IF($I94="",1,0.6),IF($I94=MID(S$1,3,20),0.4,0)))</f>
        <v>0</v>
      </c>
      <c r="T94" s="10" t="n">
        <f aca="false">IF($H94="숙박",0,IF($H94=MID(T$1,3,20),IF($I94="",1,0.6),IF($I94=MID(T$1,3,20),0.4,0)))</f>
        <v>0.4</v>
      </c>
      <c r="U94" s="10" t="n">
        <f aca="false">IF($H94="숙박",0,IF(ISNUMBER(SEARCH("야경",$J94)),1,0))</f>
        <v>0</v>
      </c>
      <c r="V94" s="10" t="n">
        <f aca="false">IF($H94="숙박",0,1)</f>
        <v>1</v>
      </c>
    </row>
    <row r="95" customFormat="false" ht="15" hidden="false" customHeight="false" outlineLevel="0" collapsed="false">
      <c r="A95" s="8" t="n">
        <v>94</v>
      </c>
      <c r="B95" s="8" t="s">
        <v>45</v>
      </c>
      <c r="C95" s="8" t="s">
        <v>331</v>
      </c>
      <c r="D95" s="8" t="s">
        <v>359</v>
      </c>
      <c r="E95" s="7" t="s">
        <v>360</v>
      </c>
      <c r="F95" s="8"/>
      <c r="G95" s="8" t="s">
        <v>190</v>
      </c>
      <c r="H95" s="9" t="s">
        <v>190</v>
      </c>
      <c r="I95" s="9" t="s">
        <v>50</v>
      </c>
      <c r="J95" s="9" t="s">
        <v>168</v>
      </c>
      <c r="K95" s="9" t="s">
        <v>191</v>
      </c>
      <c r="L95" s="8"/>
      <c r="M95" s="7" t="s">
        <v>53</v>
      </c>
      <c r="N95" s="8" t="s">
        <v>185</v>
      </c>
      <c r="O95" s="8" t="s">
        <v>361</v>
      </c>
      <c r="P95" s="10" t="n">
        <f aca="false">IF($H95="숙박",0,IF($H95=MID(P$1,3,20),IF($I95="",1,0.6),IF($I95=MID(P$1,3,20),0.4,0)))</f>
        <v>0.6</v>
      </c>
      <c r="Q95" s="10" t="n">
        <f aca="false">IF($H95="숙박",0,IF($H95=MID(Q$1,3,20),IF($I95="",1,0.6),IF($I95=MID(Q$1,3,20),0.4,0)))</f>
        <v>0</v>
      </c>
      <c r="R95" s="10" t="n">
        <f aca="false">IF($H95="숙박",0,IF($H95=MID(R$1,3,20),IF($I95="",1,0.6),IF($I95=MID(R$1,3,20),0.4,0)))</f>
        <v>0</v>
      </c>
      <c r="S95" s="10" t="n">
        <f aca="false">IF($H95="숙박",0,IF($H95=MID(S$1,3,20),IF($I95="",1,0.6),IF($I95=MID(S$1,3,20),0.4,0)))</f>
        <v>0</v>
      </c>
      <c r="T95" s="10" t="n">
        <f aca="false">IF($H95="숙박",0,IF($H95=MID(T$1,3,20),IF($I95="",1,0.6),IF($I95=MID(T$1,3,20),0.4,0)))</f>
        <v>0.4</v>
      </c>
      <c r="U95" s="10" t="n">
        <f aca="false">IF($H95="숙박",0,IF(ISNUMBER(SEARCH("야경",$J95)),1,0))</f>
        <v>0</v>
      </c>
      <c r="V95" s="10" t="n">
        <f aca="false">IF($H95="숙박",0,1)</f>
        <v>1</v>
      </c>
    </row>
    <row r="96" customFormat="false" ht="15" hidden="false" customHeight="false" outlineLevel="0" collapsed="false">
      <c r="A96" s="8" t="n">
        <v>95</v>
      </c>
      <c r="B96" s="8" t="s">
        <v>45</v>
      </c>
      <c r="C96" s="8" t="s">
        <v>178</v>
      </c>
      <c r="D96" s="8" t="s">
        <v>362</v>
      </c>
      <c r="E96" s="7" t="s">
        <v>363</v>
      </c>
      <c r="F96" s="8"/>
      <c r="G96" s="8" t="s">
        <v>49</v>
      </c>
      <c r="H96" s="9" t="s">
        <v>49</v>
      </c>
      <c r="I96" s="9" t="s">
        <v>50</v>
      </c>
      <c r="J96" s="9" t="s">
        <v>168</v>
      </c>
      <c r="K96" s="9" t="s">
        <v>52</v>
      </c>
      <c r="L96" s="8"/>
      <c r="M96" s="7" t="s">
        <v>53</v>
      </c>
      <c r="N96" s="8" t="s">
        <v>185</v>
      </c>
      <c r="O96" s="8" t="s">
        <v>364</v>
      </c>
      <c r="P96" s="10" t="n">
        <f aca="false">IF($H96="숙박",0,IF($H96=MID(P$1,3,20),IF($I96="",1,0.6),IF($I96=MID(P$1,3,20),0.4,0)))</f>
        <v>0</v>
      </c>
      <c r="Q96" s="10" t="n">
        <f aca="false">IF($H96="숙박",0,IF($H96=MID(Q$1,3,20),IF($I96="",1,0.6),IF($I96=MID(Q$1,3,20),0.4,0)))</f>
        <v>0.6</v>
      </c>
      <c r="R96" s="10" t="n">
        <f aca="false">IF($H96="숙박",0,IF($H96=MID(R$1,3,20),IF($I96="",1,0.6),IF($I96=MID(R$1,3,20),0.4,0)))</f>
        <v>0</v>
      </c>
      <c r="S96" s="10" t="n">
        <f aca="false">IF($H96="숙박",0,IF($H96=MID(S$1,3,20),IF($I96="",1,0.6),IF($I96=MID(S$1,3,20),0.4,0)))</f>
        <v>0</v>
      </c>
      <c r="T96" s="10" t="n">
        <f aca="false">IF($H96="숙박",0,IF($H96=MID(T$1,3,20),IF($I96="",1,0.6),IF($I96=MID(T$1,3,20),0.4,0)))</f>
        <v>0.4</v>
      </c>
      <c r="U96" s="10" t="n">
        <f aca="false">IF($H96="숙박",0,IF(ISNUMBER(SEARCH("야경",$J96)),1,0))</f>
        <v>0</v>
      </c>
      <c r="V96" s="10" t="n">
        <f aca="false">IF($H96="숙박",0,1)</f>
        <v>1</v>
      </c>
    </row>
    <row r="97" customFormat="false" ht="15" hidden="false" customHeight="false" outlineLevel="0" collapsed="false">
      <c r="A97" s="8" t="n">
        <v>96</v>
      </c>
      <c r="B97" s="8" t="s">
        <v>45</v>
      </c>
      <c r="C97" s="8" t="s">
        <v>349</v>
      </c>
      <c r="D97" s="8" t="s">
        <v>365</v>
      </c>
      <c r="E97" s="7" t="s">
        <v>366</v>
      </c>
      <c r="F97" s="8"/>
      <c r="G97" s="8" t="s">
        <v>49</v>
      </c>
      <c r="H97" s="9" t="s">
        <v>49</v>
      </c>
      <c r="I97" s="9" t="s">
        <v>50</v>
      </c>
      <c r="J97" s="9" t="s">
        <v>367</v>
      </c>
      <c r="K97" s="9" t="s">
        <v>52</v>
      </c>
      <c r="L97" s="8"/>
      <c r="M97" s="7" t="s">
        <v>53</v>
      </c>
      <c r="N97" s="8" t="s">
        <v>185</v>
      </c>
      <c r="O97" s="8" t="s">
        <v>368</v>
      </c>
      <c r="P97" s="10" t="n">
        <f aca="false">IF($H97="숙박",0,IF($H97=MID(P$1,3,20),IF($I97="",1,0.6),IF($I97=MID(P$1,3,20),0.4,0)))</f>
        <v>0</v>
      </c>
      <c r="Q97" s="10" t="n">
        <f aca="false">IF($H97="숙박",0,IF($H97=MID(Q$1,3,20),IF($I97="",1,0.6),IF($I97=MID(Q$1,3,20),0.4,0)))</f>
        <v>0.6</v>
      </c>
      <c r="R97" s="10" t="n">
        <f aca="false">IF($H97="숙박",0,IF($H97=MID(R$1,3,20),IF($I97="",1,0.6),IF($I97=MID(R$1,3,20),0.4,0)))</f>
        <v>0</v>
      </c>
      <c r="S97" s="10" t="n">
        <f aca="false">IF($H97="숙박",0,IF($H97=MID(S$1,3,20),IF($I97="",1,0.6),IF($I97=MID(S$1,3,20),0.4,0)))</f>
        <v>0</v>
      </c>
      <c r="T97" s="10" t="n">
        <f aca="false">IF($H97="숙박",0,IF($H97=MID(T$1,3,20),IF($I97="",1,0.6),IF($I97=MID(T$1,3,20),0.4,0)))</f>
        <v>0.4</v>
      </c>
      <c r="U97" s="10" t="n">
        <f aca="false">IF($H97="숙박",0,IF(ISNUMBER(SEARCH("야경",$J97)),1,0))</f>
        <v>0</v>
      </c>
      <c r="V97" s="10" t="n">
        <f aca="false">IF($H97="숙박",0,1)</f>
        <v>1</v>
      </c>
    </row>
    <row r="98" customFormat="false" ht="15" hidden="false" customHeight="false" outlineLevel="0" collapsed="false">
      <c r="A98" s="8" t="n">
        <v>97</v>
      </c>
      <c r="B98" s="8" t="s">
        <v>45</v>
      </c>
      <c r="C98" s="8" t="s">
        <v>369</v>
      </c>
      <c r="D98" s="8" t="s">
        <v>370</v>
      </c>
      <c r="E98" s="7" t="s">
        <v>371</v>
      </c>
      <c r="F98" s="8"/>
      <c r="G98" s="8" t="s">
        <v>190</v>
      </c>
      <c r="H98" s="9" t="s">
        <v>190</v>
      </c>
      <c r="I98" s="9" t="s">
        <v>50</v>
      </c>
      <c r="J98" s="9" t="s">
        <v>168</v>
      </c>
      <c r="K98" s="9" t="s">
        <v>52</v>
      </c>
      <c r="L98" s="8"/>
      <c r="M98" s="7" t="s">
        <v>53</v>
      </c>
      <c r="N98" s="8" t="s">
        <v>185</v>
      </c>
      <c r="O98" s="8" t="s">
        <v>372</v>
      </c>
      <c r="P98" s="10" t="n">
        <f aca="false">IF($H98="숙박",0,IF($H98=MID(P$1,3,20),IF($I98="",1,0.6),IF($I98=MID(P$1,3,20),0.4,0)))</f>
        <v>0.6</v>
      </c>
      <c r="Q98" s="10" t="n">
        <f aca="false">IF($H98="숙박",0,IF($H98=MID(Q$1,3,20),IF($I98="",1,0.6),IF($I98=MID(Q$1,3,20),0.4,0)))</f>
        <v>0</v>
      </c>
      <c r="R98" s="10" t="n">
        <f aca="false">IF($H98="숙박",0,IF($H98=MID(R$1,3,20),IF($I98="",1,0.6),IF($I98=MID(R$1,3,20),0.4,0)))</f>
        <v>0</v>
      </c>
      <c r="S98" s="10" t="n">
        <f aca="false">IF($H98="숙박",0,IF($H98=MID(S$1,3,20),IF($I98="",1,0.6),IF($I98=MID(S$1,3,20),0.4,0)))</f>
        <v>0</v>
      </c>
      <c r="T98" s="10" t="n">
        <f aca="false">IF($H98="숙박",0,IF($H98=MID(T$1,3,20),IF($I98="",1,0.6),IF($I98=MID(T$1,3,20),0.4,0)))</f>
        <v>0.4</v>
      </c>
      <c r="U98" s="10" t="n">
        <f aca="false">IF($H98="숙박",0,IF(ISNUMBER(SEARCH("야경",$J98)),1,0))</f>
        <v>0</v>
      </c>
      <c r="V98" s="10" t="n">
        <f aca="false">IF($H98="숙박",0,1)</f>
        <v>1</v>
      </c>
    </row>
    <row r="99" customFormat="false" ht="15" hidden="false" customHeight="false" outlineLevel="0" collapsed="false">
      <c r="A99" s="8" t="n">
        <v>98</v>
      </c>
      <c r="B99" s="8" t="s">
        <v>45</v>
      </c>
      <c r="C99" s="8" t="s">
        <v>297</v>
      </c>
      <c r="D99" s="8" t="s">
        <v>373</v>
      </c>
      <c r="E99" s="7" t="s">
        <v>374</v>
      </c>
      <c r="F99" s="8"/>
      <c r="G99" s="8" t="s">
        <v>49</v>
      </c>
      <c r="H99" s="9" t="s">
        <v>49</v>
      </c>
      <c r="I99" s="9" t="s">
        <v>50</v>
      </c>
      <c r="J99" s="9" t="s">
        <v>168</v>
      </c>
      <c r="K99" s="9" t="s">
        <v>52</v>
      </c>
      <c r="L99" s="8"/>
      <c r="M99" s="7" t="s">
        <v>53</v>
      </c>
      <c r="N99" s="8" t="s">
        <v>185</v>
      </c>
      <c r="O99" s="8" t="s">
        <v>375</v>
      </c>
      <c r="P99" s="10" t="n">
        <f aca="false">IF($H99="숙박",0,IF($H99=MID(P$1,3,20),IF($I99="",1,0.6),IF($I99=MID(P$1,3,20),0.4,0)))</f>
        <v>0</v>
      </c>
      <c r="Q99" s="10" t="n">
        <f aca="false">IF($H99="숙박",0,IF($H99=MID(Q$1,3,20),IF($I99="",1,0.6),IF($I99=MID(Q$1,3,20),0.4,0)))</f>
        <v>0.6</v>
      </c>
      <c r="R99" s="10" t="n">
        <f aca="false">IF($H99="숙박",0,IF($H99=MID(R$1,3,20),IF($I99="",1,0.6),IF($I99=MID(R$1,3,20),0.4,0)))</f>
        <v>0</v>
      </c>
      <c r="S99" s="10" t="n">
        <f aca="false">IF($H99="숙박",0,IF($H99=MID(S$1,3,20),IF($I99="",1,0.6),IF($I99=MID(S$1,3,20),0.4,0)))</f>
        <v>0</v>
      </c>
      <c r="T99" s="10" t="n">
        <f aca="false">IF($H99="숙박",0,IF($H99=MID(T$1,3,20),IF($I99="",1,0.6),IF($I99=MID(T$1,3,20),0.4,0)))</f>
        <v>0.4</v>
      </c>
      <c r="U99" s="10" t="n">
        <f aca="false">IF($H99="숙박",0,IF(ISNUMBER(SEARCH("야경",$J99)),1,0))</f>
        <v>0</v>
      </c>
      <c r="V99" s="10" t="n">
        <f aca="false">IF($H99="숙박",0,1)</f>
        <v>1</v>
      </c>
    </row>
    <row r="100" customFormat="false" ht="15" hidden="false" customHeight="false" outlineLevel="0" collapsed="false">
      <c r="A100" s="8" t="n">
        <v>99</v>
      </c>
      <c r="B100" s="8" t="s">
        <v>45</v>
      </c>
      <c r="C100" s="8" t="s">
        <v>376</v>
      </c>
      <c r="D100" s="8" t="s">
        <v>377</v>
      </c>
      <c r="E100" s="7" t="s">
        <v>378</v>
      </c>
      <c r="F100" s="8"/>
      <c r="G100" s="8" t="s">
        <v>49</v>
      </c>
      <c r="H100" s="9" t="s">
        <v>49</v>
      </c>
      <c r="I100" s="9" t="s">
        <v>50</v>
      </c>
      <c r="J100" s="9" t="s">
        <v>168</v>
      </c>
      <c r="K100" s="9" t="s">
        <v>209</v>
      </c>
      <c r="L100" s="8"/>
      <c r="M100" s="7" t="s">
        <v>53</v>
      </c>
      <c r="N100" s="8" t="s">
        <v>185</v>
      </c>
      <c r="O100" s="8" t="s">
        <v>379</v>
      </c>
      <c r="P100" s="10" t="n">
        <f aca="false">IF($H100="숙박",0,IF($H100=MID(P$1,3,20),IF($I100="",1,0.6),IF($I100=MID(P$1,3,20),0.4,0)))</f>
        <v>0</v>
      </c>
      <c r="Q100" s="10" t="n">
        <f aca="false">IF($H100="숙박",0,IF($H100=MID(Q$1,3,20),IF($I100="",1,0.6),IF($I100=MID(Q$1,3,20),0.4,0)))</f>
        <v>0.6</v>
      </c>
      <c r="R100" s="10" t="n">
        <f aca="false">IF($H100="숙박",0,IF($H100=MID(R$1,3,20),IF($I100="",1,0.6),IF($I100=MID(R$1,3,20),0.4,0)))</f>
        <v>0</v>
      </c>
      <c r="S100" s="10" t="n">
        <f aca="false">IF($H100="숙박",0,IF($H100=MID(S$1,3,20),IF($I100="",1,0.6),IF($I100=MID(S$1,3,20),0.4,0)))</f>
        <v>0</v>
      </c>
      <c r="T100" s="10" t="n">
        <f aca="false">IF($H100="숙박",0,IF($H100=MID(T$1,3,20),IF($I100="",1,0.6),IF($I100=MID(T$1,3,20),0.4,0)))</f>
        <v>0.4</v>
      </c>
      <c r="U100" s="10" t="n">
        <f aca="false">IF($H100="숙박",0,IF(ISNUMBER(SEARCH("야경",$J100)),1,0))</f>
        <v>0</v>
      </c>
      <c r="V100" s="10" t="n">
        <f aca="false">IF($H100="숙박",0,1)</f>
        <v>1</v>
      </c>
    </row>
    <row r="101" customFormat="false" ht="15" hidden="false" customHeight="false" outlineLevel="0" collapsed="false">
      <c r="A101" s="8" t="n">
        <v>100</v>
      </c>
      <c r="B101" s="8" t="s">
        <v>45</v>
      </c>
      <c r="C101" s="8" t="s">
        <v>380</v>
      </c>
      <c r="D101" s="8" t="s">
        <v>381</v>
      </c>
      <c r="E101" s="7" t="s">
        <v>382</v>
      </c>
      <c r="F101" s="8"/>
      <c r="G101" s="8" t="s">
        <v>184</v>
      </c>
      <c r="H101" s="9" t="s">
        <v>184</v>
      </c>
      <c r="I101" s="9" t="s">
        <v>50</v>
      </c>
      <c r="J101" s="9" t="s">
        <v>168</v>
      </c>
      <c r="K101" s="9" t="s">
        <v>52</v>
      </c>
      <c r="L101" s="8"/>
      <c r="M101" s="7" t="s">
        <v>53</v>
      </c>
      <c r="N101" s="8" t="s">
        <v>185</v>
      </c>
      <c r="O101" s="8" t="s">
        <v>383</v>
      </c>
      <c r="P101" s="10" t="n">
        <f aca="false">IF($H101="숙박",0,IF($H101=MID(P$1,3,20),IF($I101="",1,0.6),IF($I101=MID(P$1,3,20),0.4,0)))</f>
        <v>0</v>
      </c>
      <c r="Q101" s="10" t="n">
        <f aca="false">IF($H101="숙박",0,IF($H101=MID(Q$1,3,20),IF($I101="",1,0.6),IF($I101=MID(Q$1,3,20),0.4,0)))</f>
        <v>0</v>
      </c>
      <c r="R101" s="10" t="n">
        <f aca="false">IF($H101="숙박",0,IF($H101=MID(R$1,3,20),IF($I101="",1,0.6),IF($I101=MID(R$1,3,20),0.4,0)))</f>
        <v>0.6</v>
      </c>
      <c r="S101" s="10" t="n">
        <f aca="false">IF($H101="숙박",0,IF($H101=MID(S$1,3,20),IF($I101="",1,0.6),IF($I101=MID(S$1,3,20),0.4,0)))</f>
        <v>0</v>
      </c>
      <c r="T101" s="10" t="n">
        <f aca="false">IF($H101="숙박",0,IF($H101=MID(T$1,3,20),IF($I101="",1,0.6),IF($I101=MID(T$1,3,20),0.4,0)))</f>
        <v>0.4</v>
      </c>
      <c r="U101" s="10" t="n">
        <f aca="false">IF($H101="숙박",0,IF(ISNUMBER(SEARCH("야경",$J101)),1,0))</f>
        <v>0</v>
      </c>
      <c r="V101" s="10" t="n">
        <f aca="false">IF($H101="숙박",0,1)</f>
        <v>1</v>
      </c>
    </row>
    <row r="102" customFormat="false" ht="15" hidden="false" customHeight="false" outlineLevel="0" collapsed="false">
      <c r="A102" s="8" t="n">
        <v>101</v>
      </c>
      <c r="B102" s="8" t="s">
        <v>45</v>
      </c>
      <c r="C102" s="8" t="s">
        <v>384</v>
      </c>
      <c r="D102" s="8" t="s">
        <v>385</v>
      </c>
      <c r="E102" s="7" t="s">
        <v>386</v>
      </c>
      <c r="F102" s="8"/>
      <c r="G102" s="8" t="s">
        <v>49</v>
      </c>
      <c r="H102" s="9" t="s">
        <v>49</v>
      </c>
      <c r="I102" s="9" t="s">
        <v>50</v>
      </c>
      <c r="J102" s="9" t="s">
        <v>168</v>
      </c>
      <c r="K102" s="9" t="s">
        <v>52</v>
      </c>
      <c r="L102" s="8"/>
      <c r="M102" s="7" t="s">
        <v>53</v>
      </c>
      <c r="N102" s="8" t="s">
        <v>185</v>
      </c>
      <c r="O102" s="8" t="s">
        <v>387</v>
      </c>
      <c r="P102" s="10" t="n">
        <f aca="false">IF($H102="숙박",0,IF($H102=MID(P$1,3,20),IF($I102="",1,0.6),IF($I102=MID(P$1,3,20),0.4,0)))</f>
        <v>0</v>
      </c>
      <c r="Q102" s="10" t="n">
        <f aca="false">IF($H102="숙박",0,IF($H102=MID(Q$1,3,20),IF($I102="",1,0.6),IF($I102=MID(Q$1,3,20),0.4,0)))</f>
        <v>0.6</v>
      </c>
      <c r="R102" s="10" t="n">
        <f aca="false">IF($H102="숙박",0,IF($H102=MID(R$1,3,20),IF($I102="",1,0.6),IF($I102=MID(R$1,3,20),0.4,0)))</f>
        <v>0</v>
      </c>
      <c r="S102" s="10" t="n">
        <f aca="false">IF($H102="숙박",0,IF($H102=MID(S$1,3,20),IF($I102="",1,0.6),IF($I102=MID(S$1,3,20),0.4,0)))</f>
        <v>0</v>
      </c>
      <c r="T102" s="10" t="n">
        <f aca="false">IF($H102="숙박",0,IF($H102=MID(T$1,3,20),IF($I102="",1,0.6),IF($I102=MID(T$1,3,20),0.4,0)))</f>
        <v>0.4</v>
      </c>
      <c r="U102" s="10" t="n">
        <f aca="false">IF($H102="숙박",0,IF(ISNUMBER(SEARCH("야경",$J102)),1,0))</f>
        <v>0</v>
      </c>
      <c r="V102" s="10" t="n">
        <f aca="false">IF($H102="숙박",0,1)</f>
        <v>1</v>
      </c>
    </row>
    <row r="103" customFormat="false" ht="15" hidden="false" customHeight="false" outlineLevel="0" collapsed="false">
      <c r="A103" s="8" t="n">
        <v>102</v>
      </c>
      <c r="B103" s="8" t="s">
        <v>45</v>
      </c>
      <c r="C103" s="8" t="s">
        <v>388</v>
      </c>
      <c r="D103" s="8" t="s">
        <v>389</v>
      </c>
      <c r="E103" s="7" t="s">
        <v>390</v>
      </c>
      <c r="F103" s="8"/>
      <c r="G103" s="8" t="s">
        <v>49</v>
      </c>
      <c r="H103" s="9" t="s">
        <v>49</v>
      </c>
      <c r="I103" s="9" t="s">
        <v>50</v>
      </c>
      <c r="J103" s="9" t="s">
        <v>168</v>
      </c>
      <c r="K103" s="9" t="s">
        <v>52</v>
      </c>
      <c r="L103" s="8"/>
      <c r="M103" s="7" t="s">
        <v>53</v>
      </c>
      <c r="N103" s="8" t="s">
        <v>185</v>
      </c>
      <c r="O103" s="8" t="s">
        <v>391</v>
      </c>
      <c r="P103" s="10" t="n">
        <f aca="false">IF($H103="숙박",0,IF($H103=MID(P$1,3,20),IF($I103="",1,0.6),IF($I103=MID(P$1,3,20),0.4,0)))</f>
        <v>0</v>
      </c>
      <c r="Q103" s="10" t="n">
        <f aca="false">IF($H103="숙박",0,IF($H103=MID(Q$1,3,20),IF($I103="",1,0.6),IF($I103=MID(Q$1,3,20),0.4,0)))</f>
        <v>0.6</v>
      </c>
      <c r="R103" s="10" t="n">
        <f aca="false">IF($H103="숙박",0,IF($H103=MID(R$1,3,20),IF($I103="",1,0.6),IF($I103=MID(R$1,3,20),0.4,0)))</f>
        <v>0</v>
      </c>
      <c r="S103" s="10" t="n">
        <f aca="false">IF($H103="숙박",0,IF($H103=MID(S$1,3,20),IF($I103="",1,0.6),IF($I103=MID(S$1,3,20),0.4,0)))</f>
        <v>0</v>
      </c>
      <c r="T103" s="10" t="n">
        <f aca="false">IF($H103="숙박",0,IF($H103=MID(T$1,3,20),IF($I103="",1,0.6),IF($I103=MID(T$1,3,20),0.4,0)))</f>
        <v>0.4</v>
      </c>
      <c r="U103" s="10" t="n">
        <f aca="false">IF($H103="숙박",0,IF(ISNUMBER(SEARCH("야경",$J103)),1,0))</f>
        <v>0</v>
      </c>
      <c r="V103" s="10" t="n">
        <f aca="false">IF($H103="숙박",0,1)</f>
        <v>1</v>
      </c>
    </row>
    <row r="104" customFormat="false" ht="15" hidden="false" customHeight="false" outlineLevel="0" collapsed="false">
      <c r="A104" s="8" t="n">
        <v>103</v>
      </c>
      <c r="B104" s="8" t="s">
        <v>45</v>
      </c>
      <c r="C104" s="8" t="s">
        <v>317</v>
      </c>
      <c r="D104" s="8" t="s">
        <v>392</v>
      </c>
      <c r="E104" s="7" t="s">
        <v>393</v>
      </c>
      <c r="F104" s="8"/>
      <c r="G104" s="8" t="s">
        <v>49</v>
      </c>
      <c r="H104" s="9" t="s">
        <v>49</v>
      </c>
      <c r="I104" s="9" t="s">
        <v>50</v>
      </c>
      <c r="J104" s="9" t="s">
        <v>340</v>
      </c>
      <c r="K104" s="9" t="s">
        <v>52</v>
      </c>
      <c r="L104" s="8"/>
      <c r="M104" s="7" t="s">
        <v>53</v>
      </c>
      <c r="N104" s="8" t="s">
        <v>185</v>
      </c>
      <c r="O104" s="8" t="s">
        <v>394</v>
      </c>
      <c r="P104" s="10" t="n">
        <f aca="false">IF($H104="숙박",0,IF($H104=MID(P$1,3,20),IF($I104="",1,0.6),IF($I104=MID(P$1,3,20),0.4,0)))</f>
        <v>0</v>
      </c>
      <c r="Q104" s="10" t="n">
        <f aca="false">IF($H104="숙박",0,IF($H104=MID(Q$1,3,20),IF($I104="",1,0.6),IF($I104=MID(Q$1,3,20),0.4,0)))</f>
        <v>0.6</v>
      </c>
      <c r="R104" s="10" t="n">
        <f aca="false">IF($H104="숙박",0,IF($H104=MID(R$1,3,20),IF($I104="",1,0.6),IF($I104=MID(R$1,3,20),0.4,0)))</f>
        <v>0</v>
      </c>
      <c r="S104" s="10" t="n">
        <f aca="false">IF($H104="숙박",0,IF($H104=MID(S$1,3,20),IF($I104="",1,0.6),IF($I104=MID(S$1,3,20),0.4,0)))</f>
        <v>0</v>
      </c>
      <c r="T104" s="10" t="n">
        <f aca="false">IF($H104="숙박",0,IF($H104=MID(T$1,3,20),IF($I104="",1,0.6),IF($I104=MID(T$1,3,20),0.4,0)))</f>
        <v>0.4</v>
      </c>
      <c r="U104" s="10" t="n">
        <f aca="false">IF($H104="숙박",0,IF(ISNUMBER(SEARCH("야경",$J104)),1,0))</f>
        <v>1</v>
      </c>
      <c r="V104" s="10" t="n">
        <f aca="false">IF($H104="숙박",0,1)</f>
        <v>1</v>
      </c>
    </row>
    <row r="105" customFormat="false" ht="15" hidden="false" customHeight="false" outlineLevel="0" collapsed="false">
      <c r="A105" s="8" t="n">
        <v>104</v>
      </c>
      <c r="B105" s="8" t="s">
        <v>45</v>
      </c>
      <c r="C105" s="8" t="s">
        <v>310</v>
      </c>
      <c r="D105" s="8" t="s">
        <v>395</v>
      </c>
      <c r="E105" s="7" t="s">
        <v>396</v>
      </c>
      <c r="F105" s="8"/>
      <c r="G105" s="8" t="s">
        <v>184</v>
      </c>
      <c r="H105" s="9" t="s">
        <v>184</v>
      </c>
      <c r="I105" s="9" t="s">
        <v>50</v>
      </c>
      <c r="J105" s="9" t="s">
        <v>168</v>
      </c>
      <c r="K105" s="9" t="s">
        <v>52</v>
      </c>
      <c r="L105" s="8"/>
      <c r="M105" s="7" t="s">
        <v>53</v>
      </c>
      <c r="N105" s="8" t="s">
        <v>185</v>
      </c>
      <c r="O105" s="8" t="s">
        <v>397</v>
      </c>
      <c r="P105" s="10" t="n">
        <f aca="false">IF($H105="숙박",0,IF($H105=MID(P$1,3,20),IF($I105="",1,0.6),IF($I105=MID(P$1,3,20),0.4,0)))</f>
        <v>0</v>
      </c>
      <c r="Q105" s="10" t="n">
        <f aca="false">IF($H105="숙박",0,IF($H105=MID(Q$1,3,20),IF($I105="",1,0.6),IF($I105=MID(Q$1,3,20),0.4,0)))</f>
        <v>0</v>
      </c>
      <c r="R105" s="10" t="n">
        <f aca="false">IF($H105="숙박",0,IF($H105=MID(R$1,3,20),IF($I105="",1,0.6),IF($I105=MID(R$1,3,20),0.4,0)))</f>
        <v>0.6</v>
      </c>
      <c r="S105" s="10" t="n">
        <f aca="false">IF($H105="숙박",0,IF($H105=MID(S$1,3,20),IF($I105="",1,0.6),IF($I105=MID(S$1,3,20),0.4,0)))</f>
        <v>0</v>
      </c>
      <c r="T105" s="10" t="n">
        <f aca="false">IF($H105="숙박",0,IF($H105=MID(T$1,3,20),IF($I105="",1,0.6),IF($I105=MID(T$1,3,20),0.4,0)))</f>
        <v>0.4</v>
      </c>
      <c r="U105" s="10" t="n">
        <f aca="false">IF($H105="숙박",0,IF(ISNUMBER(SEARCH("야경",$J105)),1,0))</f>
        <v>0</v>
      </c>
      <c r="V105" s="10" t="n">
        <f aca="false">IF($H105="숙박",0,1)</f>
        <v>1</v>
      </c>
    </row>
    <row r="106" customFormat="false" ht="15" hidden="false" customHeight="false" outlineLevel="0" collapsed="false">
      <c r="A106" s="8" t="n">
        <v>105</v>
      </c>
      <c r="B106" s="8" t="s">
        <v>45</v>
      </c>
      <c r="C106" s="8" t="s">
        <v>317</v>
      </c>
      <c r="D106" s="8" t="s">
        <v>398</v>
      </c>
      <c r="E106" s="7" t="s">
        <v>399</v>
      </c>
      <c r="F106" s="8"/>
      <c r="G106" s="8" t="s">
        <v>184</v>
      </c>
      <c r="H106" s="9" t="s">
        <v>184</v>
      </c>
      <c r="I106" s="9" t="s">
        <v>50</v>
      </c>
      <c r="J106" s="9" t="s">
        <v>367</v>
      </c>
      <c r="K106" s="9" t="s">
        <v>52</v>
      </c>
      <c r="L106" s="8"/>
      <c r="M106" s="7" t="s">
        <v>53</v>
      </c>
      <c r="N106" s="8" t="s">
        <v>185</v>
      </c>
      <c r="O106" s="8" t="s">
        <v>400</v>
      </c>
      <c r="P106" s="10" t="n">
        <f aca="false">IF($H106="숙박",0,IF($H106=MID(P$1,3,20),IF($I106="",1,0.6),IF($I106=MID(P$1,3,20),0.4,0)))</f>
        <v>0</v>
      </c>
      <c r="Q106" s="10" t="n">
        <f aca="false">IF($H106="숙박",0,IF($H106=MID(Q$1,3,20),IF($I106="",1,0.6),IF($I106=MID(Q$1,3,20),0.4,0)))</f>
        <v>0</v>
      </c>
      <c r="R106" s="10" t="n">
        <f aca="false">IF($H106="숙박",0,IF($H106=MID(R$1,3,20),IF($I106="",1,0.6),IF($I106=MID(R$1,3,20),0.4,0)))</f>
        <v>0.6</v>
      </c>
      <c r="S106" s="10" t="n">
        <f aca="false">IF($H106="숙박",0,IF($H106=MID(S$1,3,20),IF($I106="",1,0.6),IF($I106=MID(S$1,3,20),0.4,0)))</f>
        <v>0</v>
      </c>
      <c r="T106" s="10" t="n">
        <f aca="false">IF($H106="숙박",0,IF($H106=MID(T$1,3,20),IF($I106="",1,0.6),IF($I106=MID(T$1,3,20),0.4,0)))</f>
        <v>0.4</v>
      </c>
      <c r="U106" s="10" t="n">
        <f aca="false">IF($H106="숙박",0,IF(ISNUMBER(SEARCH("야경",$J106)),1,0))</f>
        <v>0</v>
      </c>
      <c r="V106" s="10" t="n">
        <f aca="false">IF($H106="숙박",0,1)</f>
        <v>1</v>
      </c>
    </row>
    <row r="107" customFormat="false" ht="15" hidden="false" customHeight="false" outlineLevel="0" collapsed="false">
      <c r="A107" s="8" t="n">
        <v>106</v>
      </c>
      <c r="B107" s="8" t="s">
        <v>45</v>
      </c>
      <c r="C107" s="8" t="s">
        <v>401</v>
      </c>
      <c r="D107" s="8" t="s">
        <v>402</v>
      </c>
      <c r="E107" s="7" t="s">
        <v>403</v>
      </c>
      <c r="F107" s="8"/>
      <c r="G107" s="8" t="s">
        <v>190</v>
      </c>
      <c r="H107" s="9" t="s">
        <v>190</v>
      </c>
      <c r="I107" s="9" t="s">
        <v>50</v>
      </c>
      <c r="J107" s="9" t="s">
        <v>168</v>
      </c>
      <c r="K107" s="9" t="s">
        <v>191</v>
      </c>
      <c r="L107" s="8"/>
      <c r="M107" s="7" t="s">
        <v>53</v>
      </c>
      <c r="N107" s="8" t="s">
        <v>185</v>
      </c>
      <c r="O107" s="8" t="s">
        <v>404</v>
      </c>
      <c r="P107" s="10" t="n">
        <f aca="false">IF($H107="숙박",0,IF($H107=MID(P$1,3,20),IF($I107="",1,0.6),IF($I107=MID(P$1,3,20),0.4,0)))</f>
        <v>0.6</v>
      </c>
      <c r="Q107" s="10" t="n">
        <f aca="false">IF($H107="숙박",0,IF($H107=MID(Q$1,3,20),IF($I107="",1,0.6),IF($I107=MID(Q$1,3,20),0.4,0)))</f>
        <v>0</v>
      </c>
      <c r="R107" s="10" t="n">
        <f aca="false">IF($H107="숙박",0,IF($H107=MID(R$1,3,20),IF($I107="",1,0.6),IF($I107=MID(R$1,3,20),0.4,0)))</f>
        <v>0</v>
      </c>
      <c r="S107" s="10" t="n">
        <f aca="false">IF($H107="숙박",0,IF($H107=MID(S$1,3,20),IF($I107="",1,0.6),IF($I107=MID(S$1,3,20),0.4,0)))</f>
        <v>0</v>
      </c>
      <c r="T107" s="10" t="n">
        <f aca="false">IF($H107="숙박",0,IF($H107=MID(T$1,3,20),IF($I107="",1,0.6),IF($I107=MID(T$1,3,20),0.4,0)))</f>
        <v>0.4</v>
      </c>
      <c r="U107" s="10" t="n">
        <f aca="false">IF($H107="숙박",0,IF(ISNUMBER(SEARCH("야경",$J107)),1,0))</f>
        <v>0</v>
      </c>
      <c r="V107" s="10" t="n">
        <f aca="false">IF($H107="숙박",0,1)</f>
        <v>1</v>
      </c>
    </row>
    <row r="108" customFormat="false" ht="15" hidden="false" customHeight="false" outlineLevel="0" collapsed="false">
      <c r="A108" s="8" t="n">
        <v>107</v>
      </c>
      <c r="B108" s="8" t="s">
        <v>45</v>
      </c>
      <c r="C108" s="8" t="s">
        <v>376</v>
      </c>
      <c r="D108" s="8" t="s">
        <v>405</v>
      </c>
      <c r="E108" s="7" t="s">
        <v>406</v>
      </c>
      <c r="F108" s="8"/>
      <c r="G108" s="8" t="s">
        <v>49</v>
      </c>
      <c r="H108" s="9" t="s">
        <v>49</v>
      </c>
      <c r="I108" s="9" t="s">
        <v>50</v>
      </c>
      <c r="J108" s="9" t="s">
        <v>168</v>
      </c>
      <c r="K108" s="9" t="s">
        <v>52</v>
      </c>
      <c r="L108" s="8"/>
      <c r="M108" s="7" t="s">
        <v>53</v>
      </c>
      <c r="N108" s="8" t="s">
        <v>185</v>
      </c>
      <c r="O108" s="8" t="s">
        <v>407</v>
      </c>
      <c r="P108" s="10" t="n">
        <f aca="false">IF($H108="숙박",0,IF($H108=MID(P$1,3,20),IF($I108="",1,0.6),IF($I108=MID(P$1,3,20),0.4,0)))</f>
        <v>0</v>
      </c>
      <c r="Q108" s="10" t="n">
        <f aca="false">IF($H108="숙박",0,IF($H108=MID(Q$1,3,20),IF($I108="",1,0.6),IF($I108=MID(Q$1,3,20),0.4,0)))</f>
        <v>0.6</v>
      </c>
      <c r="R108" s="10" t="n">
        <f aca="false">IF($H108="숙박",0,IF($H108=MID(R$1,3,20),IF($I108="",1,0.6),IF($I108=MID(R$1,3,20),0.4,0)))</f>
        <v>0</v>
      </c>
      <c r="S108" s="10" t="n">
        <f aca="false">IF($H108="숙박",0,IF($H108=MID(S$1,3,20),IF($I108="",1,0.6),IF($I108=MID(S$1,3,20),0.4,0)))</f>
        <v>0</v>
      </c>
      <c r="T108" s="10" t="n">
        <f aca="false">IF($H108="숙박",0,IF($H108=MID(T$1,3,20),IF($I108="",1,0.6),IF($I108=MID(T$1,3,20),0.4,0)))</f>
        <v>0.4</v>
      </c>
      <c r="U108" s="10" t="n">
        <f aca="false">IF($H108="숙박",0,IF(ISNUMBER(SEARCH("야경",$J108)),1,0))</f>
        <v>0</v>
      </c>
      <c r="V108" s="10" t="n">
        <f aca="false">IF($H108="숙박",0,1)</f>
        <v>1</v>
      </c>
    </row>
    <row r="109" customFormat="false" ht="15" hidden="false" customHeight="false" outlineLevel="0" collapsed="false">
      <c r="A109" s="8" t="n">
        <v>108</v>
      </c>
      <c r="B109" s="8" t="s">
        <v>45</v>
      </c>
      <c r="C109" s="8" t="s">
        <v>297</v>
      </c>
      <c r="D109" s="8" t="s">
        <v>408</v>
      </c>
      <c r="E109" s="7" t="s">
        <v>409</v>
      </c>
      <c r="F109" s="8"/>
      <c r="G109" s="8" t="s">
        <v>49</v>
      </c>
      <c r="H109" s="9" t="s">
        <v>49</v>
      </c>
      <c r="I109" s="9" t="s">
        <v>50</v>
      </c>
      <c r="J109" s="9" t="s">
        <v>168</v>
      </c>
      <c r="K109" s="9" t="s">
        <v>52</v>
      </c>
      <c r="L109" s="8"/>
      <c r="M109" s="7" t="s">
        <v>53</v>
      </c>
      <c r="N109" s="8" t="s">
        <v>185</v>
      </c>
      <c r="O109" s="8" t="s">
        <v>410</v>
      </c>
      <c r="P109" s="10" t="n">
        <f aca="false">IF($H109="숙박",0,IF($H109=MID(P$1,3,20),IF($I109="",1,0.6),IF($I109=MID(P$1,3,20),0.4,0)))</f>
        <v>0</v>
      </c>
      <c r="Q109" s="10" t="n">
        <f aca="false">IF($H109="숙박",0,IF($H109=MID(Q$1,3,20),IF($I109="",1,0.6),IF($I109=MID(Q$1,3,20),0.4,0)))</f>
        <v>0.6</v>
      </c>
      <c r="R109" s="10" t="n">
        <f aca="false">IF($H109="숙박",0,IF($H109=MID(R$1,3,20),IF($I109="",1,0.6),IF($I109=MID(R$1,3,20),0.4,0)))</f>
        <v>0</v>
      </c>
      <c r="S109" s="10" t="n">
        <f aca="false">IF($H109="숙박",0,IF($H109=MID(S$1,3,20),IF($I109="",1,0.6),IF($I109=MID(S$1,3,20),0.4,0)))</f>
        <v>0</v>
      </c>
      <c r="T109" s="10" t="n">
        <f aca="false">IF($H109="숙박",0,IF($H109=MID(T$1,3,20),IF($I109="",1,0.6),IF($I109=MID(T$1,3,20),0.4,0)))</f>
        <v>0.4</v>
      </c>
      <c r="U109" s="10" t="n">
        <f aca="false">IF($H109="숙박",0,IF(ISNUMBER(SEARCH("야경",$J109)),1,0))</f>
        <v>0</v>
      </c>
      <c r="V109" s="10" t="n">
        <f aca="false">IF($H109="숙박",0,1)</f>
        <v>1</v>
      </c>
    </row>
    <row r="110" customFormat="false" ht="15" hidden="false" customHeight="false" outlineLevel="0" collapsed="false">
      <c r="A110" s="8" t="n">
        <v>109</v>
      </c>
      <c r="B110" s="8" t="s">
        <v>45</v>
      </c>
      <c r="C110" s="8" t="s">
        <v>411</v>
      </c>
      <c r="D110" s="8" t="s">
        <v>412</v>
      </c>
      <c r="E110" s="7" t="s">
        <v>413</v>
      </c>
      <c r="F110" s="8"/>
      <c r="G110" s="8" t="s">
        <v>49</v>
      </c>
      <c r="H110" s="9" t="s">
        <v>49</v>
      </c>
      <c r="I110" s="9" t="s">
        <v>50</v>
      </c>
      <c r="J110" s="9" t="s">
        <v>168</v>
      </c>
      <c r="K110" s="9" t="s">
        <v>52</v>
      </c>
      <c r="L110" s="8"/>
      <c r="M110" s="7" t="s">
        <v>53</v>
      </c>
      <c r="N110" s="8" t="s">
        <v>185</v>
      </c>
      <c r="O110" s="8" t="s">
        <v>414</v>
      </c>
      <c r="P110" s="10" t="n">
        <f aca="false">IF($H110="숙박",0,IF($H110=MID(P$1,3,20),IF($I110="",1,0.6),IF($I110=MID(P$1,3,20),0.4,0)))</f>
        <v>0</v>
      </c>
      <c r="Q110" s="10" t="n">
        <f aca="false">IF($H110="숙박",0,IF($H110=MID(Q$1,3,20),IF($I110="",1,0.6),IF($I110=MID(Q$1,3,20),0.4,0)))</f>
        <v>0.6</v>
      </c>
      <c r="R110" s="10" t="n">
        <f aca="false">IF($H110="숙박",0,IF($H110=MID(R$1,3,20),IF($I110="",1,0.6),IF($I110=MID(R$1,3,20),0.4,0)))</f>
        <v>0</v>
      </c>
      <c r="S110" s="10" t="n">
        <f aca="false">IF($H110="숙박",0,IF($H110=MID(S$1,3,20),IF($I110="",1,0.6),IF($I110=MID(S$1,3,20),0.4,0)))</f>
        <v>0</v>
      </c>
      <c r="T110" s="10" t="n">
        <f aca="false">IF($H110="숙박",0,IF($H110=MID(T$1,3,20),IF($I110="",1,0.6),IF($I110=MID(T$1,3,20),0.4,0)))</f>
        <v>0.4</v>
      </c>
      <c r="U110" s="10" t="n">
        <f aca="false">IF($H110="숙박",0,IF(ISNUMBER(SEARCH("야경",$J110)),1,0))</f>
        <v>0</v>
      </c>
      <c r="V110" s="10" t="n">
        <f aca="false">IF($H110="숙박",0,1)</f>
        <v>1</v>
      </c>
    </row>
    <row r="111" customFormat="false" ht="15" hidden="false" customHeight="false" outlineLevel="0" collapsed="false">
      <c r="A111" s="8" t="n">
        <v>110</v>
      </c>
      <c r="B111" s="8" t="s">
        <v>45</v>
      </c>
      <c r="C111" s="8" t="s">
        <v>178</v>
      </c>
      <c r="D111" s="8" t="s">
        <v>415</v>
      </c>
      <c r="E111" s="7" t="s">
        <v>416</v>
      </c>
      <c r="F111" s="8"/>
      <c r="G111" s="8" t="s">
        <v>49</v>
      </c>
      <c r="H111" s="9" t="s">
        <v>49</v>
      </c>
      <c r="I111" s="9" t="s">
        <v>50</v>
      </c>
      <c r="J111" s="9" t="s">
        <v>168</v>
      </c>
      <c r="K111" s="9" t="s">
        <v>52</v>
      </c>
      <c r="L111" s="8"/>
      <c r="M111" s="7" t="s">
        <v>53</v>
      </c>
      <c r="N111" s="8" t="s">
        <v>185</v>
      </c>
      <c r="O111" s="8" t="s">
        <v>417</v>
      </c>
      <c r="P111" s="10" t="n">
        <f aca="false">IF($H111="숙박",0,IF($H111=MID(P$1,3,20),IF($I111="",1,0.6),IF($I111=MID(P$1,3,20),0.4,0)))</f>
        <v>0</v>
      </c>
      <c r="Q111" s="10" t="n">
        <f aca="false">IF($H111="숙박",0,IF($H111=MID(Q$1,3,20),IF($I111="",1,0.6),IF($I111=MID(Q$1,3,20),0.4,0)))</f>
        <v>0.6</v>
      </c>
      <c r="R111" s="10" t="n">
        <f aca="false">IF($H111="숙박",0,IF($H111=MID(R$1,3,20),IF($I111="",1,0.6),IF($I111=MID(R$1,3,20),0.4,0)))</f>
        <v>0</v>
      </c>
      <c r="S111" s="10" t="n">
        <f aca="false">IF($H111="숙박",0,IF($H111=MID(S$1,3,20),IF($I111="",1,0.6),IF($I111=MID(S$1,3,20),0.4,0)))</f>
        <v>0</v>
      </c>
      <c r="T111" s="10" t="n">
        <f aca="false">IF($H111="숙박",0,IF($H111=MID(T$1,3,20),IF($I111="",1,0.6),IF($I111=MID(T$1,3,20),0.4,0)))</f>
        <v>0.4</v>
      </c>
      <c r="U111" s="10" t="n">
        <f aca="false">IF($H111="숙박",0,IF(ISNUMBER(SEARCH("야경",$J111)),1,0))</f>
        <v>0</v>
      </c>
      <c r="V111" s="10" t="n">
        <f aca="false">IF($H111="숙박",0,1)</f>
        <v>1</v>
      </c>
    </row>
    <row r="112" customFormat="false" ht="15" hidden="false" customHeight="false" outlineLevel="0" collapsed="false">
      <c r="A112" s="8" t="n">
        <v>111</v>
      </c>
      <c r="B112" s="8" t="s">
        <v>45</v>
      </c>
      <c r="C112" s="8" t="s">
        <v>317</v>
      </c>
      <c r="D112" s="8" t="s">
        <v>418</v>
      </c>
      <c r="E112" s="7" t="s">
        <v>419</v>
      </c>
      <c r="F112" s="8"/>
      <c r="G112" s="8" t="s">
        <v>190</v>
      </c>
      <c r="H112" s="9" t="s">
        <v>190</v>
      </c>
      <c r="I112" s="9" t="s">
        <v>50</v>
      </c>
      <c r="J112" s="9" t="s">
        <v>340</v>
      </c>
      <c r="K112" s="9" t="s">
        <v>52</v>
      </c>
      <c r="L112" s="8"/>
      <c r="M112" s="7" t="s">
        <v>53</v>
      </c>
      <c r="N112" s="8" t="s">
        <v>185</v>
      </c>
      <c r="O112" s="8" t="s">
        <v>420</v>
      </c>
      <c r="P112" s="10" t="n">
        <f aca="false">IF($H112="숙박",0,IF($H112=MID(P$1,3,20),IF($I112="",1,0.6),IF($I112=MID(P$1,3,20),0.4,0)))</f>
        <v>0.6</v>
      </c>
      <c r="Q112" s="10" t="n">
        <f aca="false">IF($H112="숙박",0,IF($H112=MID(Q$1,3,20),IF($I112="",1,0.6),IF($I112=MID(Q$1,3,20),0.4,0)))</f>
        <v>0</v>
      </c>
      <c r="R112" s="10" t="n">
        <f aca="false">IF($H112="숙박",0,IF($H112=MID(R$1,3,20),IF($I112="",1,0.6),IF($I112=MID(R$1,3,20),0.4,0)))</f>
        <v>0</v>
      </c>
      <c r="S112" s="10" t="n">
        <f aca="false">IF($H112="숙박",0,IF($H112=MID(S$1,3,20),IF($I112="",1,0.6),IF($I112=MID(S$1,3,20),0.4,0)))</f>
        <v>0</v>
      </c>
      <c r="T112" s="10" t="n">
        <f aca="false">IF($H112="숙박",0,IF($H112=MID(T$1,3,20),IF($I112="",1,0.6),IF($I112=MID(T$1,3,20),0.4,0)))</f>
        <v>0.4</v>
      </c>
      <c r="U112" s="10" t="n">
        <f aca="false">IF($H112="숙박",0,IF(ISNUMBER(SEARCH("야경",$J112)),1,0))</f>
        <v>1</v>
      </c>
      <c r="V112" s="10" t="n">
        <f aca="false">IF($H112="숙박",0,1)</f>
        <v>1</v>
      </c>
    </row>
    <row r="113" customFormat="false" ht="15" hidden="false" customHeight="false" outlineLevel="0" collapsed="false">
      <c r="A113" s="8" t="n">
        <v>112</v>
      </c>
      <c r="B113" s="8" t="s">
        <v>45</v>
      </c>
      <c r="C113" s="8" t="s">
        <v>421</v>
      </c>
      <c r="D113" s="8" t="s">
        <v>422</v>
      </c>
      <c r="E113" s="7" t="s">
        <v>423</v>
      </c>
      <c r="F113" s="8"/>
      <c r="G113" s="8" t="s">
        <v>49</v>
      </c>
      <c r="H113" s="9" t="s">
        <v>49</v>
      </c>
      <c r="I113" s="9" t="s">
        <v>50</v>
      </c>
      <c r="J113" s="9" t="s">
        <v>168</v>
      </c>
      <c r="K113" s="9" t="s">
        <v>52</v>
      </c>
      <c r="L113" s="8"/>
      <c r="M113" s="7" t="s">
        <v>53</v>
      </c>
      <c r="N113" s="8" t="s">
        <v>185</v>
      </c>
      <c r="O113" s="8" t="s">
        <v>424</v>
      </c>
      <c r="P113" s="10" t="n">
        <f aca="false">IF($H113="숙박",0,IF($H113=MID(P$1,3,20),IF($I113="",1,0.6),IF($I113=MID(P$1,3,20),0.4,0)))</f>
        <v>0</v>
      </c>
      <c r="Q113" s="10" t="n">
        <f aca="false">IF($H113="숙박",0,IF($H113=MID(Q$1,3,20),IF($I113="",1,0.6),IF($I113=MID(Q$1,3,20),0.4,0)))</f>
        <v>0.6</v>
      </c>
      <c r="R113" s="10" t="n">
        <f aca="false">IF($H113="숙박",0,IF($H113=MID(R$1,3,20),IF($I113="",1,0.6),IF($I113=MID(R$1,3,20),0.4,0)))</f>
        <v>0</v>
      </c>
      <c r="S113" s="10" t="n">
        <f aca="false">IF($H113="숙박",0,IF($H113=MID(S$1,3,20),IF($I113="",1,0.6),IF($I113=MID(S$1,3,20),0.4,0)))</f>
        <v>0</v>
      </c>
      <c r="T113" s="10" t="n">
        <f aca="false">IF($H113="숙박",0,IF($H113=MID(T$1,3,20),IF($I113="",1,0.6),IF($I113=MID(T$1,3,20),0.4,0)))</f>
        <v>0.4</v>
      </c>
      <c r="U113" s="10" t="n">
        <f aca="false">IF($H113="숙박",0,IF(ISNUMBER(SEARCH("야경",$J113)),1,0))</f>
        <v>0</v>
      </c>
      <c r="V113" s="10" t="n">
        <f aca="false">IF($H113="숙박",0,1)</f>
        <v>1</v>
      </c>
    </row>
    <row r="114" customFormat="false" ht="15" hidden="false" customHeight="false" outlineLevel="0" collapsed="false">
      <c r="A114" s="8" t="n">
        <v>113</v>
      </c>
      <c r="B114" s="8" t="s">
        <v>45</v>
      </c>
      <c r="C114" s="8" t="s">
        <v>297</v>
      </c>
      <c r="D114" s="8" t="s">
        <v>425</v>
      </c>
      <c r="E114" s="7" t="s">
        <v>426</v>
      </c>
      <c r="F114" s="8"/>
      <c r="G114" s="8" t="s">
        <v>190</v>
      </c>
      <c r="H114" s="9" t="s">
        <v>190</v>
      </c>
      <c r="I114" s="9" t="s">
        <v>50</v>
      </c>
      <c r="J114" s="9" t="s">
        <v>168</v>
      </c>
      <c r="K114" s="9" t="s">
        <v>52</v>
      </c>
      <c r="L114" s="8"/>
      <c r="M114" s="7" t="s">
        <v>53</v>
      </c>
      <c r="N114" s="8" t="s">
        <v>185</v>
      </c>
      <c r="O114" s="7" t="s">
        <v>427</v>
      </c>
      <c r="P114" s="10" t="n">
        <f aca="false">IF($H114="숙박",0,IF($H114=MID(P$1,3,20),IF($I114="",1,0.6),IF($I114=MID(P$1,3,20),0.4,0)))</f>
        <v>0.6</v>
      </c>
      <c r="Q114" s="10" t="n">
        <f aca="false">IF($H114="숙박",0,IF($H114=MID(Q$1,3,20),IF($I114="",1,0.6),IF($I114=MID(Q$1,3,20),0.4,0)))</f>
        <v>0</v>
      </c>
      <c r="R114" s="10" t="n">
        <f aca="false">IF($H114="숙박",0,IF($H114=MID(R$1,3,20),IF($I114="",1,0.6),IF($I114=MID(R$1,3,20),0.4,0)))</f>
        <v>0</v>
      </c>
      <c r="S114" s="10" t="n">
        <f aca="false">IF($H114="숙박",0,IF($H114=MID(S$1,3,20),IF($I114="",1,0.6),IF($I114=MID(S$1,3,20),0.4,0)))</f>
        <v>0</v>
      </c>
      <c r="T114" s="10" t="n">
        <f aca="false">IF($H114="숙박",0,IF($H114=MID(T$1,3,20),IF($I114="",1,0.6),IF($I114=MID(T$1,3,20),0.4,0)))</f>
        <v>0.4</v>
      </c>
      <c r="U114" s="10" t="n">
        <f aca="false">IF($H114="숙박",0,IF(ISNUMBER(SEARCH("야경",$J114)),1,0))</f>
        <v>0</v>
      </c>
      <c r="V114" s="10" t="n">
        <f aca="false">IF($H114="숙박",0,1)</f>
        <v>1</v>
      </c>
    </row>
    <row r="115" customFormat="false" ht="15" hidden="false" customHeight="false" outlineLevel="0" collapsed="false">
      <c r="A115" s="8" t="n">
        <v>114</v>
      </c>
      <c r="B115" s="8" t="s">
        <v>45</v>
      </c>
      <c r="C115" s="8" t="s">
        <v>428</v>
      </c>
      <c r="D115" s="8" t="s">
        <v>429</v>
      </c>
      <c r="E115" s="7" t="s">
        <v>430</v>
      </c>
      <c r="F115" s="8"/>
      <c r="G115" s="8" t="s">
        <v>49</v>
      </c>
      <c r="H115" s="9" t="s">
        <v>49</v>
      </c>
      <c r="I115" s="9" t="s">
        <v>50</v>
      </c>
      <c r="J115" s="9" t="s">
        <v>168</v>
      </c>
      <c r="K115" s="9" t="s">
        <v>52</v>
      </c>
      <c r="L115" s="8"/>
      <c r="M115" s="7" t="s">
        <v>53</v>
      </c>
      <c r="N115" s="8" t="s">
        <v>185</v>
      </c>
      <c r="O115" s="8" t="s">
        <v>431</v>
      </c>
      <c r="P115" s="10" t="n">
        <f aca="false">IF($H115="숙박",0,IF($H115=MID(P$1,3,20),IF($I115="",1,0.6),IF($I115=MID(P$1,3,20),0.4,0)))</f>
        <v>0</v>
      </c>
      <c r="Q115" s="10" t="n">
        <f aca="false">IF($H115="숙박",0,IF($H115=MID(Q$1,3,20),IF($I115="",1,0.6),IF($I115=MID(Q$1,3,20),0.4,0)))</f>
        <v>0.6</v>
      </c>
      <c r="R115" s="10" t="n">
        <f aca="false">IF($H115="숙박",0,IF($H115=MID(R$1,3,20),IF($I115="",1,0.6),IF($I115=MID(R$1,3,20),0.4,0)))</f>
        <v>0</v>
      </c>
      <c r="S115" s="10" t="n">
        <f aca="false">IF($H115="숙박",0,IF($H115=MID(S$1,3,20),IF($I115="",1,0.6),IF($I115=MID(S$1,3,20),0.4,0)))</f>
        <v>0</v>
      </c>
      <c r="T115" s="10" t="n">
        <f aca="false">IF($H115="숙박",0,IF($H115=MID(T$1,3,20),IF($I115="",1,0.6),IF($I115=MID(T$1,3,20),0.4,0)))</f>
        <v>0.4</v>
      </c>
      <c r="U115" s="10" t="n">
        <f aca="false">IF($H115="숙박",0,IF(ISNUMBER(SEARCH("야경",$J115)),1,0))</f>
        <v>0</v>
      </c>
      <c r="V115" s="10" t="n">
        <f aca="false">IF($H115="숙박",0,1)</f>
        <v>1</v>
      </c>
    </row>
    <row r="116" customFormat="false" ht="15" hidden="false" customHeight="false" outlineLevel="0" collapsed="false">
      <c r="A116" s="8" t="n">
        <v>115</v>
      </c>
      <c r="B116" s="8" t="s">
        <v>45</v>
      </c>
      <c r="C116" s="8" t="s">
        <v>342</v>
      </c>
      <c r="D116" s="8" t="s">
        <v>432</v>
      </c>
      <c r="E116" s="7" t="s">
        <v>433</v>
      </c>
      <c r="F116" s="8"/>
      <c r="G116" s="8" t="s">
        <v>184</v>
      </c>
      <c r="H116" s="9" t="s">
        <v>184</v>
      </c>
      <c r="I116" s="9" t="s">
        <v>50</v>
      </c>
      <c r="J116" s="9" t="s">
        <v>168</v>
      </c>
      <c r="K116" s="9" t="s">
        <v>191</v>
      </c>
      <c r="L116" s="8"/>
      <c r="M116" s="7" t="s">
        <v>53</v>
      </c>
      <c r="N116" s="8" t="s">
        <v>185</v>
      </c>
      <c r="O116" s="8" t="s">
        <v>434</v>
      </c>
      <c r="P116" s="10" t="n">
        <f aca="false">IF($H116="숙박",0,IF($H116=MID(P$1,3,20),IF($I116="",1,0.6),IF($I116=MID(P$1,3,20),0.4,0)))</f>
        <v>0</v>
      </c>
      <c r="Q116" s="10" t="n">
        <f aca="false">IF($H116="숙박",0,IF($H116=MID(Q$1,3,20),IF($I116="",1,0.6),IF($I116=MID(Q$1,3,20),0.4,0)))</f>
        <v>0</v>
      </c>
      <c r="R116" s="10" t="n">
        <f aca="false">IF($H116="숙박",0,IF($H116=MID(R$1,3,20),IF($I116="",1,0.6),IF($I116=MID(R$1,3,20),0.4,0)))</f>
        <v>0.6</v>
      </c>
      <c r="S116" s="10" t="n">
        <f aca="false">IF($H116="숙박",0,IF($H116=MID(S$1,3,20),IF($I116="",1,0.6),IF($I116=MID(S$1,3,20),0.4,0)))</f>
        <v>0</v>
      </c>
      <c r="T116" s="10" t="n">
        <f aca="false">IF($H116="숙박",0,IF($H116=MID(T$1,3,20),IF($I116="",1,0.6),IF($I116=MID(T$1,3,20),0.4,0)))</f>
        <v>0.4</v>
      </c>
      <c r="U116" s="10" t="n">
        <f aca="false">IF($H116="숙박",0,IF(ISNUMBER(SEARCH("야경",$J116)),1,0))</f>
        <v>0</v>
      </c>
      <c r="V116" s="10" t="n">
        <f aca="false">IF($H116="숙박",0,1)</f>
        <v>1</v>
      </c>
    </row>
    <row r="117" customFormat="false" ht="15" hidden="false" customHeight="false" outlineLevel="0" collapsed="false">
      <c r="A117" s="8" t="n">
        <v>116</v>
      </c>
      <c r="B117" s="8" t="s">
        <v>45</v>
      </c>
      <c r="C117" s="8" t="s">
        <v>310</v>
      </c>
      <c r="D117" s="8" t="s">
        <v>435</v>
      </c>
      <c r="E117" s="7" t="s">
        <v>436</v>
      </c>
      <c r="F117" s="8"/>
      <c r="G117" s="8" t="s">
        <v>216</v>
      </c>
      <c r="H117" s="9" t="s">
        <v>216</v>
      </c>
      <c r="I117" s="9" t="s">
        <v>50</v>
      </c>
      <c r="J117" s="9" t="s">
        <v>168</v>
      </c>
      <c r="K117" s="9" t="s">
        <v>52</v>
      </c>
      <c r="L117" s="8"/>
      <c r="M117" s="7" t="s">
        <v>53</v>
      </c>
      <c r="N117" s="8" t="s">
        <v>185</v>
      </c>
      <c r="O117" s="8" t="s">
        <v>437</v>
      </c>
      <c r="P117" s="10" t="n">
        <f aca="false">IF($H117="숙박",0,IF($H117=MID(P$1,3,20),IF($I117="",1,0.6),IF($I117=MID(P$1,3,20),0.4,0)))</f>
        <v>0</v>
      </c>
      <c r="Q117" s="10" t="n">
        <f aca="false">IF($H117="숙박",0,IF($H117=MID(Q$1,3,20),IF($I117="",1,0.6),IF($I117=MID(Q$1,3,20),0.4,0)))</f>
        <v>0</v>
      </c>
      <c r="R117" s="10" t="n">
        <f aca="false">IF($H117="숙박",0,IF($H117=MID(R$1,3,20),IF($I117="",1,0.6),IF($I117=MID(R$1,3,20),0.4,0)))</f>
        <v>0</v>
      </c>
      <c r="S117" s="10" t="n">
        <f aca="false">IF($H117="숙박",0,IF($H117=MID(S$1,3,20),IF($I117="",1,0.6),IF($I117=MID(S$1,3,20),0.4,0)))</f>
        <v>0.6</v>
      </c>
      <c r="T117" s="10" t="n">
        <f aca="false">IF($H117="숙박",0,IF($H117=MID(T$1,3,20),IF($I117="",1,0.6),IF($I117=MID(T$1,3,20),0.4,0)))</f>
        <v>0.4</v>
      </c>
      <c r="U117" s="10" t="n">
        <f aca="false">IF($H117="숙박",0,IF(ISNUMBER(SEARCH("야경",$J117)),1,0))</f>
        <v>0</v>
      </c>
      <c r="V117" s="10" t="n">
        <f aca="false">IF($H117="숙박",0,1)</f>
        <v>1</v>
      </c>
    </row>
    <row r="118" customFormat="false" ht="15" hidden="false" customHeight="false" outlineLevel="0" collapsed="false">
      <c r="A118" s="8" t="n">
        <v>117</v>
      </c>
      <c r="B118" s="8" t="s">
        <v>45</v>
      </c>
      <c r="C118" s="8" t="s">
        <v>438</v>
      </c>
      <c r="D118" s="8" t="s">
        <v>439</v>
      </c>
      <c r="E118" s="7" t="s">
        <v>440</v>
      </c>
      <c r="F118" s="8"/>
      <c r="G118" s="8" t="s">
        <v>190</v>
      </c>
      <c r="H118" s="9" t="s">
        <v>190</v>
      </c>
      <c r="I118" s="9" t="s">
        <v>50</v>
      </c>
      <c r="J118" s="9" t="s">
        <v>367</v>
      </c>
      <c r="K118" s="9" t="s">
        <v>52</v>
      </c>
      <c r="L118" s="8"/>
      <c r="M118" s="7" t="s">
        <v>53</v>
      </c>
      <c r="N118" s="8" t="s">
        <v>185</v>
      </c>
      <c r="O118" s="8" t="s">
        <v>441</v>
      </c>
      <c r="P118" s="10" t="n">
        <f aca="false">IF($H118="숙박",0,IF($H118=MID(P$1,3,20),IF($I118="",1,0.6),IF($I118=MID(P$1,3,20),0.4,0)))</f>
        <v>0.6</v>
      </c>
      <c r="Q118" s="10" t="n">
        <f aca="false">IF($H118="숙박",0,IF($H118=MID(Q$1,3,20),IF($I118="",1,0.6),IF($I118=MID(Q$1,3,20),0.4,0)))</f>
        <v>0</v>
      </c>
      <c r="R118" s="10" t="n">
        <f aca="false">IF($H118="숙박",0,IF($H118=MID(R$1,3,20),IF($I118="",1,0.6),IF($I118=MID(R$1,3,20),0.4,0)))</f>
        <v>0</v>
      </c>
      <c r="S118" s="10" t="n">
        <f aca="false">IF($H118="숙박",0,IF($H118=MID(S$1,3,20),IF($I118="",1,0.6),IF($I118=MID(S$1,3,20),0.4,0)))</f>
        <v>0</v>
      </c>
      <c r="T118" s="10" t="n">
        <f aca="false">IF($H118="숙박",0,IF($H118=MID(T$1,3,20),IF($I118="",1,0.6),IF($I118=MID(T$1,3,20),0.4,0)))</f>
        <v>0.4</v>
      </c>
      <c r="U118" s="10" t="n">
        <f aca="false">IF($H118="숙박",0,IF(ISNUMBER(SEARCH("야경",$J118)),1,0))</f>
        <v>0</v>
      </c>
      <c r="V118" s="10" t="n">
        <f aca="false">IF($H118="숙박",0,1)</f>
        <v>1</v>
      </c>
    </row>
    <row r="119" customFormat="false" ht="15" hidden="false" customHeight="false" outlineLevel="0" collapsed="false">
      <c r="A119" s="8" t="n">
        <v>118</v>
      </c>
      <c r="B119" s="8" t="s">
        <v>45</v>
      </c>
      <c r="C119" s="8" t="s">
        <v>376</v>
      </c>
      <c r="D119" s="8" t="s">
        <v>442</v>
      </c>
      <c r="E119" s="7" t="s">
        <v>443</v>
      </c>
      <c r="F119" s="8"/>
      <c r="G119" s="8" t="s">
        <v>184</v>
      </c>
      <c r="H119" s="9" t="s">
        <v>184</v>
      </c>
      <c r="I119" s="9" t="s">
        <v>50</v>
      </c>
      <c r="J119" s="9" t="s">
        <v>168</v>
      </c>
      <c r="K119" s="9" t="s">
        <v>191</v>
      </c>
      <c r="L119" s="8"/>
      <c r="M119" s="7" t="s">
        <v>53</v>
      </c>
      <c r="N119" s="8" t="s">
        <v>185</v>
      </c>
      <c r="O119" s="8" t="s">
        <v>444</v>
      </c>
      <c r="P119" s="10" t="n">
        <f aca="false">IF($H119="숙박",0,IF($H119=MID(P$1,3,20),IF($I119="",1,0.6),IF($I119=MID(P$1,3,20),0.4,0)))</f>
        <v>0</v>
      </c>
      <c r="Q119" s="10" t="n">
        <f aca="false">IF($H119="숙박",0,IF($H119=MID(Q$1,3,20),IF($I119="",1,0.6),IF($I119=MID(Q$1,3,20),0.4,0)))</f>
        <v>0</v>
      </c>
      <c r="R119" s="10" t="n">
        <f aca="false">IF($H119="숙박",0,IF($H119=MID(R$1,3,20),IF($I119="",1,0.6),IF($I119=MID(R$1,3,20),0.4,0)))</f>
        <v>0.6</v>
      </c>
      <c r="S119" s="10" t="n">
        <f aca="false">IF($H119="숙박",0,IF($H119=MID(S$1,3,20),IF($I119="",1,0.6),IF($I119=MID(S$1,3,20),0.4,0)))</f>
        <v>0</v>
      </c>
      <c r="T119" s="10" t="n">
        <f aca="false">IF($H119="숙박",0,IF($H119=MID(T$1,3,20),IF($I119="",1,0.6),IF($I119=MID(T$1,3,20),0.4,0)))</f>
        <v>0.4</v>
      </c>
      <c r="U119" s="10" t="n">
        <f aca="false">IF($H119="숙박",0,IF(ISNUMBER(SEARCH("야경",$J119)),1,0))</f>
        <v>0</v>
      </c>
      <c r="V119" s="10" t="n">
        <f aca="false">IF($H119="숙박",0,1)</f>
        <v>1</v>
      </c>
    </row>
    <row r="120" customFormat="false" ht="15" hidden="false" customHeight="false" outlineLevel="0" collapsed="false">
      <c r="A120" s="8" t="n">
        <v>119</v>
      </c>
      <c r="B120" s="8" t="s">
        <v>45</v>
      </c>
      <c r="C120" s="8" t="s">
        <v>178</v>
      </c>
      <c r="D120" s="8" t="s">
        <v>445</v>
      </c>
      <c r="E120" s="7" t="s">
        <v>446</v>
      </c>
      <c r="F120" s="8"/>
      <c r="G120" s="8" t="s">
        <v>184</v>
      </c>
      <c r="H120" s="9" t="s">
        <v>184</v>
      </c>
      <c r="I120" s="9" t="s">
        <v>50</v>
      </c>
      <c r="J120" s="9" t="s">
        <v>367</v>
      </c>
      <c r="K120" s="9" t="s">
        <v>52</v>
      </c>
      <c r="L120" s="8"/>
      <c r="M120" s="7" t="s">
        <v>53</v>
      </c>
      <c r="N120" s="8" t="s">
        <v>185</v>
      </c>
      <c r="O120" s="8" t="s">
        <v>447</v>
      </c>
      <c r="P120" s="10" t="n">
        <f aca="false">IF($H120="숙박",0,IF($H120=MID(P$1,3,20),IF($I120="",1,0.6),IF($I120=MID(P$1,3,20),0.4,0)))</f>
        <v>0</v>
      </c>
      <c r="Q120" s="10" t="n">
        <f aca="false">IF($H120="숙박",0,IF($H120=MID(Q$1,3,20),IF($I120="",1,0.6),IF($I120=MID(Q$1,3,20),0.4,0)))</f>
        <v>0</v>
      </c>
      <c r="R120" s="10" t="n">
        <f aca="false">IF($H120="숙박",0,IF($H120=MID(R$1,3,20),IF($I120="",1,0.6),IF($I120=MID(R$1,3,20),0.4,0)))</f>
        <v>0.6</v>
      </c>
      <c r="S120" s="10" t="n">
        <f aca="false">IF($H120="숙박",0,IF($H120=MID(S$1,3,20),IF($I120="",1,0.6),IF($I120=MID(S$1,3,20),0.4,0)))</f>
        <v>0</v>
      </c>
      <c r="T120" s="10" t="n">
        <f aca="false">IF($H120="숙박",0,IF($H120=MID(T$1,3,20),IF($I120="",1,0.6),IF($I120=MID(T$1,3,20),0.4,0)))</f>
        <v>0.4</v>
      </c>
      <c r="U120" s="10" t="n">
        <f aca="false">IF($H120="숙박",0,IF(ISNUMBER(SEARCH("야경",$J120)),1,0))</f>
        <v>0</v>
      </c>
      <c r="V120" s="10" t="n">
        <f aca="false">IF($H120="숙박",0,1)</f>
        <v>1</v>
      </c>
    </row>
    <row r="121" customFormat="false" ht="15" hidden="false" customHeight="false" outlineLevel="0" collapsed="false">
      <c r="A121" s="8" t="n">
        <v>120</v>
      </c>
      <c r="B121" s="8" t="s">
        <v>45</v>
      </c>
      <c r="C121" s="8" t="s">
        <v>178</v>
      </c>
      <c r="D121" s="8" t="s">
        <v>448</v>
      </c>
      <c r="E121" s="7" t="s">
        <v>449</v>
      </c>
      <c r="F121" s="8"/>
      <c r="G121" s="8" t="s">
        <v>184</v>
      </c>
      <c r="H121" s="9" t="s">
        <v>184</v>
      </c>
      <c r="I121" s="9" t="s">
        <v>50</v>
      </c>
      <c r="J121" s="9" t="s">
        <v>168</v>
      </c>
      <c r="K121" s="9" t="s">
        <v>191</v>
      </c>
      <c r="L121" s="8"/>
      <c r="M121" s="7" t="s">
        <v>53</v>
      </c>
      <c r="N121" s="8" t="s">
        <v>185</v>
      </c>
      <c r="O121" s="8" t="s">
        <v>450</v>
      </c>
      <c r="P121" s="10" t="n">
        <f aca="false">IF($H121="숙박",0,IF($H121=MID(P$1,3,20),IF($I121="",1,0.6),IF($I121=MID(P$1,3,20),0.4,0)))</f>
        <v>0</v>
      </c>
      <c r="Q121" s="10" t="n">
        <f aca="false">IF($H121="숙박",0,IF($H121=MID(Q$1,3,20),IF($I121="",1,0.6),IF($I121=MID(Q$1,3,20),0.4,0)))</f>
        <v>0</v>
      </c>
      <c r="R121" s="10" t="n">
        <f aca="false">IF($H121="숙박",0,IF($H121=MID(R$1,3,20),IF($I121="",1,0.6),IF($I121=MID(R$1,3,20),0.4,0)))</f>
        <v>0.6</v>
      </c>
      <c r="S121" s="10" t="n">
        <f aca="false">IF($H121="숙박",0,IF($H121=MID(S$1,3,20),IF($I121="",1,0.6),IF($I121=MID(S$1,3,20),0.4,0)))</f>
        <v>0</v>
      </c>
      <c r="T121" s="10" t="n">
        <f aca="false">IF($H121="숙박",0,IF($H121=MID(T$1,3,20),IF($I121="",1,0.6),IF($I121=MID(T$1,3,20),0.4,0)))</f>
        <v>0.4</v>
      </c>
      <c r="U121" s="10" t="n">
        <f aca="false">IF($H121="숙박",0,IF(ISNUMBER(SEARCH("야경",$J121)),1,0))</f>
        <v>0</v>
      </c>
      <c r="V121" s="10" t="n">
        <f aca="false">IF($H121="숙박",0,1)</f>
        <v>1</v>
      </c>
    </row>
    <row r="122" customFormat="false" ht="15" hidden="false" customHeight="false" outlineLevel="0" collapsed="false">
      <c r="A122" s="8" t="n">
        <v>121</v>
      </c>
      <c r="B122" s="8" t="s">
        <v>45</v>
      </c>
      <c r="C122" s="8" t="s">
        <v>178</v>
      </c>
      <c r="D122" s="8" t="s">
        <v>451</v>
      </c>
      <c r="E122" s="7" t="s">
        <v>452</v>
      </c>
      <c r="F122" s="8"/>
      <c r="G122" s="8" t="s">
        <v>216</v>
      </c>
      <c r="H122" s="9" t="s">
        <v>216</v>
      </c>
      <c r="I122" s="9" t="s">
        <v>50</v>
      </c>
      <c r="J122" s="9" t="s">
        <v>168</v>
      </c>
      <c r="K122" s="9" t="s">
        <v>191</v>
      </c>
      <c r="L122" s="8"/>
      <c r="M122" s="7" t="s">
        <v>53</v>
      </c>
      <c r="N122" s="8" t="s">
        <v>185</v>
      </c>
      <c r="O122" s="8" t="s">
        <v>453</v>
      </c>
      <c r="P122" s="10" t="n">
        <f aca="false">IF($H122="숙박",0,IF($H122=MID(P$1,3,20),IF($I122="",1,0.6),IF($I122=MID(P$1,3,20),0.4,0)))</f>
        <v>0</v>
      </c>
      <c r="Q122" s="10" t="n">
        <f aca="false">IF($H122="숙박",0,IF($H122=MID(Q$1,3,20),IF($I122="",1,0.6),IF($I122=MID(Q$1,3,20),0.4,0)))</f>
        <v>0</v>
      </c>
      <c r="R122" s="10" t="n">
        <f aca="false">IF($H122="숙박",0,IF($H122=MID(R$1,3,20),IF($I122="",1,0.6),IF($I122=MID(R$1,3,20),0.4,0)))</f>
        <v>0</v>
      </c>
      <c r="S122" s="10" t="n">
        <f aca="false">IF($H122="숙박",0,IF($H122=MID(S$1,3,20),IF($I122="",1,0.6),IF($I122=MID(S$1,3,20),0.4,0)))</f>
        <v>0.6</v>
      </c>
      <c r="T122" s="10" t="n">
        <f aca="false">IF($H122="숙박",0,IF($H122=MID(T$1,3,20),IF($I122="",1,0.6),IF($I122=MID(T$1,3,20),0.4,0)))</f>
        <v>0.4</v>
      </c>
      <c r="U122" s="10" t="n">
        <f aca="false">IF($H122="숙박",0,IF(ISNUMBER(SEARCH("야경",$J122)),1,0))</f>
        <v>0</v>
      </c>
      <c r="V122" s="10" t="n">
        <f aca="false">IF($H122="숙박",0,1)</f>
        <v>1</v>
      </c>
    </row>
    <row r="123" customFormat="false" ht="15" hidden="false" customHeight="false" outlineLevel="0" collapsed="false">
      <c r="A123" s="8" t="n">
        <v>122</v>
      </c>
      <c r="B123" s="8" t="s">
        <v>45</v>
      </c>
      <c r="C123" s="8" t="s">
        <v>454</v>
      </c>
      <c r="D123" s="8" t="s">
        <v>455</v>
      </c>
      <c r="E123" s="7" t="s">
        <v>456</v>
      </c>
      <c r="F123" s="8"/>
      <c r="G123" s="8" t="s">
        <v>184</v>
      </c>
      <c r="H123" s="9" t="s">
        <v>184</v>
      </c>
      <c r="I123" s="9" t="s">
        <v>50</v>
      </c>
      <c r="J123" s="9" t="s">
        <v>168</v>
      </c>
      <c r="K123" s="9" t="s">
        <v>52</v>
      </c>
      <c r="L123" s="8"/>
      <c r="M123" s="7" t="s">
        <v>53</v>
      </c>
      <c r="N123" s="8" t="s">
        <v>185</v>
      </c>
      <c r="O123" s="8" t="s">
        <v>457</v>
      </c>
      <c r="P123" s="10" t="n">
        <f aca="false">IF($H123="숙박",0,IF($H123=MID(P$1,3,20),IF($I123="",1,0.6),IF($I123=MID(P$1,3,20),0.4,0)))</f>
        <v>0</v>
      </c>
      <c r="Q123" s="10" t="n">
        <f aca="false">IF($H123="숙박",0,IF($H123=MID(Q$1,3,20),IF($I123="",1,0.6),IF($I123=MID(Q$1,3,20),0.4,0)))</f>
        <v>0</v>
      </c>
      <c r="R123" s="10" t="n">
        <f aca="false">IF($H123="숙박",0,IF($H123=MID(R$1,3,20),IF($I123="",1,0.6),IF($I123=MID(R$1,3,20),0.4,0)))</f>
        <v>0.6</v>
      </c>
      <c r="S123" s="10" t="n">
        <f aca="false">IF($H123="숙박",0,IF($H123=MID(S$1,3,20),IF($I123="",1,0.6),IF($I123=MID(S$1,3,20),0.4,0)))</f>
        <v>0</v>
      </c>
      <c r="T123" s="10" t="n">
        <f aca="false">IF($H123="숙박",0,IF($H123=MID(T$1,3,20),IF($I123="",1,0.6),IF($I123=MID(T$1,3,20),0.4,0)))</f>
        <v>0.4</v>
      </c>
      <c r="U123" s="10" t="n">
        <f aca="false">IF($H123="숙박",0,IF(ISNUMBER(SEARCH("야경",$J123)),1,0))</f>
        <v>0</v>
      </c>
      <c r="V123" s="10" t="n">
        <f aca="false">IF($H123="숙박",0,1)</f>
        <v>1</v>
      </c>
    </row>
    <row r="124" customFormat="false" ht="15" hidden="false" customHeight="false" outlineLevel="0" collapsed="false">
      <c r="A124" s="8" t="n">
        <v>123</v>
      </c>
      <c r="B124" s="8" t="s">
        <v>45</v>
      </c>
      <c r="C124" s="8" t="s">
        <v>321</v>
      </c>
      <c r="D124" s="8" t="s">
        <v>458</v>
      </c>
      <c r="E124" s="7" t="s">
        <v>459</v>
      </c>
      <c r="F124" s="8"/>
      <c r="G124" s="8" t="s">
        <v>49</v>
      </c>
      <c r="H124" s="9" t="s">
        <v>49</v>
      </c>
      <c r="I124" s="9" t="s">
        <v>50</v>
      </c>
      <c r="J124" s="9" t="s">
        <v>168</v>
      </c>
      <c r="K124" s="9" t="s">
        <v>52</v>
      </c>
      <c r="L124" s="8"/>
      <c r="M124" s="7" t="s">
        <v>53</v>
      </c>
      <c r="N124" s="8" t="s">
        <v>185</v>
      </c>
      <c r="O124" s="8" t="s">
        <v>460</v>
      </c>
      <c r="P124" s="10" t="n">
        <f aca="false">IF($H124="숙박",0,IF($H124=MID(P$1,3,20),IF($I124="",1,0.6),IF($I124=MID(P$1,3,20),0.4,0)))</f>
        <v>0</v>
      </c>
      <c r="Q124" s="10" t="n">
        <f aca="false">IF($H124="숙박",0,IF($H124=MID(Q$1,3,20),IF($I124="",1,0.6),IF($I124=MID(Q$1,3,20),0.4,0)))</f>
        <v>0.6</v>
      </c>
      <c r="R124" s="10" t="n">
        <f aca="false">IF($H124="숙박",0,IF($H124=MID(R$1,3,20),IF($I124="",1,0.6),IF($I124=MID(R$1,3,20),0.4,0)))</f>
        <v>0</v>
      </c>
      <c r="S124" s="10" t="n">
        <f aca="false">IF($H124="숙박",0,IF($H124=MID(S$1,3,20),IF($I124="",1,0.6),IF($I124=MID(S$1,3,20),0.4,0)))</f>
        <v>0</v>
      </c>
      <c r="T124" s="10" t="n">
        <f aca="false">IF($H124="숙박",0,IF($H124=MID(T$1,3,20),IF($I124="",1,0.6),IF($I124=MID(T$1,3,20),0.4,0)))</f>
        <v>0.4</v>
      </c>
      <c r="U124" s="10" t="n">
        <f aca="false">IF($H124="숙박",0,IF(ISNUMBER(SEARCH("야경",$J124)),1,0))</f>
        <v>0</v>
      </c>
      <c r="V124" s="10" t="n">
        <f aca="false">IF($H124="숙박",0,1)</f>
        <v>1</v>
      </c>
    </row>
    <row r="125" customFormat="false" ht="15" hidden="false" customHeight="false" outlineLevel="0" collapsed="false">
      <c r="A125" s="8" t="n">
        <v>124</v>
      </c>
      <c r="B125" s="8" t="s">
        <v>45</v>
      </c>
      <c r="C125" s="8" t="s">
        <v>321</v>
      </c>
      <c r="D125" s="8" t="s">
        <v>461</v>
      </c>
      <c r="E125" s="7" t="s">
        <v>462</v>
      </c>
      <c r="F125" s="8"/>
      <c r="G125" s="8" t="s">
        <v>184</v>
      </c>
      <c r="H125" s="9" t="s">
        <v>184</v>
      </c>
      <c r="I125" s="9" t="s">
        <v>50</v>
      </c>
      <c r="J125" s="9" t="s">
        <v>168</v>
      </c>
      <c r="K125" s="9" t="s">
        <v>52</v>
      </c>
      <c r="L125" s="8"/>
      <c r="M125" s="7" t="s">
        <v>53</v>
      </c>
      <c r="N125" s="8" t="s">
        <v>185</v>
      </c>
      <c r="O125" s="8" t="s">
        <v>463</v>
      </c>
      <c r="P125" s="10" t="n">
        <f aca="false">IF($H125="숙박",0,IF($H125=MID(P$1,3,20),IF($I125="",1,0.6),IF($I125=MID(P$1,3,20),0.4,0)))</f>
        <v>0</v>
      </c>
      <c r="Q125" s="10" t="n">
        <f aca="false">IF($H125="숙박",0,IF($H125=MID(Q$1,3,20),IF($I125="",1,0.6),IF($I125=MID(Q$1,3,20),0.4,0)))</f>
        <v>0</v>
      </c>
      <c r="R125" s="10" t="n">
        <f aca="false">IF($H125="숙박",0,IF($H125=MID(R$1,3,20),IF($I125="",1,0.6),IF($I125=MID(R$1,3,20),0.4,0)))</f>
        <v>0.6</v>
      </c>
      <c r="S125" s="10" t="n">
        <f aca="false">IF($H125="숙박",0,IF($H125=MID(S$1,3,20),IF($I125="",1,0.6),IF($I125=MID(S$1,3,20),0.4,0)))</f>
        <v>0</v>
      </c>
      <c r="T125" s="10" t="n">
        <f aca="false">IF($H125="숙박",0,IF($H125=MID(T$1,3,20),IF($I125="",1,0.6),IF($I125=MID(T$1,3,20),0.4,0)))</f>
        <v>0.4</v>
      </c>
      <c r="U125" s="10" t="n">
        <f aca="false">IF($H125="숙박",0,IF(ISNUMBER(SEARCH("야경",$J125)),1,0))</f>
        <v>0</v>
      </c>
      <c r="V125" s="10" t="n">
        <f aca="false">IF($H125="숙박",0,1)</f>
        <v>1</v>
      </c>
    </row>
    <row r="126" customFormat="false" ht="15" hidden="false" customHeight="false" outlineLevel="0" collapsed="false">
      <c r="A126" s="8" t="n">
        <v>125</v>
      </c>
      <c r="B126" s="8" t="s">
        <v>45</v>
      </c>
      <c r="C126" s="8" t="s">
        <v>301</v>
      </c>
      <c r="D126" s="8" t="s">
        <v>464</v>
      </c>
      <c r="E126" s="7" t="s">
        <v>465</v>
      </c>
      <c r="F126" s="8"/>
      <c r="G126" s="8" t="s">
        <v>184</v>
      </c>
      <c r="H126" s="9" t="s">
        <v>184</v>
      </c>
      <c r="I126" s="9" t="s">
        <v>50</v>
      </c>
      <c r="J126" s="9" t="s">
        <v>367</v>
      </c>
      <c r="K126" s="9" t="s">
        <v>52</v>
      </c>
      <c r="L126" s="8"/>
      <c r="M126" s="7" t="s">
        <v>53</v>
      </c>
      <c r="N126" s="8" t="s">
        <v>185</v>
      </c>
      <c r="O126" s="8" t="s">
        <v>466</v>
      </c>
      <c r="P126" s="10" t="n">
        <f aca="false">IF($H126="숙박",0,IF($H126=MID(P$1,3,20),IF($I126="",1,0.6),IF($I126=MID(P$1,3,20),0.4,0)))</f>
        <v>0</v>
      </c>
      <c r="Q126" s="10" t="n">
        <f aca="false">IF($H126="숙박",0,IF($H126=MID(Q$1,3,20),IF($I126="",1,0.6),IF($I126=MID(Q$1,3,20),0.4,0)))</f>
        <v>0</v>
      </c>
      <c r="R126" s="10" t="n">
        <f aca="false">IF($H126="숙박",0,IF($H126=MID(R$1,3,20),IF($I126="",1,0.6),IF($I126=MID(R$1,3,20),0.4,0)))</f>
        <v>0.6</v>
      </c>
      <c r="S126" s="10" t="n">
        <f aca="false">IF($H126="숙박",0,IF($H126=MID(S$1,3,20),IF($I126="",1,0.6),IF($I126=MID(S$1,3,20),0.4,0)))</f>
        <v>0</v>
      </c>
      <c r="T126" s="10" t="n">
        <f aca="false">IF($H126="숙박",0,IF($H126=MID(T$1,3,20),IF($I126="",1,0.6),IF($I126=MID(T$1,3,20),0.4,0)))</f>
        <v>0.4</v>
      </c>
      <c r="U126" s="10" t="n">
        <f aca="false">IF($H126="숙박",0,IF(ISNUMBER(SEARCH("야경",$J126)),1,0))</f>
        <v>0</v>
      </c>
      <c r="V126" s="10" t="n">
        <f aca="false">IF($H126="숙박",0,1)</f>
        <v>1</v>
      </c>
    </row>
    <row r="127" customFormat="false" ht="15" hidden="false" customHeight="false" outlineLevel="0" collapsed="false">
      <c r="A127" s="8" t="n">
        <v>126</v>
      </c>
      <c r="B127" s="8" t="s">
        <v>45</v>
      </c>
      <c r="C127" s="8" t="s">
        <v>467</v>
      </c>
      <c r="D127" s="8" t="s">
        <v>468</v>
      </c>
      <c r="E127" s="7" t="s">
        <v>469</v>
      </c>
      <c r="F127" s="8"/>
      <c r="G127" s="8" t="s">
        <v>49</v>
      </c>
      <c r="H127" s="9" t="s">
        <v>49</v>
      </c>
      <c r="I127" s="9" t="s">
        <v>50</v>
      </c>
      <c r="J127" s="9" t="s">
        <v>168</v>
      </c>
      <c r="K127" s="9" t="s">
        <v>209</v>
      </c>
      <c r="L127" s="8"/>
      <c r="M127" s="7" t="s">
        <v>53</v>
      </c>
      <c r="N127" s="8" t="s">
        <v>185</v>
      </c>
      <c r="O127" s="8" t="s">
        <v>470</v>
      </c>
      <c r="P127" s="10" t="n">
        <f aca="false">IF($H127="숙박",0,IF($H127=MID(P$1,3,20),IF($I127="",1,0.6),IF($I127=MID(P$1,3,20),0.4,0)))</f>
        <v>0</v>
      </c>
      <c r="Q127" s="10" t="n">
        <f aca="false">IF($H127="숙박",0,IF($H127=MID(Q$1,3,20),IF($I127="",1,0.6),IF($I127=MID(Q$1,3,20),0.4,0)))</f>
        <v>0.6</v>
      </c>
      <c r="R127" s="10" t="n">
        <f aca="false">IF($H127="숙박",0,IF($H127=MID(R$1,3,20),IF($I127="",1,0.6),IF($I127=MID(R$1,3,20),0.4,0)))</f>
        <v>0</v>
      </c>
      <c r="S127" s="10" t="n">
        <f aca="false">IF($H127="숙박",0,IF($H127=MID(S$1,3,20),IF($I127="",1,0.6),IF($I127=MID(S$1,3,20),0.4,0)))</f>
        <v>0</v>
      </c>
      <c r="T127" s="10" t="n">
        <f aca="false">IF($H127="숙박",0,IF($H127=MID(T$1,3,20),IF($I127="",1,0.6),IF($I127=MID(T$1,3,20),0.4,0)))</f>
        <v>0.4</v>
      </c>
      <c r="U127" s="10" t="n">
        <f aca="false">IF($H127="숙박",0,IF(ISNUMBER(SEARCH("야경",$J127)),1,0))</f>
        <v>0</v>
      </c>
      <c r="V127" s="10" t="n">
        <f aca="false">IF($H127="숙박",0,1)</f>
        <v>1</v>
      </c>
    </row>
    <row r="128" customFormat="false" ht="15" hidden="false" customHeight="false" outlineLevel="0" collapsed="false">
      <c r="A128" s="8" t="n">
        <v>127</v>
      </c>
      <c r="B128" s="8" t="s">
        <v>45</v>
      </c>
      <c r="C128" s="8" t="s">
        <v>321</v>
      </c>
      <c r="D128" s="8" t="s">
        <v>471</v>
      </c>
      <c r="E128" s="7" t="s">
        <v>472</v>
      </c>
      <c r="F128" s="8"/>
      <c r="G128" s="8" t="s">
        <v>216</v>
      </c>
      <c r="H128" s="9" t="s">
        <v>216</v>
      </c>
      <c r="I128" s="9" t="s">
        <v>50</v>
      </c>
      <c r="J128" s="9" t="s">
        <v>168</v>
      </c>
      <c r="K128" s="9" t="s">
        <v>52</v>
      </c>
      <c r="L128" s="8"/>
      <c r="M128" s="7" t="s">
        <v>53</v>
      </c>
      <c r="N128" s="8" t="s">
        <v>185</v>
      </c>
      <c r="O128" s="8" t="s">
        <v>473</v>
      </c>
      <c r="P128" s="10" t="n">
        <f aca="false">IF($H128="숙박",0,IF($H128=MID(P$1,3,20),IF($I128="",1,0.6),IF($I128=MID(P$1,3,20),0.4,0)))</f>
        <v>0</v>
      </c>
      <c r="Q128" s="10" t="n">
        <f aca="false">IF($H128="숙박",0,IF($H128=MID(Q$1,3,20),IF($I128="",1,0.6),IF($I128=MID(Q$1,3,20),0.4,0)))</f>
        <v>0</v>
      </c>
      <c r="R128" s="10" t="n">
        <f aca="false">IF($H128="숙박",0,IF($H128=MID(R$1,3,20),IF($I128="",1,0.6),IF($I128=MID(R$1,3,20),0.4,0)))</f>
        <v>0</v>
      </c>
      <c r="S128" s="10" t="n">
        <f aca="false">IF($H128="숙박",0,IF($H128=MID(S$1,3,20),IF($I128="",1,0.6),IF($I128=MID(S$1,3,20),0.4,0)))</f>
        <v>0.6</v>
      </c>
      <c r="T128" s="10" t="n">
        <f aca="false">IF($H128="숙박",0,IF($H128=MID(T$1,3,20),IF($I128="",1,0.6),IF($I128=MID(T$1,3,20),0.4,0)))</f>
        <v>0.4</v>
      </c>
      <c r="U128" s="10" t="n">
        <f aca="false">IF($H128="숙박",0,IF(ISNUMBER(SEARCH("야경",$J128)),1,0))</f>
        <v>0</v>
      </c>
      <c r="V128" s="10" t="n">
        <f aca="false">IF($H128="숙박",0,1)</f>
        <v>1</v>
      </c>
    </row>
    <row r="129" customFormat="false" ht="15" hidden="false" customHeight="false" outlineLevel="0" collapsed="false">
      <c r="A129" s="8" t="n">
        <v>128</v>
      </c>
      <c r="B129" s="8" t="s">
        <v>45</v>
      </c>
      <c r="C129" s="8" t="s">
        <v>310</v>
      </c>
      <c r="D129" s="8" t="s">
        <v>474</v>
      </c>
      <c r="E129" s="7" t="s">
        <v>475</v>
      </c>
      <c r="F129" s="8"/>
      <c r="G129" s="8" t="s">
        <v>49</v>
      </c>
      <c r="H129" s="9" t="s">
        <v>49</v>
      </c>
      <c r="I129" s="9" t="s">
        <v>50</v>
      </c>
      <c r="J129" s="9" t="s">
        <v>168</v>
      </c>
      <c r="K129" s="9" t="s">
        <v>52</v>
      </c>
      <c r="L129" s="8"/>
      <c r="M129" s="7" t="s">
        <v>53</v>
      </c>
      <c r="N129" s="8" t="s">
        <v>185</v>
      </c>
      <c r="O129" s="8" t="s">
        <v>476</v>
      </c>
      <c r="P129" s="10" t="n">
        <f aca="false">IF($H129="숙박",0,IF($H129=MID(P$1,3,20),IF($I129="",1,0.6),IF($I129=MID(P$1,3,20),0.4,0)))</f>
        <v>0</v>
      </c>
      <c r="Q129" s="10" t="n">
        <f aca="false">IF($H129="숙박",0,IF($H129=MID(Q$1,3,20),IF($I129="",1,0.6),IF($I129=MID(Q$1,3,20),0.4,0)))</f>
        <v>0.6</v>
      </c>
      <c r="R129" s="10" t="n">
        <f aca="false">IF($H129="숙박",0,IF($H129=MID(R$1,3,20),IF($I129="",1,0.6),IF($I129=MID(R$1,3,20),0.4,0)))</f>
        <v>0</v>
      </c>
      <c r="S129" s="10" t="n">
        <f aca="false">IF($H129="숙박",0,IF($H129=MID(S$1,3,20),IF($I129="",1,0.6),IF($I129=MID(S$1,3,20),0.4,0)))</f>
        <v>0</v>
      </c>
      <c r="T129" s="10" t="n">
        <f aca="false">IF($H129="숙박",0,IF($H129=MID(T$1,3,20),IF($I129="",1,0.6),IF($I129=MID(T$1,3,20),0.4,0)))</f>
        <v>0.4</v>
      </c>
      <c r="U129" s="10" t="n">
        <f aca="false">IF($H129="숙박",0,IF(ISNUMBER(SEARCH("야경",$J129)),1,0))</f>
        <v>0</v>
      </c>
      <c r="V129" s="10" t="n">
        <f aca="false">IF($H129="숙박",0,1)</f>
        <v>1</v>
      </c>
    </row>
    <row r="130" customFormat="false" ht="15" hidden="false" customHeight="false" outlineLevel="0" collapsed="false">
      <c r="A130" s="8" t="n">
        <v>129</v>
      </c>
      <c r="B130" s="8" t="s">
        <v>45</v>
      </c>
      <c r="C130" s="8"/>
      <c r="D130" s="7" t="s">
        <v>477</v>
      </c>
      <c r="E130" s="7" t="s">
        <v>478</v>
      </c>
      <c r="F130" s="8" t="s">
        <v>48</v>
      </c>
      <c r="G130" s="8" t="s">
        <v>49</v>
      </c>
      <c r="H130" s="9" t="s">
        <v>49</v>
      </c>
      <c r="I130" s="9"/>
      <c r="J130" s="9" t="s">
        <v>479</v>
      </c>
      <c r="K130" s="9" t="s">
        <v>52</v>
      </c>
      <c r="L130" s="8"/>
      <c r="M130" s="8"/>
      <c r="N130" s="8"/>
      <c r="O130" s="8" t="s">
        <v>480</v>
      </c>
      <c r="P130" s="10" t="n">
        <f aca="false">IF($H130="숙박",0,IF($H130=MID(P$1,3,20),IF($I130="",1,0.6),IF($I130=MID(P$1,3,20),0.4,0)))</f>
        <v>0</v>
      </c>
      <c r="Q130" s="10" t="n">
        <f aca="false">IF($H130="숙박",0,IF($H130=MID(Q$1,3,20),IF($I130="",1,0.6),IF($I130=MID(Q$1,3,20),0.4,0)))</f>
        <v>1</v>
      </c>
      <c r="R130" s="10" t="n">
        <f aca="false">IF($H130="숙박",0,IF($H130=MID(R$1,3,20),IF($I130="",1,0.6),IF($I130=MID(R$1,3,20),0.4,0)))</f>
        <v>0</v>
      </c>
      <c r="S130" s="10" t="n">
        <f aca="false">IF($H130="숙박",0,IF($H130=MID(S$1,3,20),IF($I130="",1,0.6),IF($I130=MID(S$1,3,20),0.4,0)))</f>
        <v>0</v>
      </c>
      <c r="T130" s="10" t="n">
        <f aca="false">IF($H130="숙박",0,IF($H130=MID(T$1,3,20),IF($I130="",1,0.6),IF($I130=MID(T$1,3,20),0.4,0)))</f>
        <v>0</v>
      </c>
      <c r="U130" s="10" t="n">
        <f aca="false">IF($H130="숙박",0,IF(ISNUMBER(SEARCH("야경",$J130)),1,0))</f>
        <v>0</v>
      </c>
      <c r="V130" s="10" t="n">
        <f aca="false">IF($H130="숙박",0,1)</f>
        <v>1</v>
      </c>
    </row>
    <row r="131" customFormat="false" ht="15" hidden="false" customHeight="false" outlineLevel="0" collapsed="false">
      <c r="A131" s="8" t="n">
        <v>130</v>
      </c>
      <c r="B131" s="8" t="s">
        <v>45</v>
      </c>
      <c r="C131" s="8"/>
      <c r="D131" s="7" t="s">
        <v>481</v>
      </c>
      <c r="E131" s="7" t="s">
        <v>482</v>
      </c>
      <c r="F131" s="8" t="s">
        <v>199</v>
      </c>
      <c r="G131" s="8" t="s">
        <v>184</v>
      </c>
      <c r="H131" s="9" t="s">
        <v>184</v>
      </c>
      <c r="I131" s="9" t="s">
        <v>49</v>
      </c>
      <c r="J131" s="9" t="s">
        <v>479</v>
      </c>
      <c r="K131" s="9" t="s">
        <v>191</v>
      </c>
      <c r="L131" s="8"/>
      <c r="M131" s="8"/>
      <c r="N131" s="8" t="s">
        <v>483</v>
      </c>
      <c r="O131" s="8" t="s">
        <v>484</v>
      </c>
      <c r="P131" s="10" t="n">
        <f aca="false">IF($H131="숙박",0,IF($H131=MID(P$1,3,20),IF($I131="",1,0.6),IF($I131=MID(P$1,3,20),0.4,0)))</f>
        <v>0</v>
      </c>
      <c r="Q131" s="10" t="n">
        <f aca="false">IF($H131="숙박",0,IF($H131=MID(Q$1,3,20),IF($I131="",1,0.6),IF($I131=MID(Q$1,3,20),0.4,0)))</f>
        <v>0.4</v>
      </c>
      <c r="R131" s="10" t="n">
        <f aca="false">IF($H131="숙박",0,IF($H131=MID(R$1,3,20),IF($I131="",1,0.6),IF($I131=MID(R$1,3,20),0.4,0)))</f>
        <v>0.6</v>
      </c>
      <c r="S131" s="10" t="n">
        <f aca="false">IF($H131="숙박",0,IF($H131=MID(S$1,3,20),IF($I131="",1,0.6),IF($I131=MID(S$1,3,20),0.4,0)))</f>
        <v>0</v>
      </c>
      <c r="T131" s="10" t="n">
        <f aca="false">IF($H131="숙박",0,IF($H131=MID(T$1,3,20),IF($I131="",1,0.6),IF($I131=MID(T$1,3,20),0.4,0)))</f>
        <v>0</v>
      </c>
      <c r="U131" s="10" t="n">
        <f aca="false">IF($H131="숙박",0,IF(ISNUMBER(SEARCH("야경",$J131)),1,0))</f>
        <v>0</v>
      </c>
      <c r="V131" s="10" t="n">
        <f aca="false">IF($H131="숙박",0,1)</f>
        <v>1</v>
      </c>
    </row>
    <row r="132" customFormat="false" ht="15" hidden="false" customHeight="false" outlineLevel="0" collapsed="false">
      <c r="A132" s="8" t="n">
        <v>131</v>
      </c>
      <c r="B132" s="8" t="s">
        <v>485</v>
      </c>
      <c r="C132" s="8"/>
      <c r="D132" s="7" t="s">
        <v>486</v>
      </c>
      <c r="E132" s="7" t="s">
        <v>487</v>
      </c>
      <c r="F132" s="8" t="s">
        <v>199</v>
      </c>
      <c r="G132" s="8" t="s">
        <v>184</v>
      </c>
      <c r="H132" s="9" t="s">
        <v>184</v>
      </c>
      <c r="I132" s="9"/>
      <c r="J132" s="9" t="s">
        <v>479</v>
      </c>
      <c r="K132" s="9" t="s">
        <v>191</v>
      </c>
      <c r="L132" s="8"/>
      <c r="M132" s="8"/>
      <c r="N132" s="8"/>
      <c r="O132" s="8" t="s">
        <v>488</v>
      </c>
      <c r="P132" s="10" t="n">
        <f aca="false">IF($H132="숙박",0,IF($H132=MID(P$1,3,20),IF($I132="",1,0.6),IF($I132=MID(P$1,3,20),0.4,0)))</f>
        <v>0</v>
      </c>
      <c r="Q132" s="10" t="n">
        <f aca="false">IF($H132="숙박",0,IF($H132=MID(Q$1,3,20),IF($I132="",1,0.6),IF($I132=MID(Q$1,3,20),0.4,0)))</f>
        <v>0</v>
      </c>
      <c r="R132" s="10" t="n">
        <f aca="false">IF($H132="숙박",0,IF($H132=MID(R$1,3,20),IF($I132="",1,0.6),IF($I132=MID(R$1,3,20),0.4,0)))</f>
        <v>1</v>
      </c>
      <c r="S132" s="10" t="n">
        <f aca="false">IF($H132="숙박",0,IF($H132=MID(S$1,3,20),IF($I132="",1,0.6),IF($I132=MID(S$1,3,20),0.4,0)))</f>
        <v>0</v>
      </c>
      <c r="T132" s="10" t="n">
        <f aca="false">IF($H132="숙박",0,IF($H132=MID(T$1,3,20),IF($I132="",1,0.6),IF($I132=MID(T$1,3,20),0.4,0)))</f>
        <v>0</v>
      </c>
      <c r="U132" s="10" t="n">
        <f aca="false">IF($H132="숙박",0,IF(ISNUMBER(SEARCH("야경",$J132)),1,0))</f>
        <v>0</v>
      </c>
      <c r="V132" s="10" t="n">
        <f aca="false">IF($H132="숙박",0,1)</f>
        <v>1</v>
      </c>
    </row>
    <row r="133" customFormat="false" ht="15" hidden="false" customHeight="false" outlineLevel="0" collapsed="false">
      <c r="A133" s="8" t="n">
        <v>132</v>
      </c>
      <c r="B133" s="8" t="s">
        <v>45</v>
      </c>
      <c r="C133" s="8"/>
      <c r="D133" s="7" t="s">
        <v>489</v>
      </c>
      <c r="E133" s="7" t="s">
        <v>490</v>
      </c>
      <c r="F133" s="8" t="s">
        <v>199</v>
      </c>
      <c r="G133" s="8" t="s">
        <v>184</v>
      </c>
      <c r="H133" s="9" t="s">
        <v>184</v>
      </c>
      <c r="I133" s="9"/>
      <c r="J133" s="9" t="s">
        <v>479</v>
      </c>
      <c r="K133" s="9" t="s">
        <v>191</v>
      </c>
      <c r="L133" s="8"/>
      <c r="M133" s="8"/>
      <c r="N133" s="8"/>
      <c r="O133" s="8" t="s">
        <v>491</v>
      </c>
      <c r="P133" s="10" t="n">
        <f aca="false">IF($H133="숙박",0,IF($H133=MID(P$1,3,20),IF($I133="",1,0.6),IF($I133=MID(P$1,3,20),0.4,0)))</f>
        <v>0</v>
      </c>
      <c r="Q133" s="10" t="n">
        <f aca="false">IF($H133="숙박",0,IF($H133=MID(Q$1,3,20),IF($I133="",1,0.6),IF($I133=MID(Q$1,3,20),0.4,0)))</f>
        <v>0</v>
      </c>
      <c r="R133" s="10" t="n">
        <f aca="false">IF($H133="숙박",0,IF($H133=MID(R$1,3,20),IF($I133="",1,0.6),IF($I133=MID(R$1,3,20),0.4,0)))</f>
        <v>1</v>
      </c>
      <c r="S133" s="10" t="n">
        <f aca="false">IF($H133="숙박",0,IF($H133=MID(S$1,3,20),IF($I133="",1,0.6),IF($I133=MID(S$1,3,20),0.4,0)))</f>
        <v>0</v>
      </c>
      <c r="T133" s="10" t="n">
        <f aca="false">IF($H133="숙박",0,IF($H133=MID(T$1,3,20),IF($I133="",1,0.6),IF($I133=MID(T$1,3,20),0.4,0)))</f>
        <v>0</v>
      </c>
      <c r="U133" s="10" t="n">
        <f aca="false">IF($H133="숙박",0,IF(ISNUMBER(SEARCH("야경",$J133)),1,0))</f>
        <v>0</v>
      </c>
      <c r="V133" s="10" t="n">
        <f aca="false">IF($H133="숙박",0,1)</f>
        <v>1</v>
      </c>
    </row>
    <row r="134" customFormat="false" ht="15" hidden="false" customHeight="false" outlineLevel="0" collapsed="false">
      <c r="A134" s="8" t="n">
        <v>133</v>
      </c>
      <c r="B134" s="8" t="s">
        <v>45</v>
      </c>
      <c r="C134" s="8"/>
      <c r="D134" s="8" t="s">
        <v>492</v>
      </c>
      <c r="E134" s="7" t="s">
        <v>493</v>
      </c>
      <c r="F134" s="8" t="s">
        <v>199</v>
      </c>
      <c r="G134" s="8" t="s">
        <v>216</v>
      </c>
      <c r="H134" s="9" t="s">
        <v>216</v>
      </c>
      <c r="I134" s="9"/>
      <c r="J134" s="9" t="s">
        <v>479</v>
      </c>
      <c r="K134" s="9" t="s">
        <v>191</v>
      </c>
      <c r="L134" s="8"/>
      <c r="M134" s="8"/>
      <c r="N134" s="8"/>
      <c r="O134" s="8" t="s">
        <v>494</v>
      </c>
      <c r="P134" s="10" t="n">
        <f aca="false">IF($H134="숙박",0,IF($H134=MID(P$1,3,20),IF($I134="",1,0.6),IF($I134=MID(P$1,3,20),0.4,0)))</f>
        <v>0</v>
      </c>
      <c r="Q134" s="10" t="n">
        <f aca="false">IF($H134="숙박",0,IF($H134=MID(Q$1,3,20),IF($I134="",1,0.6),IF($I134=MID(Q$1,3,20),0.4,0)))</f>
        <v>0</v>
      </c>
      <c r="R134" s="10" t="n">
        <f aca="false">IF($H134="숙박",0,IF($H134=MID(R$1,3,20),IF($I134="",1,0.6),IF($I134=MID(R$1,3,20),0.4,0)))</f>
        <v>0</v>
      </c>
      <c r="S134" s="10" t="n">
        <f aca="false">IF($H134="숙박",0,IF($H134=MID(S$1,3,20),IF($I134="",1,0.6),IF($I134=MID(S$1,3,20),0.4,0)))</f>
        <v>1</v>
      </c>
      <c r="T134" s="10" t="n">
        <f aca="false">IF($H134="숙박",0,IF($H134=MID(T$1,3,20),IF($I134="",1,0.6),IF($I134=MID(T$1,3,20),0.4,0)))</f>
        <v>0</v>
      </c>
      <c r="U134" s="10" t="n">
        <f aca="false">IF($H134="숙박",0,IF(ISNUMBER(SEARCH("야경",$J134)),1,0))</f>
        <v>0</v>
      </c>
      <c r="V134" s="10" t="n">
        <f aca="false">IF($H134="숙박",0,1)</f>
        <v>1</v>
      </c>
    </row>
    <row r="135" customFormat="false" ht="15" hidden="false" customHeight="false" outlineLevel="0" collapsed="false">
      <c r="A135" s="8" t="n">
        <v>134</v>
      </c>
      <c r="B135" s="8" t="s">
        <v>45</v>
      </c>
      <c r="C135" s="8"/>
      <c r="D135" s="8" t="s">
        <v>495</v>
      </c>
      <c r="E135" s="7" t="s">
        <v>496</v>
      </c>
      <c r="F135" s="8" t="s">
        <v>199</v>
      </c>
      <c r="G135" s="8" t="s">
        <v>216</v>
      </c>
      <c r="H135" s="9" t="s">
        <v>216</v>
      </c>
      <c r="I135" s="9"/>
      <c r="J135" s="9" t="s">
        <v>479</v>
      </c>
      <c r="K135" s="9" t="s">
        <v>52</v>
      </c>
      <c r="L135" s="8"/>
      <c r="M135" s="8"/>
      <c r="N135" s="8"/>
      <c r="O135" s="8" t="s">
        <v>497</v>
      </c>
      <c r="P135" s="10" t="n">
        <f aca="false">IF($H135="숙박",0,IF($H135=MID(P$1,3,20),IF($I135="",1,0.6),IF($I135=MID(P$1,3,20),0.4,0)))</f>
        <v>0</v>
      </c>
      <c r="Q135" s="10" t="n">
        <f aca="false">IF($H135="숙박",0,IF($H135=MID(Q$1,3,20),IF($I135="",1,0.6),IF($I135=MID(Q$1,3,20),0.4,0)))</f>
        <v>0</v>
      </c>
      <c r="R135" s="10" t="n">
        <f aca="false">IF($H135="숙박",0,IF($H135=MID(R$1,3,20),IF($I135="",1,0.6),IF($I135=MID(R$1,3,20),0.4,0)))</f>
        <v>0</v>
      </c>
      <c r="S135" s="10" t="n">
        <f aca="false">IF($H135="숙박",0,IF($H135=MID(S$1,3,20),IF($I135="",1,0.6),IF($I135=MID(S$1,3,20),0.4,0)))</f>
        <v>1</v>
      </c>
      <c r="T135" s="10" t="n">
        <f aca="false">IF($H135="숙박",0,IF($H135=MID(T$1,3,20),IF($I135="",1,0.6),IF($I135=MID(T$1,3,20),0.4,0)))</f>
        <v>0</v>
      </c>
      <c r="U135" s="10" t="n">
        <f aca="false">IF($H135="숙박",0,IF(ISNUMBER(SEARCH("야경",$J135)),1,0))</f>
        <v>0</v>
      </c>
      <c r="V135" s="10" t="n">
        <f aca="false">IF($H135="숙박",0,1)</f>
        <v>1</v>
      </c>
    </row>
    <row r="136" customFormat="false" ht="15" hidden="false" customHeight="false" outlineLevel="0" collapsed="false">
      <c r="A136" s="8" t="n">
        <v>135</v>
      </c>
      <c r="B136" s="8" t="s">
        <v>45</v>
      </c>
      <c r="C136" s="8"/>
      <c r="D136" s="8" t="s">
        <v>498</v>
      </c>
      <c r="E136" s="7" t="s">
        <v>499</v>
      </c>
      <c r="F136" s="7" t="s">
        <v>189</v>
      </c>
      <c r="G136" s="8" t="s">
        <v>190</v>
      </c>
      <c r="H136" s="9" t="s">
        <v>190</v>
      </c>
      <c r="I136" s="9"/>
      <c r="J136" s="9" t="s">
        <v>479</v>
      </c>
      <c r="K136" s="9" t="s">
        <v>191</v>
      </c>
      <c r="L136" s="8"/>
      <c r="M136" s="8"/>
      <c r="N136" s="8"/>
      <c r="O136" s="8" t="s">
        <v>500</v>
      </c>
      <c r="P136" s="10" t="n">
        <f aca="false">IF($H136="숙박",0,IF($H136=MID(P$1,3,20),IF($I136="",1,0.6),IF($I136=MID(P$1,3,20),0.4,0)))</f>
        <v>1</v>
      </c>
      <c r="Q136" s="10" t="n">
        <f aca="false">IF($H136="숙박",0,IF($H136=MID(Q$1,3,20),IF($I136="",1,0.6),IF($I136=MID(Q$1,3,20),0.4,0)))</f>
        <v>0</v>
      </c>
      <c r="R136" s="10" t="n">
        <f aca="false">IF($H136="숙박",0,IF($H136=MID(R$1,3,20),IF($I136="",1,0.6),IF($I136=MID(R$1,3,20),0.4,0)))</f>
        <v>0</v>
      </c>
      <c r="S136" s="10" t="n">
        <f aca="false">IF($H136="숙박",0,IF($H136=MID(S$1,3,20),IF($I136="",1,0.6),IF($I136=MID(S$1,3,20),0.4,0)))</f>
        <v>0</v>
      </c>
      <c r="T136" s="10" t="n">
        <f aca="false">IF($H136="숙박",0,IF($H136=MID(T$1,3,20),IF($I136="",1,0.6),IF($I136=MID(T$1,3,20),0.4,0)))</f>
        <v>0</v>
      </c>
      <c r="U136" s="10" t="n">
        <f aca="false">IF($H136="숙박",0,IF(ISNUMBER(SEARCH("야경",$J136)),1,0))</f>
        <v>0</v>
      </c>
      <c r="V136" s="10" t="n">
        <f aca="false">IF($H136="숙박",0,1)</f>
        <v>1</v>
      </c>
    </row>
    <row r="137" customFormat="false" ht="15" hidden="false" customHeight="false" outlineLevel="0" collapsed="false">
      <c r="A137" s="8" t="n">
        <v>136</v>
      </c>
      <c r="B137" s="8" t="s">
        <v>56</v>
      </c>
      <c r="C137" s="8"/>
      <c r="D137" s="8" t="s">
        <v>501</v>
      </c>
      <c r="E137" s="7" t="s">
        <v>502</v>
      </c>
      <c r="F137" s="8" t="s">
        <v>59</v>
      </c>
      <c r="G137" s="8" t="s">
        <v>190</v>
      </c>
      <c r="H137" s="9" t="s">
        <v>190</v>
      </c>
      <c r="I137" s="9" t="s">
        <v>216</v>
      </c>
      <c r="J137" s="9" t="s">
        <v>479</v>
      </c>
      <c r="K137" s="9" t="s">
        <v>52</v>
      </c>
      <c r="L137" s="8"/>
      <c r="M137" s="8"/>
      <c r="N137" s="8" t="s">
        <v>483</v>
      </c>
      <c r="O137" s="8" t="s">
        <v>503</v>
      </c>
      <c r="P137" s="10" t="n">
        <f aca="false">IF($H137="숙박",0,IF($H137=MID(P$1,3,20),IF($I137="",1,0.6),IF($I137=MID(P$1,3,20),0.4,0)))</f>
        <v>0.6</v>
      </c>
      <c r="Q137" s="10" t="n">
        <f aca="false">IF($H137="숙박",0,IF($H137=MID(Q$1,3,20),IF($I137="",1,0.6),IF($I137=MID(Q$1,3,20),0.4,0)))</f>
        <v>0</v>
      </c>
      <c r="R137" s="10" t="n">
        <f aca="false">IF($H137="숙박",0,IF($H137=MID(R$1,3,20),IF($I137="",1,0.6),IF($I137=MID(R$1,3,20),0.4,0)))</f>
        <v>0</v>
      </c>
      <c r="S137" s="10" t="n">
        <f aca="false">IF($H137="숙박",0,IF($H137=MID(S$1,3,20),IF($I137="",1,0.6),IF($I137=MID(S$1,3,20),0.4,0)))</f>
        <v>0.4</v>
      </c>
      <c r="T137" s="10" t="n">
        <f aca="false">IF($H137="숙박",0,IF($H137=MID(T$1,3,20),IF($I137="",1,0.6),IF($I137=MID(T$1,3,20),0.4,0)))</f>
        <v>0</v>
      </c>
      <c r="U137" s="10" t="n">
        <f aca="false">IF($H137="숙박",0,IF(ISNUMBER(SEARCH("야경",$J137)),1,0))</f>
        <v>0</v>
      </c>
      <c r="V137" s="10" t="n">
        <f aca="false">IF($H137="숙박",0,1)</f>
        <v>1</v>
      </c>
    </row>
    <row r="138" customFormat="false" ht="15" hidden="false" customHeight="false" outlineLevel="0" collapsed="false">
      <c r="A138" s="8" t="n">
        <v>137</v>
      </c>
      <c r="B138" s="8" t="s">
        <v>45</v>
      </c>
      <c r="C138" s="8"/>
      <c r="D138" s="8" t="s">
        <v>504</v>
      </c>
      <c r="E138" s="7" t="s">
        <v>505</v>
      </c>
      <c r="F138" s="7" t="s">
        <v>189</v>
      </c>
      <c r="G138" s="8" t="s">
        <v>216</v>
      </c>
      <c r="H138" s="9" t="s">
        <v>216</v>
      </c>
      <c r="I138" s="9" t="s">
        <v>50</v>
      </c>
      <c r="J138" s="9" t="s">
        <v>51</v>
      </c>
      <c r="K138" s="9" t="s">
        <v>52</v>
      </c>
      <c r="L138" s="8"/>
      <c r="M138" s="8"/>
      <c r="N138" s="8" t="s">
        <v>185</v>
      </c>
      <c r="O138" s="8" t="s">
        <v>506</v>
      </c>
      <c r="P138" s="10" t="n">
        <f aca="false">IF($H138="숙박",0,IF($H138=MID(P$1,3,20),IF($I138="",1,0.6),IF($I138=MID(P$1,3,20),0.4,0)))</f>
        <v>0</v>
      </c>
      <c r="Q138" s="10" t="n">
        <f aca="false">IF($H138="숙박",0,IF($H138=MID(Q$1,3,20),IF($I138="",1,0.6),IF($I138=MID(Q$1,3,20),0.4,0)))</f>
        <v>0</v>
      </c>
      <c r="R138" s="10" t="n">
        <f aca="false">IF($H138="숙박",0,IF($H138=MID(R$1,3,20),IF($I138="",1,0.6),IF($I138=MID(R$1,3,20),0.4,0)))</f>
        <v>0</v>
      </c>
      <c r="S138" s="10" t="n">
        <f aca="false">IF($H138="숙박",0,IF($H138=MID(S$1,3,20),IF($I138="",1,0.6),IF($I138=MID(S$1,3,20),0.4,0)))</f>
        <v>0.6</v>
      </c>
      <c r="T138" s="10" t="n">
        <f aca="false">IF($H138="숙박",0,IF($H138=MID(T$1,3,20),IF($I138="",1,0.6),IF($I138=MID(T$1,3,20),0.4,0)))</f>
        <v>0.4</v>
      </c>
      <c r="U138" s="10" t="n">
        <f aca="false">IF($H138="숙박",0,IF(ISNUMBER(SEARCH("야경",$J138)),1,0))</f>
        <v>0</v>
      </c>
      <c r="V138" s="10" t="n">
        <f aca="false">IF($H138="숙박",0,1)</f>
        <v>1</v>
      </c>
    </row>
    <row r="139" customFormat="false" ht="15" hidden="false" customHeight="false" outlineLevel="0" collapsed="false">
      <c r="A139" s="8" t="n">
        <v>138</v>
      </c>
      <c r="B139" s="8" t="s">
        <v>45</v>
      </c>
      <c r="C139" s="8"/>
      <c r="D139" s="8" t="s">
        <v>507</v>
      </c>
      <c r="E139" s="7" t="s">
        <v>508</v>
      </c>
      <c r="F139" s="8" t="s">
        <v>199</v>
      </c>
      <c r="G139" s="8" t="s">
        <v>216</v>
      </c>
      <c r="H139" s="9" t="s">
        <v>216</v>
      </c>
      <c r="I139" s="9"/>
      <c r="J139" s="9" t="s">
        <v>509</v>
      </c>
      <c r="K139" s="9" t="s">
        <v>191</v>
      </c>
      <c r="L139" s="8"/>
      <c r="M139" s="8"/>
      <c r="N139" s="8"/>
      <c r="O139" s="8" t="s">
        <v>510</v>
      </c>
      <c r="P139" s="10" t="n">
        <f aca="false">IF($H139="숙박",0,IF($H139=MID(P$1,3,20),IF($I139="",1,0.6),IF($I139=MID(P$1,3,20),0.4,0)))</f>
        <v>0</v>
      </c>
      <c r="Q139" s="10" t="n">
        <f aca="false">IF($H139="숙박",0,IF($H139=MID(Q$1,3,20),IF($I139="",1,0.6),IF($I139=MID(Q$1,3,20),0.4,0)))</f>
        <v>0</v>
      </c>
      <c r="R139" s="10" t="n">
        <f aca="false">IF($H139="숙박",0,IF($H139=MID(R$1,3,20),IF($I139="",1,0.6),IF($I139=MID(R$1,3,20),0.4,0)))</f>
        <v>0</v>
      </c>
      <c r="S139" s="10" t="n">
        <f aca="false">IF($H139="숙박",0,IF($H139=MID(S$1,3,20),IF($I139="",1,0.6),IF($I139=MID(S$1,3,20),0.4,0)))</f>
        <v>1</v>
      </c>
      <c r="T139" s="10" t="n">
        <f aca="false">IF($H139="숙박",0,IF($H139=MID(T$1,3,20),IF($I139="",1,0.6),IF($I139=MID(T$1,3,20),0.4,0)))</f>
        <v>0</v>
      </c>
      <c r="U139" s="10" t="n">
        <f aca="false">IF($H139="숙박",0,IF(ISNUMBER(SEARCH("야경",$J139)),1,0))</f>
        <v>1</v>
      </c>
      <c r="V139" s="10" t="n">
        <f aca="false">IF($H139="숙박",0,1)</f>
        <v>1</v>
      </c>
    </row>
    <row r="140" customFormat="false" ht="15" hidden="false" customHeight="false" outlineLevel="0" collapsed="false">
      <c r="A140" s="8" t="n">
        <v>139</v>
      </c>
      <c r="B140" s="8" t="s">
        <v>511</v>
      </c>
      <c r="C140" s="8"/>
      <c r="D140" s="8" t="s">
        <v>512</v>
      </c>
      <c r="E140" s="7" t="s">
        <v>513</v>
      </c>
      <c r="F140" s="7" t="s">
        <v>189</v>
      </c>
      <c r="G140" s="8" t="s">
        <v>216</v>
      </c>
      <c r="H140" s="9" t="s">
        <v>216</v>
      </c>
      <c r="I140" s="9"/>
      <c r="J140" s="9" t="s">
        <v>479</v>
      </c>
      <c r="K140" s="9" t="s">
        <v>191</v>
      </c>
      <c r="L140" s="8"/>
      <c r="M140" s="8"/>
      <c r="N140" s="8"/>
      <c r="O140" s="8" t="s">
        <v>514</v>
      </c>
      <c r="P140" s="10" t="n">
        <f aca="false">IF($H140="숙박",0,IF($H140=MID(P$1,3,20),IF($I140="",1,0.6),IF($I140=MID(P$1,3,20),0.4,0)))</f>
        <v>0</v>
      </c>
      <c r="Q140" s="10" t="n">
        <f aca="false">IF($H140="숙박",0,IF($H140=MID(Q$1,3,20),IF($I140="",1,0.6),IF($I140=MID(Q$1,3,20),0.4,0)))</f>
        <v>0</v>
      </c>
      <c r="R140" s="10" t="n">
        <f aca="false">IF($H140="숙박",0,IF($H140=MID(R$1,3,20),IF($I140="",1,0.6),IF($I140=MID(R$1,3,20),0.4,0)))</f>
        <v>0</v>
      </c>
      <c r="S140" s="10" t="n">
        <f aca="false">IF($H140="숙박",0,IF($H140=MID(S$1,3,20),IF($I140="",1,0.6),IF($I140=MID(S$1,3,20),0.4,0)))</f>
        <v>1</v>
      </c>
      <c r="T140" s="10" t="n">
        <f aca="false">IF($H140="숙박",0,IF($H140=MID(T$1,3,20),IF($I140="",1,0.6),IF($I140=MID(T$1,3,20),0.4,0)))</f>
        <v>0</v>
      </c>
      <c r="U140" s="10" t="n">
        <f aca="false">IF($H140="숙박",0,IF(ISNUMBER(SEARCH("야경",$J140)),1,0))</f>
        <v>0</v>
      </c>
      <c r="V140" s="10" t="n">
        <f aca="false">IF($H140="숙박",0,1)</f>
        <v>1</v>
      </c>
    </row>
    <row r="141" customFormat="false" ht="15" hidden="false" customHeight="false" outlineLevel="0" collapsed="false">
      <c r="A141" s="8" t="n">
        <v>140</v>
      </c>
      <c r="B141" s="8" t="s">
        <v>511</v>
      </c>
      <c r="C141" s="8"/>
      <c r="D141" s="8" t="s">
        <v>515</v>
      </c>
      <c r="E141" s="7" t="s">
        <v>516</v>
      </c>
      <c r="F141" s="7" t="s">
        <v>189</v>
      </c>
      <c r="G141" s="8" t="s">
        <v>216</v>
      </c>
      <c r="H141" s="9" t="s">
        <v>216</v>
      </c>
      <c r="I141" s="9"/>
      <c r="J141" s="9" t="s">
        <v>479</v>
      </c>
      <c r="K141" s="9" t="s">
        <v>191</v>
      </c>
      <c r="L141" s="8"/>
      <c r="M141" s="8"/>
      <c r="N141" s="8"/>
      <c r="O141" s="8" t="s">
        <v>517</v>
      </c>
      <c r="P141" s="10" t="n">
        <f aca="false">IF($H141="숙박",0,IF($H141=MID(P$1,3,20),IF($I141="",1,0.6),IF($I141=MID(P$1,3,20),0.4,0)))</f>
        <v>0</v>
      </c>
      <c r="Q141" s="10" t="n">
        <f aca="false">IF($H141="숙박",0,IF($H141=MID(Q$1,3,20),IF($I141="",1,0.6),IF($I141=MID(Q$1,3,20),0.4,0)))</f>
        <v>0</v>
      </c>
      <c r="R141" s="10" t="n">
        <f aca="false">IF($H141="숙박",0,IF($H141=MID(R$1,3,20),IF($I141="",1,0.6),IF($I141=MID(R$1,3,20),0.4,0)))</f>
        <v>0</v>
      </c>
      <c r="S141" s="10" t="n">
        <f aca="false">IF($H141="숙박",0,IF($H141=MID(S$1,3,20),IF($I141="",1,0.6),IF($I141=MID(S$1,3,20),0.4,0)))</f>
        <v>1</v>
      </c>
      <c r="T141" s="10" t="n">
        <f aca="false">IF($H141="숙박",0,IF($H141=MID(T$1,3,20),IF($I141="",1,0.6),IF($I141=MID(T$1,3,20),0.4,0)))</f>
        <v>0</v>
      </c>
      <c r="U141" s="10" t="n">
        <f aca="false">IF($H141="숙박",0,IF(ISNUMBER(SEARCH("야경",$J141)),1,0))</f>
        <v>0</v>
      </c>
      <c r="V141" s="10" t="n">
        <f aca="false">IF($H141="숙박",0,1)</f>
        <v>1</v>
      </c>
    </row>
    <row r="142" customFormat="false" ht="15" hidden="false" customHeight="false" outlineLevel="0" collapsed="false">
      <c r="A142" s="8" t="n">
        <v>141</v>
      </c>
      <c r="B142" s="8" t="s">
        <v>511</v>
      </c>
      <c r="C142" s="8"/>
      <c r="D142" s="8" t="s">
        <v>518</v>
      </c>
      <c r="E142" s="7" t="s">
        <v>519</v>
      </c>
      <c r="F142" s="7" t="s">
        <v>189</v>
      </c>
      <c r="G142" s="8" t="s">
        <v>49</v>
      </c>
      <c r="H142" s="9" t="s">
        <v>49</v>
      </c>
      <c r="I142" s="9" t="s">
        <v>184</v>
      </c>
      <c r="J142" s="9" t="s">
        <v>479</v>
      </c>
      <c r="K142" s="9" t="s">
        <v>52</v>
      </c>
      <c r="L142" s="8"/>
      <c r="M142" s="8"/>
      <c r="N142" s="8" t="s">
        <v>483</v>
      </c>
      <c r="O142" s="8" t="s">
        <v>520</v>
      </c>
      <c r="P142" s="10" t="n">
        <f aca="false">IF($H142="숙박",0,IF($H142=MID(P$1,3,20),IF($I142="",1,0.6),IF($I142=MID(P$1,3,20),0.4,0)))</f>
        <v>0</v>
      </c>
      <c r="Q142" s="10" t="n">
        <f aca="false">IF($H142="숙박",0,IF($H142=MID(Q$1,3,20),IF($I142="",1,0.6),IF($I142=MID(Q$1,3,20),0.4,0)))</f>
        <v>0.6</v>
      </c>
      <c r="R142" s="10" t="n">
        <f aca="false">IF($H142="숙박",0,IF($H142=MID(R$1,3,20),IF($I142="",1,0.6),IF($I142=MID(R$1,3,20),0.4,0)))</f>
        <v>0.4</v>
      </c>
      <c r="S142" s="10" t="n">
        <f aca="false">IF($H142="숙박",0,IF($H142=MID(S$1,3,20),IF($I142="",1,0.6),IF($I142=MID(S$1,3,20),0.4,0)))</f>
        <v>0</v>
      </c>
      <c r="T142" s="10" t="n">
        <f aca="false">IF($H142="숙박",0,IF($H142=MID(T$1,3,20),IF($I142="",1,0.6),IF($I142=MID(T$1,3,20),0.4,0)))</f>
        <v>0</v>
      </c>
      <c r="U142" s="10" t="n">
        <f aca="false">IF($H142="숙박",0,IF(ISNUMBER(SEARCH("야경",$J142)),1,0))</f>
        <v>0</v>
      </c>
      <c r="V142" s="10" t="n">
        <f aca="false">IF($H142="숙박",0,1)</f>
        <v>1</v>
      </c>
    </row>
    <row r="143" customFormat="false" ht="15" hidden="false" customHeight="false" outlineLevel="0" collapsed="false">
      <c r="A143" s="8" t="n">
        <v>142</v>
      </c>
      <c r="B143" s="8" t="s">
        <v>45</v>
      </c>
      <c r="C143" s="8"/>
      <c r="D143" s="8" t="s">
        <v>521</v>
      </c>
      <c r="E143" s="7" t="s">
        <v>522</v>
      </c>
      <c r="F143" s="7" t="s">
        <v>189</v>
      </c>
      <c r="G143" s="8" t="s">
        <v>190</v>
      </c>
      <c r="H143" s="9" t="s">
        <v>190</v>
      </c>
      <c r="I143" s="9" t="s">
        <v>49</v>
      </c>
      <c r="J143" s="9" t="s">
        <v>523</v>
      </c>
      <c r="K143" s="9" t="s">
        <v>52</v>
      </c>
      <c r="L143" s="8"/>
      <c r="M143" s="8"/>
      <c r="N143" s="8" t="s">
        <v>483</v>
      </c>
      <c r="O143" s="8" t="s">
        <v>524</v>
      </c>
      <c r="P143" s="10" t="n">
        <f aca="false">IF($H143="숙박",0,IF($H143=MID(P$1,3,20),IF($I143="",1,0.6),IF($I143=MID(P$1,3,20),0.4,0)))</f>
        <v>0.6</v>
      </c>
      <c r="Q143" s="10" t="n">
        <f aca="false">IF($H143="숙박",0,IF($H143=MID(Q$1,3,20),IF($I143="",1,0.6),IF($I143=MID(Q$1,3,20),0.4,0)))</f>
        <v>0.4</v>
      </c>
      <c r="R143" s="10" t="n">
        <f aca="false">IF($H143="숙박",0,IF($H143=MID(R$1,3,20),IF($I143="",1,0.6),IF($I143=MID(R$1,3,20),0.4,0)))</f>
        <v>0</v>
      </c>
      <c r="S143" s="10" t="n">
        <f aca="false">IF($H143="숙박",0,IF($H143=MID(S$1,3,20),IF($I143="",1,0.6),IF($I143=MID(S$1,3,20),0.4,0)))</f>
        <v>0</v>
      </c>
      <c r="T143" s="10" t="n">
        <f aca="false">IF($H143="숙박",0,IF($H143=MID(T$1,3,20),IF($I143="",1,0.6),IF($I143=MID(T$1,3,20),0.4,0)))</f>
        <v>0</v>
      </c>
      <c r="U143" s="10" t="n">
        <f aca="false">IF($H143="숙박",0,IF(ISNUMBER(SEARCH("야경",$J143)),1,0))</f>
        <v>0</v>
      </c>
      <c r="V143" s="10" t="n">
        <f aca="false">IF($H143="숙박",0,1)</f>
        <v>1</v>
      </c>
    </row>
    <row r="144" customFormat="false" ht="15" hidden="false" customHeight="false" outlineLevel="0" collapsed="false">
      <c r="A144" s="8" t="n">
        <v>143</v>
      </c>
      <c r="B144" s="8" t="s">
        <v>511</v>
      </c>
      <c r="C144" s="8"/>
      <c r="D144" s="8" t="s">
        <v>525</v>
      </c>
      <c r="E144" s="7" t="s">
        <v>526</v>
      </c>
      <c r="F144" s="7" t="s">
        <v>189</v>
      </c>
      <c r="G144" s="8" t="s">
        <v>49</v>
      </c>
      <c r="H144" s="9" t="s">
        <v>49</v>
      </c>
      <c r="I144" s="9"/>
      <c r="J144" s="9" t="s">
        <v>479</v>
      </c>
      <c r="K144" s="9" t="s">
        <v>52</v>
      </c>
      <c r="L144" s="8"/>
      <c r="M144" s="8"/>
      <c r="N144" s="8"/>
      <c r="O144" s="8" t="s">
        <v>527</v>
      </c>
      <c r="P144" s="10" t="n">
        <f aca="false">IF($H144="숙박",0,IF($H144=MID(P$1,3,20),IF($I144="",1,0.6),IF($I144=MID(P$1,3,20),0.4,0)))</f>
        <v>0</v>
      </c>
      <c r="Q144" s="10" t="n">
        <f aca="false">IF($H144="숙박",0,IF($H144=MID(Q$1,3,20),IF($I144="",1,0.6),IF($I144=MID(Q$1,3,20),0.4,0)))</f>
        <v>1</v>
      </c>
      <c r="R144" s="10" t="n">
        <f aca="false">IF($H144="숙박",0,IF($H144=MID(R$1,3,20),IF($I144="",1,0.6),IF($I144=MID(R$1,3,20),0.4,0)))</f>
        <v>0</v>
      </c>
      <c r="S144" s="10" t="n">
        <f aca="false">IF($H144="숙박",0,IF($H144=MID(S$1,3,20),IF($I144="",1,0.6),IF($I144=MID(S$1,3,20),0.4,0)))</f>
        <v>0</v>
      </c>
      <c r="T144" s="10" t="n">
        <f aca="false">IF($H144="숙박",0,IF($H144=MID(T$1,3,20),IF($I144="",1,0.6),IF($I144=MID(T$1,3,20),0.4,0)))</f>
        <v>0</v>
      </c>
      <c r="U144" s="10" t="n">
        <f aca="false">IF($H144="숙박",0,IF(ISNUMBER(SEARCH("야경",$J144)),1,0))</f>
        <v>0</v>
      </c>
      <c r="V144" s="10" t="n">
        <f aca="false">IF($H144="숙박",0,1)</f>
        <v>1</v>
      </c>
    </row>
    <row r="145" customFormat="false" ht="15" hidden="false" customHeight="false" outlineLevel="0" collapsed="false">
      <c r="A145" s="8" t="n">
        <v>144</v>
      </c>
      <c r="B145" s="8" t="s">
        <v>45</v>
      </c>
      <c r="C145" s="8"/>
      <c r="D145" s="8" t="s">
        <v>528</v>
      </c>
      <c r="E145" s="7" t="s">
        <v>529</v>
      </c>
      <c r="F145" s="8" t="s">
        <v>199</v>
      </c>
      <c r="G145" s="8" t="s">
        <v>216</v>
      </c>
      <c r="H145" s="9" t="s">
        <v>216</v>
      </c>
      <c r="I145" s="9"/>
      <c r="J145" s="9" t="s">
        <v>479</v>
      </c>
      <c r="K145" s="9" t="s">
        <v>52</v>
      </c>
      <c r="L145" s="8"/>
      <c r="M145" s="8"/>
      <c r="N145" s="8"/>
      <c r="O145" s="8" t="s">
        <v>530</v>
      </c>
      <c r="P145" s="10" t="n">
        <f aca="false">IF($H145="숙박",0,IF($H145=MID(P$1,3,20),IF($I145="",1,0.6),IF($I145=MID(P$1,3,20),0.4,0)))</f>
        <v>0</v>
      </c>
      <c r="Q145" s="10" t="n">
        <f aca="false">IF($H145="숙박",0,IF($H145=MID(Q$1,3,20),IF($I145="",1,0.6),IF($I145=MID(Q$1,3,20),0.4,0)))</f>
        <v>0</v>
      </c>
      <c r="R145" s="10" t="n">
        <f aca="false">IF($H145="숙박",0,IF($H145=MID(R$1,3,20),IF($I145="",1,0.6),IF($I145=MID(R$1,3,20),0.4,0)))</f>
        <v>0</v>
      </c>
      <c r="S145" s="10" t="n">
        <f aca="false">IF($H145="숙박",0,IF($H145=MID(S$1,3,20),IF($I145="",1,0.6),IF($I145=MID(S$1,3,20),0.4,0)))</f>
        <v>1</v>
      </c>
      <c r="T145" s="10" t="n">
        <f aca="false">IF($H145="숙박",0,IF($H145=MID(T$1,3,20),IF($I145="",1,0.6),IF($I145=MID(T$1,3,20),0.4,0)))</f>
        <v>0</v>
      </c>
      <c r="U145" s="10" t="n">
        <f aca="false">IF($H145="숙박",0,IF(ISNUMBER(SEARCH("야경",$J145)),1,0))</f>
        <v>0</v>
      </c>
      <c r="V145" s="10" t="n">
        <f aca="false">IF($H145="숙박",0,1)</f>
        <v>1</v>
      </c>
    </row>
    <row r="146" customFormat="false" ht="15" hidden="false" customHeight="false" outlineLevel="0" collapsed="false">
      <c r="A146" s="8" t="n">
        <v>145</v>
      </c>
      <c r="B146" s="8" t="s">
        <v>45</v>
      </c>
      <c r="C146" s="8"/>
      <c r="D146" s="8" t="s">
        <v>531</v>
      </c>
      <c r="E146" s="7" t="s">
        <v>532</v>
      </c>
      <c r="F146" s="8" t="s">
        <v>199</v>
      </c>
      <c r="G146" s="8" t="s">
        <v>216</v>
      </c>
      <c r="H146" s="9" t="s">
        <v>216</v>
      </c>
      <c r="I146" s="9"/>
      <c r="J146" s="9" t="s">
        <v>479</v>
      </c>
      <c r="K146" s="9" t="s">
        <v>191</v>
      </c>
      <c r="L146" s="8"/>
      <c r="M146" s="8"/>
      <c r="N146" s="8"/>
      <c r="O146" s="8" t="s">
        <v>533</v>
      </c>
      <c r="P146" s="10" t="n">
        <f aca="false">IF($H146="숙박",0,IF($H146=MID(P$1,3,20),IF($I146="",1,0.6),IF($I146=MID(P$1,3,20),0.4,0)))</f>
        <v>0</v>
      </c>
      <c r="Q146" s="10" t="n">
        <f aca="false">IF($H146="숙박",0,IF($H146=MID(Q$1,3,20),IF($I146="",1,0.6),IF($I146=MID(Q$1,3,20),0.4,0)))</f>
        <v>0</v>
      </c>
      <c r="R146" s="10" t="n">
        <f aca="false">IF($H146="숙박",0,IF($H146=MID(R$1,3,20),IF($I146="",1,0.6),IF($I146=MID(R$1,3,20),0.4,0)))</f>
        <v>0</v>
      </c>
      <c r="S146" s="10" t="n">
        <f aca="false">IF($H146="숙박",0,IF($H146=MID(S$1,3,20),IF($I146="",1,0.6),IF($I146=MID(S$1,3,20),0.4,0)))</f>
        <v>1</v>
      </c>
      <c r="T146" s="10" t="n">
        <f aca="false">IF($H146="숙박",0,IF($H146=MID(T$1,3,20),IF($I146="",1,0.6),IF($I146=MID(T$1,3,20),0.4,0)))</f>
        <v>0</v>
      </c>
      <c r="U146" s="10" t="n">
        <f aca="false">IF($H146="숙박",0,IF(ISNUMBER(SEARCH("야경",$J146)),1,0))</f>
        <v>0</v>
      </c>
      <c r="V146" s="10" t="n">
        <f aca="false">IF($H146="숙박",0,1)</f>
        <v>1</v>
      </c>
    </row>
    <row r="147" customFormat="false" ht="15" hidden="false" customHeight="false" outlineLevel="0" collapsed="false">
      <c r="A147" s="8" t="n">
        <v>146</v>
      </c>
      <c r="B147" s="8" t="s">
        <v>45</v>
      </c>
      <c r="C147" s="8"/>
      <c r="D147" s="8" t="s">
        <v>534</v>
      </c>
      <c r="E147" s="7" t="s">
        <v>535</v>
      </c>
      <c r="F147" s="8" t="s">
        <v>199</v>
      </c>
      <c r="G147" s="8" t="s">
        <v>216</v>
      </c>
      <c r="H147" s="9" t="s">
        <v>216</v>
      </c>
      <c r="I147" s="9"/>
      <c r="J147" s="9" t="s">
        <v>479</v>
      </c>
      <c r="K147" s="9" t="s">
        <v>52</v>
      </c>
      <c r="L147" s="8"/>
      <c r="M147" s="8"/>
      <c r="N147" s="8"/>
      <c r="O147" s="8" t="s">
        <v>536</v>
      </c>
      <c r="P147" s="10" t="n">
        <f aca="false">IF($H147="숙박",0,IF($H147=MID(P$1,3,20),IF($I147="",1,0.6),IF($I147=MID(P$1,3,20),0.4,0)))</f>
        <v>0</v>
      </c>
      <c r="Q147" s="10" t="n">
        <f aca="false">IF($H147="숙박",0,IF($H147=MID(Q$1,3,20),IF($I147="",1,0.6),IF($I147=MID(Q$1,3,20),0.4,0)))</f>
        <v>0</v>
      </c>
      <c r="R147" s="10" t="n">
        <f aca="false">IF($H147="숙박",0,IF($H147=MID(R$1,3,20),IF($I147="",1,0.6),IF($I147=MID(R$1,3,20),0.4,0)))</f>
        <v>0</v>
      </c>
      <c r="S147" s="10" t="n">
        <f aca="false">IF($H147="숙박",0,IF($H147=MID(S$1,3,20),IF($I147="",1,0.6),IF($I147=MID(S$1,3,20),0.4,0)))</f>
        <v>1</v>
      </c>
      <c r="T147" s="10" t="n">
        <f aca="false">IF($H147="숙박",0,IF($H147=MID(T$1,3,20),IF($I147="",1,0.6),IF($I147=MID(T$1,3,20),0.4,0)))</f>
        <v>0</v>
      </c>
      <c r="U147" s="10" t="n">
        <f aca="false">IF($H147="숙박",0,IF(ISNUMBER(SEARCH("야경",$J147)),1,0))</f>
        <v>0</v>
      </c>
      <c r="V147" s="10" t="n">
        <f aca="false">IF($H147="숙박",0,1)</f>
        <v>1</v>
      </c>
    </row>
    <row r="148" customFormat="false" ht="15" hidden="false" customHeight="false" outlineLevel="0" collapsed="false">
      <c r="A148" s="8" t="n">
        <v>147</v>
      </c>
      <c r="B148" s="8" t="s">
        <v>485</v>
      </c>
      <c r="C148" s="8"/>
      <c r="D148" s="8" t="s">
        <v>537</v>
      </c>
      <c r="E148" s="7" t="s">
        <v>538</v>
      </c>
      <c r="F148" s="8" t="s">
        <v>199</v>
      </c>
      <c r="G148" s="8" t="s">
        <v>190</v>
      </c>
      <c r="H148" s="9" t="s">
        <v>190</v>
      </c>
      <c r="I148" s="9"/>
      <c r="J148" s="9" t="s">
        <v>479</v>
      </c>
      <c r="K148" s="9" t="s">
        <v>191</v>
      </c>
      <c r="L148" s="8"/>
      <c r="M148" s="8"/>
      <c r="N148" s="8"/>
      <c r="O148" s="8" t="s">
        <v>539</v>
      </c>
      <c r="P148" s="10" t="n">
        <f aca="false">IF($H148="숙박",0,IF($H148=MID(P$1,3,20),IF($I148="",1,0.6),IF($I148=MID(P$1,3,20),0.4,0)))</f>
        <v>1</v>
      </c>
      <c r="Q148" s="10" t="n">
        <f aca="false">IF($H148="숙박",0,IF($H148=MID(Q$1,3,20),IF($I148="",1,0.6),IF($I148=MID(Q$1,3,20),0.4,0)))</f>
        <v>0</v>
      </c>
      <c r="R148" s="10" t="n">
        <f aca="false">IF($H148="숙박",0,IF($H148=MID(R$1,3,20),IF($I148="",1,0.6),IF($I148=MID(R$1,3,20),0.4,0)))</f>
        <v>0</v>
      </c>
      <c r="S148" s="10" t="n">
        <f aca="false">IF($H148="숙박",0,IF($H148=MID(S$1,3,20),IF($I148="",1,0.6),IF($I148=MID(S$1,3,20),0.4,0)))</f>
        <v>0</v>
      </c>
      <c r="T148" s="10" t="n">
        <f aca="false">IF($H148="숙박",0,IF($H148=MID(T$1,3,20),IF($I148="",1,0.6),IF($I148=MID(T$1,3,20),0.4,0)))</f>
        <v>0</v>
      </c>
      <c r="U148" s="10" t="n">
        <f aca="false">IF($H148="숙박",0,IF(ISNUMBER(SEARCH("야경",$J148)),1,0))</f>
        <v>0</v>
      </c>
      <c r="V148" s="10" t="n">
        <f aca="false">IF($H148="숙박",0,1)</f>
        <v>1</v>
      </c>
    </row>
    <row r="149" customFormat="false" ht="15" hidden="false" customHeight="false" outlineLevel="0" collapsed="false">
      <c r="A149" s="8" t="n">
        <v>148</v>
      </c>
      <c r="B149" s="8" t="s">
        <v>45</v>
      </c>
      <c r="C149" s="8"/>
      <c r="D149" s="8" t="s">
        <v>540</v>
      </c>
      <c r="E149" s="7" t="s">
        <v>541</v>
      </c>
      <c r="F149" s="7" t="s">
        <v>189</v>
      </c>
      <c r="G149" s="8" t="s">
        <v>184</v>
      </c>
      <c r="H149" s="9" t="s">
        <v>184</v>
      </c>
      <c r="I149" s="9" t="s">
        <v>190</v>
      </c>
      <c r="J149" s="9" t="s">
        <v>523</v>
      </c>
      <c r="K149" s="9" t="s">
        <v>191</v>
      </c>
      <c r="L149" s="8"/>
      <c r="M149" s="8"/>
      <c r="N149" s="8" t="s">
        <v>483</v>
      </c>
      <c r="O149" s="8" t="s">
        <v>542</v>
      </c>
      <c r="P149" s="10" t="n">
        <f aca="false">IF($H149="숙박",0,IF($H149=MID(P$1,3,20),IF($I149="",1,0.6),IF($I149=MID(P$1,3,20),0.4,0)))</f>
        <v>0.4</v>
      </c>
      <c r="Q149" s="10" t="n">
        <f aca="false">IF($H149="숙박",0,IF($H149=MID(Q$1,3,20),IF($I149="",1,0.6),IF($I149=MID(Q$1,3,20),0.4,0)))</f>
        <v>0</v>
      </c>
      <c r="R149" s="10" t="n">
        <f aca="false">IF($H149="숙박",0,IF($H149=MID(R$1,3,20),IF($I149="",1,0.6),IF($I149=MID(R$1,3,20),0.4,0)))</f>
        <v>0.6</v>
      </c>
      <c r="S149" s="10" t="n">
        <f aca="false">IF($H149="숙박",0,IF($H149=MID(S$1,3,20),IF($I149="",1,0.6),IF($I149=MID(S$1,3,20),0.4,0)))</f>
        <v>0</v>
      </c>
      <c r="T149" s="10" t="n">
        <f aca="false">IF($H149="숙박",0,IF($H149=MID(T$1,3,20),IF($I149="",1,0.6),IF($I149=MID(T$1,3,20),0.4,0)))</f>
        <v>0</v>
      </c>
      <c r="U149" s="10" t="n">
        <f aca="false">IF($H149="숙박",0,IF(ISNUMBER(SEARCH("야경",$J149)),1,0))</f>
        <v>0</v>
      </c>
      <c r="V149" s="10" t="n">
        <f aca="false">IF($H149="숙박",0,1)</f>
        <v>1</v>
      </c>
    </row>
    <row r="150" customFormat="false" ht="15" hidden="false" customHeight="false" outlineLevel="0" collapsed="false">
      <c r="A150" s="8" t="n">
        <v>149</v>
      </c>
      <c r="B150" s="8" t="s">
        <v>511</v>
      </c>
      <c r="C150" s="8"/>
      <c r="D150" s="8" t="s">
        <v>543</v>
      </c>
      <c r="E150" s="7" t="s">
        <v>544</v>
      </c>
      <c r="F150" s="7" t="s">
        <v>189</v>
      </c>
      <c r="G150" s="8" t="s">
        <v>184</v>
      </c>
      <c r="H150" s="9" t="s">
        <v>184</v>
      </c>
      <c r="I150" s="9"/>
      <c r="J150" s="9" t="s">
        <v>523</v>
      </c>
      <c r="K150" s="9" t="s">
        <v>191</v>
      </c>
      <c r="L150" s="8"/>
      <c r="M150" s="8"/>
      <c r="N150" s="8"/>
      <c r="O150" s="8" t="s">
        <v>545</v>
      </c>
      <c r="P150" s="10" t="n">
        <f aca="false">IF($H150="숙박",0,IF($H150=MID(P$1,3,20),IF($I150="",1,0.6),IF($I150=MID(P$1,3,20),0.4,0)))</f>
        <v>0</v>
      </c>
      <c r="Q150" s="10" t="n">
        <f aca="false">IF($H150="숙박",0,IF($H150=MID(Q$1,3,20),IF($I150="",1,0.6),IF($I150=MID(Q$1,3,20),0.4,0)))</f>
        <v>0</v>
      </c>
      <c r="R150" s="10" t="n">
        <f aca="false">IF($H150="숙박",0,IF($H150=MID(R$1,3,20),IF($I150="",1,0.6),IF($I150=MID(R$1,3,20),0.4,0)))</f>
        <v>1</v>
      </c>
      <c r="S150" s="10" t="n">
        <f aca="false">IF($H150="숙박",0,IF($H150=MID(S$1,3,20),IF($I150="",1,0.6),IF($I150=MID(S$1,3,20),0.4,0)))</f>
        <v>0</v>
      </c>
      <c r="T150" s="10" t="n">
        <f aca="false">IF($H150="숙박",0,IF($H150=MID(T$1,3,20),IF($I150="",1,0.6),IF($I150=MID(T$1,3,20),0.4,0)))</f>
        <v>0</v>
      </c>
      <c r="U150" s="10" t="n">
        <f aca="false">IF($H150="숙박",0,IF(ISNUMBER(SEARCH("야경",$J150)),1,0))</f>
        <v>0</v>
      </c>
      <c r="V150" s="10" t="n">
        <f aca="false">IF($H150="숙박",0,1)</f>
        <v>1</v>
      </c>
    </row>
    <row r="151" customFormat="false" ht="15" hidden="false" customHeight="false" outlineLevel="0" collapsed="false">
      <c r="A151" s="8" t="n">
        <v>150</v>
      </c>
      <c r="B151" s="8" t="s">
        <v>45</v>
      </c>
      <c r="C151" s="8"/>
      <c r="D151" s="8" t="s">
        <v>546</v>
      </c>
      <c r="E151" s="7" t="s">
        <v>547</v>
      </c>
      <c r="F151" s="7" t="s">
        <v>189</v>
      </c>
      <c r="G151" s="8" t="s">
        <v>50</v>
      </c>
      <c r="H151" s="9" t="s">
        <v>50</v>
      </c>
      <c r="I151" s="9"/>
      <c r="J151" s="9" t="s">
        <v>51</v>
      </c>
      <c r="K151" s="9" t="s">
        <v>52</v>
      </c>
      <c r="L151" s="8"/>
      <c r="M151" s="8"/>
      <c r="N151" s="8"/>
      <c r="O151" s="8" t="s">
        <v>548</v>
      </c>
      <c r="P151" s="10" t="n">
        <f aca="false">IF($H151="숙박",0,IF($H151=MID(P$1,3,20),IF($I151="",1,0.6),IF($I151=MID(P$1,3,20),0.4,0)))</f>
        <v>0</v>
      </c>
      <c r="Q151" s="10" t="n">
        <f aca="false">IF($H151="숙박",0,IF($H151=MID(Q$1,3,20),IF($I151="",1,0.6),IF($I151=MID(Q$1,3,20),0.4,0)))</f>
        <v>0</v>
      </c>
      <c r="R151" s="10" t="n">
        <f aca="false">IF($H151="숙박",0,IF($H151=MID(R$1,3,20),IF($I151="",1,0.6),IF($I151=MID(R$1,3,20),0.4,0)))</f>
        <v>0</v>
      </c>
      <c r="S151" s="10" t="n">
        <f aca="false">IF($H151="숙박",0,IF($H151=MID(S$1,3,20),IF($I151="",1,0.6),IF($I151=MID(S$1,3,20),0.4,0)))</f>
        <v>0</v>
      </c>
      <c r="T151" s="10" t="n">
        <f aca="false">IF($H151="숙박",0,IF($H151=MID(T$1,3,20),IF($I151="",1,0.6),IF($I151=MID(T$1,3,20),0.4,0)))</f>
        <v>1</v>
      </c>
      <c r="U151" s="10" t="n">
        <f aca="false">IF($H151="숙박",0,IF(ISNUMBER(SEARCH("야경",$J151)),1,0))</f>
        <v>0</v>
      </c>
      <c r="V151" s="10" t="n">
        <f aca="false">IF($H151="숙박",0,1)</f>
        <v>1</v>
      </c>
    </row>
    <row r="152" customFormat="false" ht="15" hidden="false" customHeight="false" outlineLevel="0" collapsed="false">
      <c r="A152" s="8" t="n">
        <v>151</v>
      </c>
      <c r="B152" s="8" t="s">
        <v>45</v>
      </c>
      <c r="C152" s="8"/>
      <c r="D152" s="8" t="s">
        <v>549</v>
      </c>
      <c r="E152" s="7" t="s">
        <v>550</v>
      </c>
      <c r="F152" s="7" t="s">
        <v>189</v>
      </c>
      <c r="G152" s="8" t="s">
        <v>184</v>
      </c>
      <c r="H152" s="9" t="s">
        <v>184</v>
      </c>
      <c r="I152" s="9" t="s">
        <v>49</v>
      </c>
      <c r="J152" s="9" t="s">
        <v>551</v>
      </c>
      <c r="K152" s="9" t="s">
        <v>52</v>
      </c>
      <c r="L152" s="8"/>
      <c r="M152" s="8"/>
      <c r="N152" s="8" t="s">
        <v>483</v>
      </c>
      <c r="O152" s="8" t="s">
        <v>552</v>
      </c>
      <c r="P152" s="10" t="n">
        <f aca="false">IF($H152="숙박",0,IF($H152=MID(P$1,3,20),IF($I152="",1,0.6),IF($I152=MID(P$1,3,20),0.4,0)))</f>
        <v>0</v>
      </c>
      <c r="Q152" s="10" t="n">
        <f aca="false">IF($H152="숙박",0,IF($H152=MID(Q$1,3,20),IF($I152="",1,0.6),IF($I152=MID(Q$1,3,20),0.4,0)))</f>
        <v>0.4</v>
      </c>
      <c r="R152" s="10" t="n">
        <f aca="false">IF($H152="숙박",0,IF($H152=MID(R$1,3,20),IF($I152="",1,0.6),IF($I152=MID(R$1,3,20),0.4,0)))</f>
        <v>0.6</v>
      </c>
      <c r="S152" s="10" t="n">
        <f aca="false">IF($H152="숙박",0,IF($H152=MID(S$1,3,20),IF($I152="",1,0.6),IF($I152=MID(S$1,3,20),0.4,0)))</f>
        <v>0</v>
      </c>
      <c r="T152" s="10" t="n">
        <f aca="false">IF($H152="숙박",0,IF($H152=MID(T$1,3,20),IF($I152="",1,0.6),IF($I152=MID(T$1,3,20),0.4,0)))</f>
        <v>0</v>
      </c>
      <c r="U152" s="10" t="n">
        <f aca="false">IF($H152="숙박",0,IF(ISNUMBER(SEARCH("야경",$J152)),1,0))</f>
        <v>1</v>
      </c>
      <c r="V152" s="10" t="n">
        <f aca="false">IF($H152="숙박",0,1)</f>
        <v>1</v>
      </c>
    </row>
    <row r="153" customFormat="false" ht="15" hidden="false" customHeight="false" outlineLevel="0" collapsed="false">
      <c r="A153" s="8" t="n">
        <v>152</v>
      </c>
      <c r="B153" s="8" t="s">
        <v>45</v>
      </c>
      <c r="C153" s="8"/>
      <c r="D153" s="8" t="s">
        <v>553</v>
      </c>
      <c r="E153" s="7" t="s">
        <v>554</v>
      </c>
      <c r="F153" s="7" t="s">
        <v>189</v>
      </c>
      <c r="G153" s="8" t="s">
        <v>190</v>
      </c>
      <c r="H153" s="9" t="s">
        <v>190</v>
      </c>
      <c r="I153" s="9"/>
      <c r="J153" s="9" t="s">
        <v>479</v>
      </c>
      <c r="K153" s="9" t="s">
        <v>191</v>
      </c>
      <c r="L153" s="8"/>
      <c r="M153" s="8"/>
      <c r="N153" s="8"/>
      <c r="O153" s="7" t="s">
        <v>555</v>
      </c>
      <c r="P153" s="10" t="n">
        <f aca="false">IF($H153="숙박",0,IF($H153=MID(P$1,3,20),IF($I153="",1,0.6),IF($I153=MID(P$1,3,20),0.4,0)))</f>
        <v>1</v>
      </c>
      <c r="Q153" s="10" t="n">
        <f aca="false">IF($H153="숙박",0,IF($H153=MID(Q$1,3,20),IF($I153="",1,0.6),IF($I153=MID(Q$1,3,20),0.4,0)))</f>
        <v>0</v>
      </c>
      <c r="R153" s="10" t="n">
        <f aca="false">IF($H153="숙박",0,IF($H153=MID(R$1,3,20),IF($I153="",1,0.6),IF($I153=MID(R$1,3,20),0.4,0)))</f>
        <v>0</v>
      </c>
      <c r="S153" s="10" t="n">
        <f aca="false">IF($H153="숙박",0,IF($H153=MID(S$1,3,20),IF($I153="",1,0.6),IF($I153=MID(S$1,3,20),0.4,0)))</f>
        <v>0</v>
      </c>
      <c r="T153" s="10" t="n">
        <f aca="false">IF($H153="숙박",0,IF($H153=MID(T$1,3,20),IF($I153="",1,0.6),IF($I153=MID(T$1,3,20),0.4,0)))</f>
        <v>0</v>
      </c>
      <c r="U153" s="10" t="n">
        <f aca="false">IF($H153="숙박",0,IF(ISNUMBER(SEARCH("야경",$J153)),1,0))</f>
        <v>0</v>
      </c>
      <c r="V153" s="10" t="n">
        <f aca="false">IF($H153="숙박",0,1)</f>
        <v>1</v>
      </c>
    </row>
    <row r="154" customFormat="false" ht="15" hidden="false" customHeight="false" outlineLevel="0" collapsed="false">
      <c r="A154" s="8" t="n">
        <v>153</v>
      </c>
      <c r="B154" s="8" t="s">
        <v>511</v>
      </c>
      <c r="C154" s="8"/>
      <c r="D154" s="8" t="s">
        <v>556</v>
      </c>
      <c r="E154" s="7" t="s">
        <v>557</v>
      </c>
      <c r="F154" s="7" t="s">
        <v>189</v>
      </c>
      <c r="G154" s="8" t="s">
        <v>184</v>
      </c>
      <c r="H154" s="9" t="s">
        <v>184</v>
      </c>
      <c r="I154" s="9" t="s">
        <v>190</v>
      </c>
      <c r="J154" s="9" t="s">
        <v>479</v>
      </c>
      <c r="K154" s="9" t="s">
        <v>191</v>
      </c>
      <c r="L154" s="8"/>
      <c r="M154" s="8"/>
      <c r="N154" s="8" t="s">
        <v>483</v>
      </c>
      <c r="O154" s="8" t="s">
        <v>558</v>
      </c>
      <c r="P154" s="10" t="n">
        <f aca="false">IF($H154="숙박",0,IF($H154=MID(P$1,3,20),IF($I154="",1,0.6),IF($I154=MID(P$1,3,20),0.4,0)))</f>
        <v>0.4</v>
      </c>
      <c r="Q154" s="10" t="n">
        <f aca="false">IF($H154="숙박",0,IF($H154=MID(Q$1,3,20),IF($I154="",1,0.6),IF($I154=MID(Q$1,3,20),0.4,0)))</f>
        <v>0</v>
      </c>
      <c r="R154" s="10" t="n">
        <f aca="false">IF($H154="숙박",0,IF($H154=MID(R$1,3,20),IF($I154="",1,0.6),IF($I154=MID(R$1,3,20),0.4,0)))</f>
        <v>0.6</v>
      </c>
      <c r="S154" s="10" t="n">
        <f aca="false">IF($H154="숙박",0,IF($H154=MID(S$1,3,20),IF($I154="",1,0.6),IF($I154=MID(S$1,3,20),0.4,0)))</f>
        <v>0</v>
      </c>
      <c r="T154" s="10" t="n">
        <f aca="false">IF($H154="숙박",0,IF($H154=MID(T$1,3,20),IF($I154="",1,0.6),IF($I154=MID(T$1,3,20),0.4,0)))</f>
        <v>0</v>
      </c>
      <c r="U154" s="10" t="n">
        <f aca="false">IF($H154="숙박",0,IF(ISNUMBER(SEARCH("야경",$J154)),1,0))</f>
        <v>0</v>
      </c>
      <c r="V154" s="10" t="n">
        <f aca="false">IF($H154="숙박",0,1)</f>
        <v>1</v>
      </c>
    </row>
    <row r="155" customFormat="false" ht="15" hidden="false" customHeight="false" outlineLevel="0" collapsed="false">
      <c r="A155" s="8" t="n">
        <v>154</v>
      </c>
      <c r="B155" s="8" t="s">
        <v>45</v>
      </c>
      <c r="C155" s="8"/>
      <c r="D155" s="8" t="s">
        <v>559</v>
      </c>
      <c r="E155" s="7" t="s">
        <v>560</v>
      </c>
      <c r="F155" s="8" t="s">
        <v>199</v>
      </c>
      <c r="G155" s="8" t="s">
        <v>190</v>
      </c>
      <c r="H155" s="9" t="s">
        <v>190</v>
      </c>
      <c r="I155" s="9"/>
      <c r="J155" s="9" t="s">
        <v>479</v>
      </c>
      <c r="K155" s="9" t="s">
        <v>191</v>
      </c>
      <c r="L155" s="8"/>
      <c r="M155" s="8"/>
      <c r="N155" s="8"/>
      <c r="O155" s="8" t="s">
        <v>561</v>
      </c>
      <c r="P155" s="10" t="n">
        <f aca="false">IF($H155="숙박",0,IF($H155=MID(P$1,3,20),IF($I155="",1,0.6),IF($I155=MID(P$1,3,20),0.4,0)))</f>
        <v>1</v>
      </c>
      <c r="Q155" s="10" t="n">
        <f aca="false">IF($H155="숙박",0,IF($H155=MID(Q$1,3,20),IF($I155="",1,0.6),IF($I155=MID(Q$1,3,20),0.4,0)))</f>
        <v>0</v>
      </c>
      <c r="R155" s="10" t="n">
        <f aca="false">IF($H155="숙박",0,IF($H155=MID(R$1,3,20),IF($I155="",1,0.6),IF($I155=MID(R$1,3,20),0.4,0)))</f>
        <v>0</v>
      </c>
      <c r="S155" s="10" t="n">
        <f aca="false">IF($H155="숙박",0,IF($H155=MID(S$1,3,20),IF($I155="",1,0.6),IF($I155=MID(S$1,3,20),0.4,0)))</f>
        <v>0</v>
      </c>
      <c r="T155" s="10" t="n">
        <f aca="false">IF($H155="숙박",0,IF($H155=MID(T$1,3,20),IF($I155="",1,0.6),IF($I155=MID(T$1,3,20),0.4,0)))</f>
        <v>0</v>
      </c>
      <c r="U155" s="10" t="n">
        <f aca="false">IF($H155="숙박",0,IF(ISNUMBER(SEARCH("야경",$J155)),1,0))</f>
        <v>0</v>
      </c>
      <c r="V155" s="10" t="n">
        <f aca="false">IF($H155="숙박",0,1)</f>
        <v>1</v>
      </c>
    </row>
    <row r="156" customFormat="false" ht="15" hidden="false" customHeight="false" outlineLevel="0" collapsed="false">
      <c r="A156" s="8" t="n">
        <v>155</v>
      </c>
      <c r="B156" s="8" t="s">
        <v>45</v>
      </c>
      <c r="C156" s="8"/>
      <c r="D156" s="8" t="s">
        <v>562</v>
      </c>
      <c r="E156" s="7" t="s">
        <v>563</v>
      </c>
      <c r="F156" s="7" t="s">
        <v>189</v>
      </c>
      <c r="G156" s="8" t="s">
        <v>49</v>
      </c>
      <c r="H156" s="9" t="s">
        <v>49</v>
      </c>
      <c r="I156" s="9" t="s">
        <v>190</v>
      </c>
      <c r="J156" s="9" t="s">
        <v>479</v>
      </c>
      <c r="K156" s="9" t="s">
        <v>52</v>
      </c>
      <c r="L156" s="8"/>
      <c r="M156" s="8"/>
      <c r="N156" s="8" t="s">
        <v>483</v>
      </c>
      <c r="O156" s="8" t="s">
        <v>564</v>
      </c>
      <c r="P156" s="10" t="n">
        <f aca="false">IF($H156="숙박",0,IF($H156=MID(P$1,3,20),IF($I156="",1,0.6),IF($I156=MID(P$1,3,20),0.4,0)))</f>
        <v>0.4</v>
      </c>
      <c r="Q156" s="10" t="n">
        <f aca="false">IF($H156="숙박",0,IF($H156=MID(Q$1,3,20),IF($I156="",1,0.6),IF($I156=MID(Q$1,3,20),0.4,0)))</f>
        <v>0.6</v>
      </c>
      <c r="R156" s="10" t="n">
        <f aca="false">IF($H156="숙박",0,IF($H156=MID(R$1,3,20),IF($I156="",1,0.6),IF($I156=MID(R$1,3,20),0.4,0)))</f>
        <v>0</v>
      </c>
      <c r="S156" s="10" t="n">
        <f aca="false">IF($H156="숙박",0,IF($H156=MID(S$1,3,20),IF($I156="",1,0.6),IF($I156=MID(S$1,3,20),0.4,0)))</f>
        <v>0</v>
      </c>
      <c r="T156" s="10" t="n">
        <f aca="false">IF($H156="숙박",0,IF($H156=MID(T$1,3,20),IF($I156="",1,0.6),IF($I156=MID(T$1,3,20),0.4,0)))</f>
        <v>0</v>
      </c>
      <c r="U156" s="10" t="n">
        <f aca="false">IF($H156="숙박",0,IF(ISNUMBER(SEARCH("야경",$J156)),1,0))</f>
        <v>0</v>
      </c>
      <c r="V156" s="10" t="n">
        <f aca="false">IF($H156="숙박",0,1)</f>
        <v>1</v>
      </c>
    </row>
    <row r="157" customFormat="false" ht="15" hidden="false" customHeight="false" outlineLevel="0" collapsed="false">
      <c r="A157" s="8" t="n">
        <v>156</v>
      </c>
      <c r="B157" s="8" t="s">
        <v>45</v>
      </c>
      <c r="C157" s="8"/>
      <c r="D157" s="8" t="s">
        <v>565</v>
      </c>
      <c r="E157" s="7" t="s">
        <v>566</v>
      </c>
      <c r="F157" s="8" t="s">
        <v>567</v>
      </c>
      <c r="G157" s="8" t="s">
        <v>49</v>
      </c>
      <c r="H157" s="9" t="s">
        <v>49</v>
      </c>
      <c r="I157" s="9"/>
      <c r="J157" s="9" t="s">
        <v>479</v>
      </c>
      <c r="K157" s="9" t="s">
        <v>52</v>
      </c>
      <c r="L157" s="8"/>
      <c r="M157" s="8"/>
      <c r="N157" s="8"/>
      <c r="O157" s="8" t="s">
        <v>568</v>
      </c>
      <c r="P157" s="10" t="n">
        <f aca="false">IF($H157="숙박",0,IF($H157=MID(P$1,3,20),IF($I157="",1,0.6),IF($I157=MID(P$1,3,20),0.4,0)))</f>
        <v>0</v>
      </c>
      <c r="Q157" s="10" t="n">
        <f aca="false">IF($H157="숙박",0,IF($H157=MID(Q$1,3,20),IF($I157="",1,0.6),IF($I157=MID(Q$1,3,20),0.4,0)))</f>
        <v>1</v>
      </c>
      <c r="R157" s="10" t="n">
        <f aca="false">IF($H157="숙박",0,IF($H157=MID(R$1,3,20),IF($I157="",1,0.6),IF($I157=MID(R$1,3,20),0.4,0)))</f>
        <v>0</v>
      </c>
      <c r="S157" s="10" t="n">
        <f aca="false">IF($H157="숙박",0,IF($H157=MID(S$1,3,20),IF($I157="",1,0.6),IF($I157=MID(S$1,3,20),0.4,0)))</f>
        <v>0</v>
      </c>
      <c r="T157" s="10" t="n">
        <f aca="false">IF($H157="숙박",0,IF($H157=MID(T$1,3,20),IF($I157="",1,0.6),IF($I157=MID(T$1,3,20),0.4,0)))</f>
        <v>0</v>
      </c>
      <c r="U157" s="10" t="n">
        <f aca="false">IF($H157="숙박",0,IF(ISNUMBER(SEARCH("야경",$J157)),1,0))</f>
        <v>0</v>
      </c>
      <c r="V157" s="10" t="n">
        <f aca="false">IF($H157="숙박",0,1)</f>
        <v>1</v>
      </c>
    </row>
    <row r="158" customFormat="false" ht="15" hidden="false" customHeight="false" outlineLevel="0" collapsed="false">
      <c r="A158" s="8" t="n">
        <v>157</v>
      </c>
      <c r="B158" s="8" t="s">
        <v>511</v>
      </c>
      <c r="C158" s="8"/>
      <c r="D158" s="8" t="s">
        <v>569</v>
      </c>
      <c r="E158" s="7" t="s">
        <v>570</v>
      </c>
      <c r="F158" s="7" t="s">
        <v>189</v>
      </c>
      <c r="G158" s="8" t="s">
        <v>216</v>
      </c>
      <c r="H158" s="9" t="s">
        <v>216</v>
      </c>
      <c r="I158" s="9"/>
      <c r="J158" s="9" t="s">
        <v>479</v>
      </c>
      <c r="K158" s="9" t="s">
        <v>191</v>
      </c>
      <c r="L158" s="8"/>
      <c r="M158" s="8"/>
      <c r="N158" s="8"/>
      <c r="O158" s="8" t="s">
        <v>571</v>
      </c>
      <c r="P158" s="10" t="n">
        <f aca="false">IF($H158="숙박",0,IF($H158=MID(P$1,3,20),IF($I158="",1,0.6),IF($I158=MID(P$1,3,20),0.4,0)))</f>
        <v>0</v>
      </c>
      <c r="Q158" s="10" t="n">
        <f aca="false">IF($H158="숙박",0,IF($H158=MID(Q$1,3,20),IF($I158="",1,0.6),IF($I158=MID(Q$1,3,20),0.4,0)))</f>
        <v>0</v>
      </c>
      <c r="R158" s="10" t="n">
        <f aca="false">IF($H158="숙박",0,IF($H158=MID(R$1,3,20),IF($I158="",1,0.6),IF($I158=MID(R$1,3,20),0.4,0)))</f>
        <v>0</v>
      </c>
      <c r="S158" s="10" t="n">
        <f aca="false">IF($H158="숙박",0,IF($H158=MID(S$1,3,20),IF($I158="",1,0.6),IF($I158=MID(S$1,3,20),0.4,0)))</f>
        <v>1</v>
      </c>
      <c r="T158" s="10" t="n">
        <f aca="false">IF($H158="숙박",0,IF($H158=MID(T$1,3,20),IF($I158="",1,0.6),IF($I158=MID(T$1,3,20),0.4,0)))</f>
        <v>0</v>
      </c>
      <c r="U158" s="10" t="n">
        <f aca="false">IF($H158="숙박",0,IF(ISNUMBER(SEARCH("야경",$J158)),1,0))</f>
        <v>0</v>
      </c>
      <c r="V158" s="10" t="n">
        <f aca="false">IF($H158="숙박",0,1)</f>
        <v>1</v>
      </c>
    </row>
    <row r="159" customFormat="false" ht="15" hidden="false" customHeight="false" outlineLevel="0" collapsed="false">
      <c r="A159" s="8" t="n">
        <v>158</v>
      </c>
      <c r="B159" s="8" t="s">
        <v>45</v>
      </c>
      <c r="C159" s="8"/>
      <c r="D159" s="8" t="s">
        <v>572</v>
      </c>
      <c r="E159" s="7" t="s">
        <v>573</v>
      </c>
      <c r="F159" s="8" t="s">
        <v>48</v>
      </c>
      <c r="G159" s="8" t="s">
        <v>190</v>
      </c>
      <c r="H159" s="9" t="s">
        <v>190</v>
      </c>
      <c r="I159" s="9"/>
      <c r="J159" s="9" t="s">
        <v>479</v>
      </c>
      <c r="K159" s="9" t="s">
        <v>191</v>
      </c>
      <c r="L159" s="8"/>
      <c r="M159" s="8"/>
      <c r="N159" s="8"/>
      <c r="O159" s="8" t="s">
        <v>574</v>
      </c>
      <c r="P159" s="10" t="n">
        <f aca="false">IF($H159="숙박",0,IF($H159=MID(P$1,3,20),IF($I159="",1,0.6),IF($I159=MID(P$1,3,20),0.4,0)))</f>
        <v>1</v>
      </c>
      <c r="Q159" s="10" t="n">
        <f aca="false">IF($H159="숙박",0,IF($H159=MID(Q$1,3,20),IF($I159="",1,0.6),IF($I159=MID(Q$1,3,20),0.4,0)))</f>
        <v>0</v>
      </c>
      <c r="R159" s="10" t="n">
        <f aca="false">IF($H159="숙박",0,IF($H159=MID(R$1,3,20),IF($I159="",1,0.6),IF($I159=MID(R$1,3,20),0.4,0)))</f>
        <v>0</v>
      </c>
      <c r="S159" s="10" t="n">
        <f aca="false">IF($H159="숙박",0,IF($H159=MID(S$1,3,20),IF($I159="",1,0.6),IF($I159=MID(S$1,3,20),0.4,0)))</f>
        <v>0</v>
      </c>
      <c r="T159" s="10" t="n">
        <f aca="false">IF($H159="숙박",0,IF($H159=MID(T$1,3,20),IF($I159="",1,0.6),IF($I159=MID(T$1,3,20),0.4,0)))</f>
        <v>0</v>
      </c>
      <c r="U159" s="10" t="n">
        <f aca="false">IF($H159="숙박",0,IF(ISNUMBER(SEARCH("야경",$J159)),1,0))</f>
        <v>0</v>
      </c>
      <c r="V159" s="10" t="n">
        <f aca="false">IF($H159="숙박",0,1)</f>
        <v>1</v>
      </c>
    </row>
    <row r="160" customFormat="false" ht="15" hidden="false" customHeight="false" outlineLevel="0" collapsed="false">
      <c r="A160" s="8" t="n">
        <v>159</v>
      </c>
      <c r="B160" s="8" t="s">
        <v>575</v>
      </c>
      <c r="C160" s="8"/>
      <c r="D160" s="8" t="s">
        <v>576</v>
      </c>
      <c r="E160" s="7" t="s">
        <v>577</v>
      </c>
      <c r="F160" s="8" t="s">
        <v>567</v>
      </c>
      <c r="G160" s="8" t="s">
        <v>190</v>
      </c>
      <c r="H160" s="9" t="s">
        <v>190</v>
      </c>
      <c r="I160" s="9"/>
      <c r="J160" s="9" t="s">
        <v>479</v>
      </c>
      <c r="K160" s="9" t="s">
        <v>191</v>
      </c>
      <c r="L160" s="8"/>
      <c r="M160" s="8"/>
      <c r="N160" s="8"/>
      <c r="O160" s="8" t="s">
        <v>578</v>
      </c>
      <c r="P160" s="10" t="n">
        <f aca="false">IF($H160="숙박",0,IF($H160=MID(P$1,3,20),IF($I160="",1,0.6),IF($I160=MID(P$1,3,20),0.4,0)))</f>
        <v>1</v>
      </c>
      <c r="Q160" s="10" t="n">
        <f aca="false">IF($H160="숙박",0,IF($H160=MID(Q$1,3,20),IF($I160="",1,0.6),IF($I160=MID(Q$1,3,20),0.4,0)))</f>
        <v>0</v>
      </c>
      <c r="R160" s="10" t="n">
        <f aca="false">IF($H160="숙박",0,IF($H160=MID(R$1,3,20),IF($I160="",1,0.6),IF($I160=MID(R$1,3,20),0.4,0)))</f>
        <v>0</v>
      </c>
      <c r="S160" s="10" t="n">
        <f aca="false">IF($H160="숙박",0,IF($H160=MID(S$1,3,20),IF($I160="",1,0.6),IF($I160=MID(S$1,3,20),0.4,0)))</f>
        <v>0</v>
      </c>
      <c r="T160" s="10" t="n">
        <f aca="false">IF($H160="숙박",0,IF($H160=MID(T$1,3,20),IF($I160="",1,0.6),IF($I160=MID(T$1,3,20),0.4,0)))</f>
        <v>0</v>
      </c>
      <c r="U160" s="10" t="n">
        <f aca="false">IF($H160="숙박",0,IF(ISNUMBER(SEARCH("야경",$J160)),1,0))</f>
        <v>0</v>
      </c>
      <c r="V160" s="10" t="n">
        <f aca="false">IF($H160="숙박",0,1)</f>
        <v>1</v>
      </c>
    </row>
    <row r="161" customFormat="false" ht="15" hidden="false" customHeight="false" outlineLevel="0" collapsed="false">
      <c r="A161" s="8" t="n">
        <v>160</v>
      </c>
      <c r="B161" s="8" t="s">
        <v>45</v>
      </c>
      <c r="C161" s="8" t="s">
        <v>579</v>
      </c>
      <c r="D161" s="8" t="s">
        <v>580</v>
      </c>
      <c r="E161" s="7" t="s">
        <v>581</v>
      </c>
      <c r="F161" s="7" t="s">
        <v>189</v>
      </c>
      <c r="G161" s="8" t="s">
        <v>49</v>
      </c>
      <c r="H161" s="9" t="s">
        <v>49</v>
      </c>
      <c r="I161" s="9"/>
      <c r="J161" s="9" t="s">
        <v>479</v>
      </c>
      <c r="K161" s="9" t="s">
        <v>52</v>
      </c>
      <c r="L161" s="8"/>
      <c r="M161" s="8"/>
      <c r="N161" s="8"/>
      <c r="O161" s="8" t="s">
        <v>582</v>
      </c>
      <c r="P161" s="10" t="n">
        <f aca="false">IF($H161="숙박",0,IF($H161=MID(P$1,3,20),IF($I161="",1,0.6),IF($I161=MID(P$1,3,20),0.4,0)))</f>
        <v>0</v>
      </c>
      <c r="Q161" s="10" t="n">
        <f aca="false">IF($H161="숙박",0,IF($H161=MID(Q$1,3,20),IF($I161="",1,0.6),IF($I161=MID(Q$1,3,20),0.4,0)))</f>
        <v>1</v>
      </c>
      <c r="R161" s="10" t="n">
        <f aca="false">IF($H161="숙박",0,IF($H161=MID(R$1,3,20),IF($I161="",1,0.6),IF($I161=MID(R$1,3,20),0.4,0)))</f>
        <v>0</v>
      </c>
      <c r="S161" s="10" t="n">
        <f aca="false">IF($H161="숙박",0,IF($H161=MID(S$1,3,20),IF($I161="",1,0.6),IF($I161=MID(S$1,3,20),0.4,0)))</f>
        <v>0</v>
      </c>
      <c r="T161" s="10" t="n">
        <f aca="false">IF($H161="숙박",0,IF($H161=MID(T$1,3,20),IF($I161="",1,0.6),IF($I161=MID(T$1,3,20),0.4,0)))</f>
        <v>0</v>
      </c>
      <c r="U161" s="10" t="n">
        <f aca="false">IF($H161="숙박",0,IF(ISNUMBER(SEARCH("야경",$J161)),1,0))</f>
        <v>0</v>
      </c>
      <c r="V161" s="10" t="n">
        <f aca="false">IF($H161="숙박",0,1)</f>
        <v>1</v>
      </c>
    </row>
    <row r="162" customFormat="false" ht="15" hidden="false" customHeight="false" outlineLevel="0" collapsed="false">
      <c r="A162" s="8" t="n">
        <v>161</v>
      </c>
      <c r="B162" s="8" t="s">
        <v>45</v>
      </c>
      <c r="C162" s="8"/>
      <c r="D162" s="8" t="s">
        <v>583</v>
      </c>
      <c r="E162" s="7" t="s">
        <v>584</v>
      </c>
      <c r="F162" s="8" t="s">
        <v>199</v>
      </c>
      <c r="G162" s="8" t="s">
        <v>216</v>
      </c>
      <c r="H162" s="9" t="s">
        <v>216</v>
      </c>
      <c r="I162" s="9"/>
      <c r="J162" s="9" t="s">
        <v>479</v>
      </c>
      <c r="K162" s="9" t="s">
        <v>191</v>
      </c>
      <c r="L162" s="8"/>
      <c r="M162" s="8"/>
      <c r="N162" s="8"/>
      <c r="O162" s="8" t="s">
        <v>585</v>
      </c>
      <c r="P162" s="10" t="n">
        <f aca="false">IF($H162="숙박",0,IF($H162=MID(P$1,3,20),IF($I162="",1,0.6),IF($I162=MID(P$1,3,20),0.4,0)))</f>
        <v>0</v>
      </c>
      <c r="Q162" s="10" t="n">
        <f aca="false">IF($H162="숙박",0,IF($H162=MID(Q$1,3,20),IF($I162="",1,0.6),IF($I162=MID(Q$1,3,20),0.4,0)))</f>
        <v>0</v>
      </c>
      <c r="R162" s="10" t="n">
        <f aca="false">IF($H162="숙박",0,IF($H162=MID(R$1,3,20),IF($I162="",1,0.6),IF($I162=MID(R$1,3,20),0.4,0)))</f>
        <v>0</v>
      </c>
      <c r="S162" s="10" t="n">
        <f aca="false">IF($H162="숙박",0,IF($H162=MID(S$1,3,20),IF($I162="",1,0.6),IF($I162=MID(S$1,3,20),0.4,0)))</f>
        <v>1</v>
      </c>
      <c r="T162" s="10" t="n">
        <f aca="false">IF($H162="숙박",0,IF($H162=MID(T$1,3,20),IF($I162="",1,0.6),IF($I162=MID(T$1,3,20),0.4,0)))</f>
        <v>0</v>
      </c>
      <c r="U162" s="10" t="n">
        <f aca="false">IF($H162="숙박",0,IF(ISNUMBER(SEARCH("야경",$J162)),1,0))</f>
        <v>0</v>
      </c>
      <c r="V162" s="10" t="n">
        <f aca="false">IF($H162="숙박",0,1)</f>
        <v>1</v>
      </c>
    </row>
    <row r="163" customFormat="false" ht="15" hidden="false" customHeight="false" outlineLevel="0" collapsed="false">
      <c r="A163" s="8" t="n">
        <v>162</v>
      </c>
      <c r="B163" s="8" t="s">
        <v>45</v>
      </c>
      <c r="C163" s="8"/>
      <c r="D163" s="8" t="s">
        <v>586</v>
      </c>
      <c r="E163" s="7" t="s">
        <v>587</v>
      </c>
      <c r="F163" s="8" t="s">
        <v>199</v>
      </c>
      <c r="G163" s="8" t="s">
        <v>190</v>
      </c>
      <c r="H163" s="9" t="s">
        <v>190</v>
      </c>
      <c r="I163" s="9"/>
      <c r="J163" s="9" t="s">
        <v>509</v>
      </c>
      <c r="K163" s="9" t="s">
        <v>191</v>
      </c>
      <c r="L163" s="8"/>
      <c r="M163" s="8"/>
      <c r="N163" s="8"/>
      <c r="O163" s="8" t="s">
        <v>588</v>
      </c>
      <c r="P163" s="10" t="n">
        <f aca="false">IF($H163="숙박",0,IF($H163=MID(P$1,3,20),IF($I163="",1,0.6),IF($I163=MID(P$1,3,20),0.4,0)))</f>
        <v>1</v>
      </c>
      <c r="Q163" s="10" t="n">
        <f aca="false">IF($H163="숙박",0,IF($H163=MID(Q$1,3,20),IF($I163="",1,0.6),IF($I163=MID(Q$1,3,20),0.4,0)))</f>
        <v>0</v>
      </c>
      <c r="R163" s="10" t="n">
        <f aca="false">IF($H163="숙박",0,IF($H163=MID(R$1,3,20),IF($I163="",1,0.6),IF($I163=MID(R$1,3,20),0.4,0)))</f>
        <v>0</v>
      </c>
      <c r="S163" s="10" t="n">
        <f aca="false">IF($H163="숙박",0,IF($H163=MID(S$1,3,20),IF($I163="",1,0.6),IF($I163=MID(S$1,3,20),0.4,0)))</f>
        <v>0</v>
      </c>
      <c r="T163" s="10" t="n">
        <f aca="false">IF($H163="숙박",0,IF($H163=MID(T$1,3,20),IF($I163="",1,0.6),IF($I163=MID(T$1,3,20),0.4,0)))</f>
        <v>0</v>
      </c>
      <c r="U163" s="10" t="n">
        <f aca="false">IF($H163="숙박",0,IF(ISNUMBER(SEARCH("야경",$J163)),1,0))</f>
        <v>1</v>
      </c>
      <c r="V163" s="10" t="n">
        <f aca="false">IF($H163="숙박",0,1)</f>
        <v>1</v>
      </c>
    </row>
    <row r="164" customFormat="false" ht="15" hidden="false" customHeight="false" outlineLevel="0" collapsed="false">
      <c r="A164" s="8" t="n">
        <v>163</v>
      </c>
      <c r="B164" s="8" t="s">
        <v>45</v>
      </c>
      <c r="C164" s="8"/>
      <c r="D164" s="8" t="s">
        <v>589</v>
      </c>
      <c r="E164" s="7" t="s">
        <v>590</v>
      </c>
      <c r="F164" s="8" t="s">
        <v>48</v>
      </c>
      <c r="G164" s="8" t="s">
        <v>49</v>
      </c>
      <c r="H164" s="9" t="s">
        <v>49</v>
      </c>
      <c r="I164" s="9"/>
      <c r="J164" s="9" t="s">
        <v>479</v>
      </c>
      <c r="K164" s="9" t="s">
        <v>52</v>
      </c>
      <c r="L164" s="8"/>
      <c r="M164" s="8"/>
      <c r="N164" s="8"/>
      <c r="O164" s="8" t="s">
        <v>591</v>
      </c>
      <c r="P164" s="10" t="n">
        <f aca="false">IF($H164="숙박",0,IF($H164=MID(P$1,3,20),IF($I164="",1,0.6),IF($I164=MID(P$1,3,20),0.4,0)))</f>
        <v>0</v>
      </c>
      <c r="Q164" s="10" t="n">
        <f aca="false">IF($H164="숙박",0,IF($H164=MID(Q$1,3,20),IF($I164="",1,0.6),IF($I164=MID(Q$1,3,20),0.4,0)))</f>
        <v>1</v>
      </c>
      <c r="R164" s="10" t="n">
        <f aca="false">IF($H164="숙박",0,IF($H164=MID(R$1,3,20),IF($I164="",1,0.6),IF($I164=MID(R$1,3,20),0.4,0)))</f>
        <v>0</v>
      </c>
      <c r="S164" s="10" t="n">
        <f aca="false">IF($H164="숙박",0,IF($H164=MID(S$1,3,20),IF($I164="",1,0.6),IF($I164=MID(S$1,3,20),0.4,0)))</f>
        <v>0</v>
      </c>
      <c r="T164" s="10" t="n">
        <f aca="false">IF($H164="숙박",0,IF($H164=MID(T$1,3,20),IF($I164="",1,0.6),IF($I164=MID(T$1,3,20),0.4,0)))</f>
        <v>0</v>
      </c>
      <c r="U164" s="10" t="n">
        <f aca="false">IF($H164="숙박",0,IF(ISNUMBER(SEARCH("야경",$J164)),1,0))</f>
        <v>0</v>
      </c>
      <c r="V164" s="10" t="n">
        <f aca="false">IF($H164="숙박",0,1)</f>
        <v>1</v>
      </c>
    </row>
    <row r="165" customFormat="false" ht="15" hidden="false" customHeight="false" outlineLevel="0" collapsed="false">
      <c r="A165" s="8" t="n">
        <v>164</v>
      </c>
      <c r="B165" s="8" t="s">
        <v>45</v>
      </c>
      <c r="C165" s="8"/>
      <c r="D165" s="8" t="s">
        <v>592</v>
      </c>
      <c r="E165" s="7" t="s">
        <v>593</v>
      </c>
      <c r="F165" s="7" t="s">
        <v>189</v>
      </c>
      <c r="G165" s="8" t="s">
        <v>594</v>
      </c>
      <c r="H165" s="9" t="s">
        <v>594</v>
      </c>
      <c r="I165" s="9"/>
      <c r="J165" s="9"/>
      <c r="K165" s="9"/>
      <c r="L165" s="8"/>
      <c r="M165" s="8"/>
      <c r="N165" s="8" t="s">
        <v>595</v>
      </c>
      <c r="O165" s="8" t="s">
        <v>596</v>
      </c>
      <c r="P165" s="10" t="n">
        <f aca="false">IF($H165="숙박",0,IF($H165=MID(P$1,3,20),IF($I165="",1,0.6),IF($I165=MID(P$1,3,20),0.4,0)))</f>
        <v>0</v>
      </c>
      <c r="Q165" s="10" t="n">
        <f aca="false">IF($H165="숙박",0,IF($H165=MID(Q$1,3,20),IF($I165="",1,0.6),IF($I165=MID(Q$1,3,20),0.4,0)))</f>
        <v>0</v>
      </c>
      <c r="R165" s="10" t="n">
        <f aca="false">IF($H165="숙박",0,IF($H165=MID(R$1,3,20),IF($I165="",1,0.6),IF($I165=MID(R$1,3,20),0.4,0)))</f>
        <v>0</v>
      </c>
      <c r="S165" s="10" t="n">
        <f aca="false">IF($H165="숙박",0,IF($H165=MID(S$1,3,20),IF($I165="",1,0.6),IF($I165=MID(S$1,3,20),0.4,0)))</f>
        <v>0</v>
      </c>
      <c r="T165" s="10" t="n">
        <f aca="false">IF($H165="숙박",0,IF($H165=MID(T$1,3,20),IF($I165="",1,0.6),IF($I165=MID(T$1,3,20),0.4,0)))</f>
        <v>0</v>
      </c>
      <c r="U165" s="10" t="n">
        <f aca="false">IF($H165="숙박",0,IF(ISNUMBER(SEARCH("야경",$J165)),1,0))</f>
        <v>0</v>
      </c>
      <c r="V165" s="10" t="n">
        <f aca="false">IF($H165="숙박",0,1)</f>
        <v>0</v>
      </c>
    </row>
    <row r="166" customFormat="false" ht="15" hidden="false" customHeight="false" outlineLevel="0" collapsed="false">
      <c r="A166" s="8" t="n">
        <v>165</v>
      </c>
      <c r="B166" s="8" t="s">
        <v>45</v>
      </c>
      <c r="C166" s="8"/>
      <c r="D166" s="8" t="s">
        <v>597</v>
      </c>
      <c r="E166" s="7" t="s">
        <v>598</v>
      </c>
      <c r="F166" s="7" t="s">
        <v>189</v>
      </c>
      <c r="G166" s="8" t="s">
        <v>50</v>
      </c>
      <c r="H166" s="9" t="s">
        <v>50</v>
      </c>
      <c r="I166" s="9"/>
      <c r="J166" s="9" t="s">
        <v>51</v>
      </c>
      <c r="K166" s="9" t="s">
        <v>52</v>
      </c>
      <c r="L166" s="8"/>
      <c r="M166" s="8"/>
      <c r="N166" s="8"/>
      <c r="O166" s="8" t="s">
        <v>599</v>
      </c>
      <c r="P166" s="10" t="n">
        <f aca="false">IF($H166="숙박",0,IF($H166=MID(P$1,3,20),IF($I166="",1,0.6),IF($I166=MID(P$1,3,20),0.4,0)))</f>
        <v>0</v>
      </c>
      <c r="Q166" s="10" t="n">
        <f aca="false">IF($H166="숙박",0,IF($H166=MID(Q$1,3,20),IF($I166="",1,0.6),IF($I166=MID(Q$1,3,20),0.4,0)))</f>
        <v>0</v>
      </c>
      <c r="R166" s="10" t="n">
        <f aca="false">IF($H166="숙박",0,IF($H166=MID(R$1,3,20),IF($I166="",1,0.6),IF($I166=MID(R$1,3,20),0.4,0)))</f>
        <v>0</v>
      </c>
      <c r="S166" s="10" t="n">
        <f aca="false">IF($H166="숙박",0,IF($H166=MID(S$1,3,20),IF($I166="",1,0.6),IF($I166=MID(S$1,3,20),0.4,0)))</f>
        <v>0</v>
      </c>
      <c r="T166" s="10" t="n">
        <f aca="false">IF($H166="숙박",0,IF($H166=MID(T$1,3,20),IF($I166="",1,0.6),IF($I166=MID(T$1,3,20),0.4,0)))</f>
        <v>1</v>
      </c>
      <c r="U166" s="10" t="n">
        <f aca="false">IF($H166="숙박",0,IF(ISNUMBER(SEARCH("야경",$J166)),1,0))</f>
        <v>0</v>
      </c>
      <c r="V166" s="10" t="n">
        <f aca="false">IF($H166="숙박",0,1)</f>
        <v>1</v>
      </c>
    </row>
    <row r="167" customFormat="false" ht="15" hidden="false" customHeight="false" outlineLevel="0" collapsed="false">
      <c r="A167" s="8" t="n">
        <v>166</v>
      </c>
      <c r="B167" s="8" t="s">
        <v>45</v>
      </c>
      <c r="C167" s="8"/>
      <c r="D167" s="8" t="s">
        <v>600</v>
      </c>
      <c r="E167" s="7" t="s">
        <v>601</v>
      </c>
      <c r="F167" s="8" t="s">
        <v>59</v>
      </c>
      <c r="G167" s="8" t="s">
        <v>216</v>
      </c>
      <c r="H167" s="9" t="s">
        <v>216</v>
      </c>
      <c r="I167" s="9"/>
      <c r="J167" s="9" t="s">
        <v>479</v>
      </c>
      <c r="K167" s="9" t="s">
        <v>191</v>
      </c>
      <c r="L167" s="8"/>
      <c r="M167" s="8"/>
      <c r="N167" s="8"/>
      <c r="O167" s="8" t="s">
        <v>602</v>
      </c>
      <c r="P167" s="10" t="n">
        <f aca="false">IF($H167="숙박",0,IF($H167=MID(P$1,3,20),IF($I167="",1,0.6),IF($I167=MID(P$1,3,20),0.4,0)))</f>
        <v>0</v>
      </c>
      <c r="Q167" s="10" t="n">
        <f aca="false">IF($H167="숙박",0,IF($H167=MID(Q$1,3,20),IF($I167="",1,0.6),IF($I167=MID(Q$1,3,20),0.4,0)))</f>
        <v>0</v>
      </c>
      <c r="R167" s="10" t="n">
        <f aca="false">IF($H167="숙박",0,IF($H167=MID(R$1,3,20),IF($I167="",1,0.6),IF($I167=MID(R$1,3,20),0.4,0)))</f>
        <v>0</v>
      </c>
      <c r="S167" s="10" t="n">
        <f aca="false">IF($H167="숙박",0,IF($H167=MID(S$1,3,20),IF($I167="",1,0.6),IF($I167=MID(S$1,3,20),0.4,0)))</f>
        <v>1</v>
      </c>
      <c r="T167" s="10" t="n">
        <f aca="false">IF($H167="숙박",0,IF($H167=MID(T$1,3,20),IF($I167="",1,0.6),IF($I167=MID(T$1,3,20),0.4,0)))</f>
        <v>0</v>
      </c>
      <c r="U167" s="10" t="n">
        <f aca="false">IF($H167="숙박",0,IF(ISNUMBER(SEARCH("야경",$J167)),1,0))</f>
        <v>0</v>
      </c>
      <c r="V167" s="10" t="n">
        <f aca="false">IF($H167="숙박",0,1)</f>
        <v>1</v>
      </c>
    </row>
    <row r="168" customFormat="false" ht="15" hidden="false" customHeight="false" outlineLevel="0" collapsed="false">
      <c r="A168" s="8" t="n">
        <v>167</v>
      </c>
      <c r="B168" s="8" t="s">
        <v>45</v>
      </c>
      <c r="C168" s="8"/>
      <c r="D168" s="8" t="s">
        <v>603</v>
      </c>
      <c r="E168" s="7" t="s">
        <v>604</v>
      </c>
      <c r="F168" s="7" t="s">
        <v>189</v>
      </c>
      <c r="G168" s="8" t="s">
        <v>190</v>
      </c>
      <c r="H168" s="9" t="s">
        <v>190</v>
      </c>
      <c r="I168" s="9"/>
      <c r="J168" s="9" t="s">
        <v>523</v>
      </c>
      <c r="K168" s="9" t="s">
        <v>191</v>
      </c>
      <c r="L168" s="8"/>
      <c r="M168" s="8"/>
      <c r="N168" s="8"/>
      <c r="O168" s="8" t="s">
        <v>605</v>
      </c>
      <c r="P168" s="10" t="n">
        <f aca="false">IF($H168="숙박",0,IF($H168=MID(P$1,3,20),IF($I168="",1,0.6),IF($I168=MID(P$1,3,20),0.4,0)))</f>
        <v>1</v>
      </c>
      <c r="Q168" s="10" t="n">
        <f aca="false">IF($H168="숙박",0,IF($H168=MID(Q$1,3,20),IF($I168="",1,0.6),IF($I168=MID(Q$1,3,20),0.4,0)))</f>
        <v>0</v>
      </c>
      <c r="R168" s="10" t="n">
        <f aca="false">IF($H168="숙박",0,IF($H168=MID(R$1,3,20),IF($I168="",1,0.6),IF($I168=MID(R$1,3,20),0.4,0)))</f>
        <v>0</v>
      </c>
      <c r="S168" s="10" t="n">
        <f aca="false">IF($H168="숙박",0,IF($H168=MID(S$1,3,20),IF($I168="",1,0.6),IF($I168=MID(S$1,3,20),0.4,0)))</f>
        <v>0</v>
      </c>
      <c r="T168" s="10" t="n">
        <f aca="false">IF($H168="숙박",0,IF($H168=MID(T$1,3,20),IF($I168="",1,0.6),IF($I168=MID(T$1,3,20),0.4,0)))</f>
        <v>0</v>
      </c>
      <c r="U168" s="10" t="n">
        <f aca="false">IF($H168="숙박",0,IF(ISNUMBER(SEARCH("야경",$J168)),1,0))</f>
        <v>0</v>
      </c>
      <c r="V168" s="10" t="n">
        <f aca="false">IF($H168="숙박",0,1)</f>
        <v>1</v>
      </c>
    </row>
    <row r="169" customFormat="false" ht="15" hidden="false" customHeight="false" outlineLevel="0" collapsed="false">
      <c r="A169" s="8" t="n">
        <v>168</v>
      </c>
      <c r="B169" s="8" t="s">
        <v>45</v>
      </c>
      <c r="C169" s="8"/>
      <c r="D169" s="8" t="s">
        <v>606</v>
      </c>
      <c r="E169" s="7" t="s">
        <v>607</v>
      </c>
      <c r="F169" s="8" t="s">
        <v>199</v>
      </c>
      <c r="G169" s="8" t="s">
        <v>190</v>
      </c>
      <c r="H169" s="9" t="s">
        <v>190</v>
      </c>
      <c r="I169" s="9"/>
      <c r="J169" s="9" t="s">
        <v>523</v>
      </c>
      <c r="K169" s="9" t="s">
        <v>191</v>
      </c>
      <c r="L169" s="8"/>
      <c r="M169" s="8"/>
      <c r="N169" s="8"/>
      <c r="O169" s="8" t="s">
        <v>608</v>
      </c>
      <c r="P169" s="10" t="n">
        <f aca="false">IF($H169="숙박",0,IF($H169=MID(P$1,3,20),IF($I169="",1,0.6),IF($I169=MID(P$1,3,20),0.4,0)))</f>
        <v>1</v>
      </c>
      <c r="Q169" s="10" t="n">
        <f aca="false">IF($H169="숙박",0,IF($H169=MID(Q$1,3,20),IF($I169="",1,0.6),IF($I169=MID(Q$1,3,20),0.4,0)))</f>
        <v>0</v>
      </c>
      <c r="R169" s="10" t="n">
        <f aca="false">IF($H169="숙박",0,IF($H169=MID(R$1,3,20),IF($I169="",1,0.6),IF($I169=MID(R$1,3,20),0.4,0)))</f>
        <v>0</v>
      </c>
      <c r="S169" s="10" t="n">
        <f aca="false">IF($H169="숙박",0,IF($H169=MID(S$1,3,20),IF($I169="",1,0.6),IF($I169=MID(S$1,3,20),0.4,0)))</f>
        <v>0</v>
      </c>
      <c r="T169" s="10" t="n">
        <f aca="false">IF($H169="숙박",0,IF($H169=MID(T$1,3,20),IF($I169="",1,0.6),IF($I169=MID(T$1,3,20),0.4,0)))</f>
        <v>0</v>
      </c>
      <c r="U169" s="10" t="n">
        <f aca="false">IF($H169="숙박",0,IF(ISNUMBER(SEARCH("야경",$J169)),1,0))</f>
        <v>0</v>
      </c>
      <c r="V169" s="10" t="n">
        <f aca="false">IF($H169="숙박",0,1)</f>
        <v>1</v>
      </c>
    </row>
    <row r="170" customFormat="false" ht="15" hidden="false" customHeight="false" outlineLevel="0" collapsed="false">
      <c r="A170" s="8" t="n">
        <v>169</v>
      </c>
      <c r="B170" s="8" t="s">
        <v>45</v>
      </c>
      <c r="C170" s="8"/>
      <c r="D170" s="8" t="s">
        <v>609</v>
      </c>
      <c r="E170" s="7" t="s">
        <v>610</v>
      </c>
      <c r="F170" s="8" t="s">
        <v>199</v>
      </c>
      <c r="G170" s="8" t="s">
        <v>184</v>
      </c>
      <c r="H170" s="9" t="s">
        <v>184</v>
      </c>
      <c r="I170" s="9"/>
      <c r="J170" s="9" t="s">
        <v>523</v>
      </c>
      <c r="K170" s="9" t="s">
        <v>191</v>
      </c>
      <c r="L170" s="8"/>
      <c r="M170" s="8"/>
      <c r="N170" s="8"/>
      <c r="O170" s="8" t="s">
        <v>611</v>
      </c>
      <c r="P170" s="10" t="n">
        <f aca="false">IF($H170="숙박",0,IF($H170=MID(P$1,3,20),IF($I170="",1,0.6),IF($I170=MID(P$1,3,20),0.4,0)))</f>
        <v>0</v>
      </c>
      <c r="Q170" s="10" t="n">
        <f aca="false">IF($H170="숙박",0,IF($H170=MID(Q$1,3,20),IF($I170="",1,0.6),IF($I170=MID(Q$1,3,20),0.4,0)))</f>
        <v>0</v>
      </c>
      <c r="R170" s="10" t="n">
        <f aca="false">IF($H170="숙박",0,IF($H170=MID(R$1,3,20),IF($I170="",1,0.6),IF($I170=MID(R$1,3,20),0.4,0)))</f>
        <v>1</v>
      </c>
      <c r="S170" s="10" t="n">
        <f aca="false">IF($H170="숙박",0,IF($H170=MID(S$1,3,20),IF($I170="",1,0.6),IF($I170=MID(S$1,3,20),0.4,0)))</f>
        <v>0</v>
      </c>
      <c r="T170" s="10" t="n">
        <f aca="false">IF($H170="숙박",0,IF($H170=MID(T$1,3,20),IF($I170="",1,0.6),IF($I170=MID(T$1,3,20),0.4,0)))</f>
        <v>0</v>
      </c>
      <c r="U170" s="10" t="n">
        <f aca="false">IF($H170="숙박",0,IF(ISNUMBER(SEARCH("야경",$J170)),1,0))</f>
        <v>0</v>
      </c>
      <c r="V170" s="10" t="n">
        <f aca="false">IF($H170="숙박",0,1)</f>
        <v>1</v>
      </c>
    </row>
    <row r="171" customFormat="false" ht="15" hidden="false" customHeight="false" outlineLevel="0" collapsed="false">
      <c r="A171" s="8" t="n">
        <v>170</v>
      </c>
      <c r="B171" s="8" t="s">
        <v>45</v>
      </c>
      <c r="C171" s="8"/>
      <c r="D171" s="8" t="s">
        <v>612</v>
      </c>
      <c r="E171" s="7" t="s">
        <v>613</v>
      </c>
      <c r="F171" s="8" t="s">
        <v>199</v>
      </c>
      <c r="G171" s="8" t="s">
        <v>190</v>
      </c>
      <c r="H171" s="9" t="s">
        <v>190</v>
      </c>
      <c r="I171" s="9"/>
      <c r="J171" s="9" t="s">
        <v>523</v>
      </c>
      <c r="K171" s="9" t="s">
        <v>191</v>
      </c>
      <c r="L171" s="8"/>
      <c r="M171" s="8"/>
      <c r="N171" s="8"/>
      <c r="O171" s="8" t="s">
        <v>614</v>
      </c>
      <c r="P171" s="10" t="n">
        <f aca="false">IF($H171="숙박",0,IF($H171=MID(P$1,3,20),IF($I171="",1,0.6),IF($I171=MID(P$1,3,20),0.4,0)))</f>
        <v>1</v>
      </c>
      <c r="Q171" s="10" t="n">
        <f aca="false">IF($H171="숙박",0,IF($H171=MID(Q$1,3,20),IF($I171="",1,0.6),IF($I171=MID(Q$1,3,20),0.4,0)))</f>
        <v>0</v>
      </c>
      <c r="R171" s="10" t="n">
        <f aca="false">IF($H171="숙박",0,IF($H171=MID(R$1,3,20),IF($I171="",1,0.6),IF($I171=MID(R$1,3,20),0.4,0)))</f>
        <v>0</v>
      </c>
      <c r="S171" s="10" t="n">
        <f aca="false">IF($H171="숙박",0,IF($H171=MID(S$1,3,20),IF($I171="",1,0.6),IF($I171=MID(S$1,3,20),0.4,0)))</f>
        <v>0</v>
      </c>
      <c r="T171" s="10" t="n">
        <f aca="false">IF($H171="숙박",0,IF($H171=MID(T$1,3,20),IF($I171="",1,0.6),IF($I171=MID(T$1,3,20),0.4,0)))</f>
        <v>0</v>
      </c>
      <c r="U171" s="10" t="n">
        <f aca="false">IF($H171="숙박",0,IF(ISNUMBER(SEARCH("야경",$J171)),1,0))</f>
        <v>0</v>
      </c>
      <c r="V171" s="10" t="n">
        <f aca="false">IF($H171="숙박",0,1)</f>
        <v>1</v>
      </c>
    </row>
    <row r="172" customFormat="false" ht="15" hidden="false" customHeight="false" outlineLevel="0" collapsed="false">
      <c r="A172" s="8" t="n">
        <v>171</v>
      </c>
      <c r="B172" s="8" t="s">
        <v>45</v>
      </c>
      <c r="C172" s="8"/>
      <c r="D172" s="8" t="s">
        <v>615</v>
      </c>
      <c r="E172" s="7" t="s">
        <v>616</v>
      </c>
      <c r="F172" s="8" t="s">
        <v>199</v>
      </c>
      <c r="G172" s="8" t="s">
        <v>190</v>
      </c>
      <c r="H172" s="9" t="s">
        <v>190</v>
      </c>
      <c r="I172" s="9" t="s">
        <v>49</v>
      </c>
      <c r="J172" s="9" t="s">
        <v>479</v>
      </c>
      <c r="K172" s="9" t="s">
        <v>191</v>
      </c>
      <c r="L172" s="8"/>
      <c r="M172" s="8"/>
      <c r="N172" s="8" t="s">
        <v>483</v>
      </c>
      <c r="O172" s="8" t="s">
        <v>617</v>
      </c>
      <c r="P172" s="10" t="n">
        <f aca="false">IF($H172="숙박",0,IF($H172=MID(P$1,3,20),IF($I172="",1,0.6),IF($I172=MID(P$1,3,20),0.4,0)))</f>
        <v>0.6</v>
      </c>
      <c r="Q172" s="10" t="n">
        <f aca="false">IF($H172="숙박",0,IF($H172=MID(Q$1,3,20),IF($I172="",1,0.6),IF($I172=MID(Q$1,3,20),0.4,0)))</f>
        <v>0.4</v>
      </c>
      <c r="R172" s="10" t="n">
        <f aca="false">IF($H172="숙박",0,IF($H172=MID(R$1,3,20),IF($I172="",1,0.6),IF($I172=MID(R$1,3,20),0.4,0)))</f>
        <v>0</v>
      </c>
      <c r="S172" s="10" t="n">
        <f aca="false">IF($H172="숙박",0,IF($H172=MID(S$1,3,20),IF($I172="",1,0.6),IF($I172=MID(S$1,3,20),0.4,0)))</f>
        <v>0</v>
      </c>
      <c r="T172" s="10" t="n">
        <f aca="false">IF($H172="숙박",0,IF($H172=MID(T$1,3,20),IF($I172="",1,0.6),IF($I172=MID(T$1,3,20),0.4,0)))</f>
        <v>0</v>
      </c>
      <c r="U172" s="10" t="n">
        <f aca="false">IF($H172="숙박",0,IF(ISNUMBER(SEARCH("야경",$J172)),1,0))</f>
        <v>0</v>
      </c>
      <c r="V172" s="10" t="n">
        <f aca="false">IF($H172="숙박",0,1)</f>
        <v>1</v>
      </c>
    </row>
    <row r="173" customFormat="false" ht="15" hidden="false" customHeight="false" outlineLevel="0" collapsed="false">
      <c r="A173" s="8" t="n">
        <v>172</v>
      </c>
      <c r="B173" s="8" t="s">
        <v>45</v>
      </c>
      <c r="C173" s="8"/>
      <c r="D173" s="8" t="s">
        <v>618</v>
      </c>
      <c r="E173" s="7" t="s">
        <v>619</v>
      </c>
      <c r="F173" s="8" t="s">
        <v>199</v>
      </c>
      <c r="G173" s="8" t="s">
        <v>190</v>
      </c>
      <c r="H173" s="9" t="s">
        <v>190</v>
      </c>
      <c r="I173" s="9"/>
      <c r="J173" s="9" t="s">
        <v>523</v>
      </c>
      <c r="K173" s="9" t="s">
        <v>191</v>
      </c>
      <c r="L173" s="8"/>
      <c r="M173" s="8"/>
      <c r="N173" s="8"/>
      <c r="O173" s="8" t="s">
        <v>620</v>
      </c>
      <c r="P173" s="10" t="n">
        <f aca="false">IF($H173="숙박",0,IF($H173=MID(P$1,3,20),IF($I173="",1,0.6),IF($I173=MID(P$1,3,20),0.4,0)))</f>
        <v>1</v>
      </c>
      <c r="Q173" s="10" t="n">
        <f aca="false">IF($H173="숙박",0,IF($H173=MID(Q$1,3,20),IF($I173="",1,0.6),IF($I173=MID(Q$1,3,20),0.4,0)))</f>
        <v>0</v>
      </c>
      <c r="R173" s="10" t="n">
        <f aca="false">IF($H173="숙박",0,IF($H173=MID(R$1,3,20),IF($I173="",1,0.6),IF($I173=MID(R$1,3,20),0.4,0)))</f>
        <v>0</v>
      </c>
      <c r="S173" s="10" t="n">
        <f aca="false">IF($H173="숙박",0,IF($H173=MID(S$1,3,20),IF($I173="",1,0.6),IF($I173=MID(S$1,3,20),0.4,0)))</f>
        <v>0</v>
      </c>
      <c r="T173" s="10" t="n">
        <f aca="false">IF($H173="숙박",0,IF($H173=MID(T$1,3,20),IF($I173="",1,0.6),IF($I173=MID(T$1,3,20),0.4,0)))</f>
        <v>0</v>
      </c>
      <c r="U173" s="10" t="n">
        <f aca="false">IF($H173="숙박",0,IF(ISNUMBER(SEARCH("야경",$J173)),1,0))</f>
        <v>0</v>
      </c>
      <c r="V173" s="10" t="n">
        <f aca="false">IF($H173="숙박",0,1)</f>
        <v>1</v>
      </c>
    </row>
    <row r="174" customFormat="false" ht="15" hidden="false" customHeight="false" outlineLevel="0" collapsed="false">
      <c r="A174" s="8" t="n">
        <v>173</v>
      </c>
      <c r="B174" s="8" t="s">
        <v>45</v>
      </c>
      <c r="C174" s="8"/>
      <c r="D174" s="8" t="s">
        <v>621</v>
      </c>
      <c r="E174" s="7" t="s">
        <v>622</v>
      </c>
      <c r="F174" s="8" t="s">
        <v>59</v>
      </c>
      <c r="G174" s="8" t="s">
        <v>184</v>
      </c>
      <c r="H174" s="9" t="s">
        <v>184</v>
      </c>
      <c r="I174" s="9" t="s">
        <v>190</v>
      </c>
      <c r="J174" s="9" t="s">
        <v>523</v>
      </c>
      <c r="K174" s="9" t="s">
        <v>191</v>
      </c>
      <c r="L174" s="8"/>
      <c r="M174" s="8"/>
      <c r="N174" s="8" t="s">
        <v>483</v>
      </c>
      <c r="O174" s="8" t="s">
        <v>623</v>
      </c>
      <c r="P174" s="10" t="n">
        <f aca="false">IF($H174="숙박",0,IF($H174=MID(P$1,3,20),IF($I174="",1,0.6),IF($I174=MID(P$1,3,20),0.4,0)))</f>
        <v>0.4</v>
      </c>
      <c r="Q174" s="10" t="n">
        <f aca="false">IF($H174="숙박",0,IF($H174=MID(Q$1,3,20),IF($I174="",1,0.6),IF($I174=MID(Q$1,3,20),0.4,0)))</f>
        <v>0</v>
      </c>
      <c r="R174" s="10" t="n">
        <f aca="false">IF($H174="숙박",0,IF($H174=MID(R$1,3,20),IF($I174="",1,0.6),IF($I174=MID(R$1,3,20),0.4,0)))</f>
        <v>0.6</v>
      </c>
      <c r="S174" s="10" t="n">
        <f aca="false">IF($H174="숙박",0,IF($H174=MID(S$1,3,20),IF($I174="",1,0.6),IF($I174=MID(S$1,3,20),0.4,0)))</f>
        <v>0</v>
      </c>
      <c r="T174" s="10" t="n">
        <f aca="false">IF($H174="숙박",0,IF($H174=MID(T$1,3,20),IF($I174="",1,0.6),IF($I174=MID(T$1,3,20),0.4,0)))</f>
        <v>0</v>
      </c>
      <c r="U174" s="10" t="n">
        <f aca="false">IF($H174="숙박",0,IF(ISNUMBER(SEARCH("야경",$J174)),1,0))</f>
        <v>0</v>
      </c>
      <c r="V174" s="10" t="n">
        <f aca="false">IF($H174="숙박",0,1)</f>
        <v>1</v>
      </c>
    </row>
    <row r="175" customFormat="false" ht="15" hidden="false" customHeight="false" outlineLevel="0" collapsed="false">
      <c r="A175" s="8" t="n">
        <v>174</v>
      </c>
      <c r="B175" s="8" t="s">
        <v>45</v>
      </c>
      <c r="C175" s="8"/>
      <c r="D175" s="8" t="s">
        <v>624</v>
      </c>
      <c r="E175" s="7" t="s">
        <v>625</v>
      </c>
      <c r="F175" s="8" t="s">
        <v>199</v>
      </c>
      <c r="G175" s="8" t="s">
        <v>184</v>
      </c>
      <c r="H175" s="9" t="s">
        <v>184</v>
      </c>
      <c r="I175" s="9" t="s">
        <v>190</v>
      </c>
      <c r="J175" s="9" t="s">
        <v>523</v>
      </c>
      <c r="K175" s="9" t="s">
        <v>191</v>
      </c>
      <c r="L175" s="8"/>
      <c r="M175" s="8"/>
      <c r="N175" s="8" t="s">
        <v>483</v>
      </c>
      <c r="O175" s="8" t="s">
        <v>626</v>
      </c>
      <c r="P175" s="10" t="n">
        <f aca="false">IF($H175="숙박",0,IF($H175=MID(P$1,3,20),IF($I175="",1,0.6),IF($I175=MID(P$1,3,20),0.4,0)))</f>
        <v>0.4</v>
      </c>
      <c r="Q175" s="10" t="n">
        <f aca="false">IF($H175="숙박",0,IF($H175=MID(Q$1,3,20),IF($I175="",1,0.6),IF($I175=MID(Q$1,3,20),0.4,0)))</f>
        <v>0</v>
      </c>
      <c r="R175" s="10" t="n">
        <f aca="false">IF($H175="숙박",0,IF($H175=MID(R$1,3,20),IF($I175="",1,0.6),IF($I175=MID(R$1,3,20),0.4,0)))</f>
        <v>0.6</v>
      </c>
      <c r="S175" s="10" t="n">
        <f aca="false">IF($H175="숙박",0,IF($H175=MID(S$1,3,20),IF($I175="",1,0.6),IF($I175=MID(S$1,3,20),0.4,0)))</f>
        <v>0</v>
      </c>
      <c r="T175" s="10" t="n">
        <f aca="false">IF($H175="숙박",0,IF($H175=MID(T$1,3,20),IF($I175="",1,0.6),IF($I175=MID(T$1,3,20),0.4,0)))</f>
        <v>0</v>
      </c>
      <c r="U175" s="10" t="n">
        <f aca="false">IF($H175="숙박",0,IF(ISNUMBER(SEARCH("야경",$J175)),1,0))</f>
        <v>0</v>
      </c>
      <c r="V175" s="10" t="n">
        <f aca="false">IF($H175="숙박",0,1)</f>
        <v>1</v>
      </c>
    </row>
    <row r="176" customFormat="false" ht="15" hidden="false" customHeight="false" outlineLevel="0" collapsed="false">
      <c r="A176" s="8" t="n">
        <v>175</v>
      </c>
      <c r="B176" s="8" t="s">
        <v>45</v>
      </c>
      <c r="C176" s="8"/>
      <c r="D176" s="8" t="s">
        <v>627</v>
      </c>
      <c r="E176" s="7" t="s">
        <v>628</v>
      </c>
      <c r="F176" s="8" t="s">
        <v>199</v>
      </c>
      <c r="G176" s="8" t="s">
        <v>190</v>
      </c>
      <c r="H176" s="9" t="s">
        <v>190</v>
      </c>
      <c r="I176" s="9" t="s">
        <v>49</v>
      </c>
      <c r="J176" s="9" t="s">
        <v>479</v>
      </c>
      <c r="K176" s="9" t="s">
        <v>191</v>
      </c>
      <c r="L176" s="8"/>
      <c r="M176" s="8"/>
      <c r="N176" s="8" t="s">
        <v>483</v>
      </c>
      <c r="O176" s="8" t="s">
        <v>629</v>
      </c>
      <c r="P176" s="10" t="n">
        <f aca="false">IF($H176="숙박",0,IF($H176=MID(P$1,3,20),IF($I176="",1,0.6),IF($I176=MID(P$1,3,20),0.4,0)))</f>
        <v>0.6</v>
      </c>
      <c r="Q176" s="10" t="n">
        <f aca="false">IF($H176="숙박",0,IF($H176=MID(Q$1,3,20),IF($I176="",1,0.6),IF($I176=MID(Q$1,3,20),0.4,0)))</f>
        <v>0.4</v>
      </c>
      <c r="R176" s="10" t="n">
        <f aca="false">IF($H176="숙박",0,IF($H176=MID(R$1,3,20),IF($I176="",1,0.6),IF($I176=MID(R$1,3,20),0.4,0)))</f>
        <v>0</v>
      </c>
      <c r="S176" s="10" t="n">
        <f aca="false">IF($H176="숙박",0,IF($H176=MID(S$1,3,20),IF($I176="",1,0.6),IF($I176=MID(S$1,3,20),0.4,0)))</f>
        <v>0</v>
      </c>
      <c r="T176" s="10" t="n">
        <f aca="false">IF($H176="숙박",0,IF($H176=MID(T$1,3,20),IF($I176="",1,0.6),IF($I176=MID(T$1,3,20),0.4,0)))</f>
        <v>0</v>
      </c>
      <c r="U176" s="10" t="n">
        <f aca="false">IF($H176="숙박",0,IF(ISNUMBER(SEARCH("야경",$J176)),1,0))</f>
        <v>0</v>
      </c>
      <c r="V176" s="10" t="n">
        <f aca="false">IF($H176="숙박",0,1)</f>
        <v>1</v>
      </c>
    </row>
    <row r="177" customFormat="false" ht="15" hidden="false" customHeight="false" outlineLevel="0" collapsed="false">
      <c r="A177" s="8" t="n">
        <v>176</v>
      </c>
      <c r="B177" s="8" t="s">
        <v>45</v>
      </c>
      <c r="C177" s="8"/>
      <c r="D177" s="8" t="s">
        <v>630</v>
      </c>
      <c r="E177" s="7" t="s">
        <v>631</v>
      </c>
      <c r="F177" s="7" t="s">
        <v>189</v>
      </c>
      <c r="G177" s="8" t="s">
        <v>190</v>
      </c>
      <c r="H177" s="9" t="s">
        <v>190</v>
      </c>
      <c r="I177" s="9"/>
      <c r="J177" s="9" t="s">
        <v>523</v>
      </c>
      <c r="K177" s="9" t="s">
        <v>191</v>
      </c>
      <c r="L177" s="8"/>
      <c r="M177" s="8"/>
      <c r="N177" s="8"/>
      <c r="O177" s="7" t="s">
        <v>632</v>
      </c>
      <c r="P177" s="10" t="n">
        <f aca="false">IF($H177="숙박",0,IF($H177=MID(P$1,3,20),IF($I177="",1,0.6),IF($I177=MID(P$1,3,20),0.4,0)))</f>
        <v>1</v>
      </c>
      <c r="Q177" s="10" t="n">
        <f aca="false">IF($H177="숙박",0,IF($H177=MID(Q$1,3,20),IF($I177="",1,0.6),IF($I177=MID(Q$1,3,20),0.4,0)))</f>
        <v>0</v>
      </c>
      <c r="R177" s="10" t="n">
        <f aca="false">IF($H177="숙박",0,IF($H177=MID(R$1,3,20),IF($I177="",1,0.6),IF($I177=MID(R$1,3,20),0.4,0)))</f>
        <v>0</v>
      </c>
      <c r="S177" s="10" t="n">
        <f aca="false">IF($H177="숙박",0,IF($H177=MID(S$1,3,20),IF($I177="",1,0.6),IF($I177=MID(S$1,3,20),0.4,0)))</f>
        <v>0</v>
      </c>
      <c r="T177" s="10" t="n">
        <f aca="false">IF($H177="숙박",0,IF($H177=MID(T$1,3,20),IF($I177="",1,0.6),IF($I177=MID(T$1,3,20),0.4,0)))</f>
        <v>0</v>
      </c>
      <c r="U177" s="10" t="n">
        <f aca="false">IF($H177="숙박",0,IF(ISNUMBER(SEARCH("야경",$J177)),1,0))</f>
        <v>0</v>
      </c>
      <c r="V177" s="10" t="n">
        <f aca="false">IF($H177="숙박",0,1)</f>
        <v>1</v>
      </c>
    </row>
    <row r="178" customFormat="false" ht="15" hidden="false" customHeight="false" outlineLevel="0" collapsed="false">
      <c r="A178" s="8" t="n">
        <v>177</v>
      </c>
      <c r="B178" s="8" t="s">
        <v>511</v>
      </c>
      <c r="C178" s="8"/>
      <c r="D178" s="8" t="s">
        <v>633</v>
      </c>
      <c r="E178" s="7" t="s">
        <v>634</v>
      </c>
      <c r="F178" s="7" t="s">
        <v>189</v>
      </c>
      <c r="G178" s="8" t="s">
        <v>216</v>
      </c>
      <c r="H178" s="9" t="s">
        <v>216</v>
      </c>
      <c r="I178" s="9"/>
      <c r="J178" s="9" t="s">
        <v>479</v>
      </c>
      <c r="K178" s="9" t="s">
        <v>191</v>
      </c>
      <c r="L178" s="8"/>
      <c r="M178" s="8"/>
      <c r="N178" s="8"/>
      <c r="O178" s="8" t="s">
        <v>635</v>
      </c>
      <c r="P178" s="10" t="n">
        <f aca="false">IF($H178="숙박",0,IF($H178=MID(P$1,3,20),IF($I178="",1,0.6),IF($I178=MID(P$1,3,20),0.4,0)))</f>
        <v>0</v>
      </c>
      <c r="Q178" s="10" t="n">
        <f aca="false">IF($H178="숙박",0,IF($H178=MID(Q$1,3,20),IF($I178="",1,0.6),IF($I178=MID(Q$1,3,20),0.4,0)))</f>
        <v>0</v>
      </c>
      <c r="R178" s="10" t="n">
        <f aca="false">IF($H178="숙박",0,IF($H178=MID(R$1,3,20),IF($I178="",1,0.6),IF($I178=MID(R$1,3,20),0.4,0)))</f>
        <v>0</v>
      </c>
      <c r="S178" s="10" t="n">
        <f aca="false">IF($H178="숙박",0,IF($H178=MID(S$1,3,20),IF($I178="",1,0.6),IF($I178=MID(S$1,3,20),0.4,0)))</f>
        <v>1</v>
      </c>
      <c r="T178" s="10" t="n">
        <f aca="false">IF($H178="숙박",0,IF($H178=MID(T$1,3,20),IF($I178="",1,0.6),IF($I178=MID(T$1,3,20),0.4,0)))</f>
        <v>0</v>
      </c>
      <c r="U178" s="10" t="n">
        <f aca="false">IF($H178="숙박",0,IF(ISNUMBER(SEARCH("야경",$J178)),1,0))</f>
        <v>0</v>
      </c>
      <c r="V178" s="10" t="n">
        <f aca="false">IF($H178="숙박",0,1)</f>
        <v>1</v>
      </c>
    </row>
    <row r="179" customFormat="false" ht="15" hidden="false" customHeight="false" outlineLevel="0" collapsed="false">
      <c r="A179" s="8" t="n">
        <v>178</v>
      </c>
      <c r="B179" s="8" t="s">
        <v>45</v>
      </c>
      <c r="C179" s="8"/>
      <c r="D179" s="8" t="s">
        <v>636</v>
      </c>
      <c r="E179" s="7" t="s">
        <v>637</v>
      </c>
      <c r="F179" s="8" t="s">
        <v>48</v>
      </c>
      <c r="G179" s="8" t="s">
        <v>49</v>
      </c>
      <c r="H179" s="9" t="s">
        <v>49</v>
      </c>
      <c r="I179" s="9"/>
      <c r="J179" s="9" t="s">
        <v>479</v>
      </c>
      <c r="K179" s="9" t="s">
        <v>209</v>
      </c>
      <c r="L179" s="8"/>
      <c r="M179" s="8"/>
      <c r="N179" s="8"/>
      <c r="O179" s="8" t="s">
        <v>638</v>
      </c>
      <c r="P179" s="10" t="n">
        <f aca="false">IF($H179="숙박",0,IF($H179=MID(P$1,3,20),IF($I179="",1,0.6),IF($I179=MID(P$1,3,20),0.4,0)))</f>
        <v>0</v>
      </c>
      <c r="Q179" s="10" t="n">
        <f aca="false">IF($H179="숙박",0,IF($H179=MID(Q$1,3,20),IF($I179="",1,0.6),IF($I179=MID(Q$1,3,20),0.4,0)))</f>
        <v>1</v>
      </c>
      <c r="R179" s="10" t="n">
        <f aca="false">IF($H179="숙박",0,IF($H179=MID(R$1,3,20),IF($I179="",1,0.6),IF($I179=MID(R$1,3,20),0.4,0)))</f>
        <v>0</v>
      </c>
      <c r="S179" s="10" t="n">
        <f aca="false">IF($H179="숙박",0,IF($H179=MID(S$1,3,20),IF($I179="",1,0.6),IF($I179=MID(S$1,3,20),0.4,0)))</f>
        <v>0</v>
      </c>
      <c r="T179" s="10" t="n">
        <f aca="false">IF($H179="숙박",0,IF($H179=MID(T$1,3,20),IF($I179="",1,0.6),IF($I179=MID(T$1,3,20),0.4,0)))</f>
        <v>0</v>
      </c>
      <c r="U179" s="10" t="n">
        <f aca="false">IF($H179="숙박",0,IF(ISNUMBER(SEARCH("야경",$J179)),1,0))</f>
        <v>0</v>
      </c>
      <c r="V179" s="10" t="n">
        <f aca="false">IF($H179="숙박",0,1)</f>
        <v>1</v>
      </c>
    </row>
    <row r="180" customFormat="false" ht="15" hidden="false" customHeight="false" outlineLevel="0" collapsed="false">
      <c r="A180" s="8" t="n">
        <v>179</v>
      </c>
      <c r="B180" s="8" t="s">
        <v>45</v>
      </c>
      <c r="C180" s="8"/>
      <c r="D180" s="8" t="s">
        <v>639</v>
      </c>
      <c r="E180" s="7" t="s">
        <v>640</v>
      </c>
      <c r="F180" s="8" t="s">
        <v>59</v>
      </c>
      <c r="G180" s="8" t="s">
        <v>190</v>
      </c>
      <c r="H180" s="9" t="s">
        <v>190</v>
      </c>
      <c r="I180" s="9"/>
      <c r="J180" s="9" t="s">
        <v>479</v>
      </c>
      <c r="K180" s="9" t="s">
        <v>52</v>
      </c>
      <c r="L180" s="8"/>
      <c r="M180" s="8"/>
      <c r="N180" s="8"/>
      <c r="O180" s="8" t="s">
        <v>641</v>
      </c>
      <c r="P180" s="10" t="n">
        <f aca="false">IF($H180="숙박",0,IF($H180=MID(P$1,3,20),IF($I180="",1,0.6),IF($I180=MID(P$1,3,20),0.4,0)))</f>
        <v>1</v>
      </c>
      <c r="Q180" s="10" t="n">
        <f aca="false">IF($H180="숙박",0,IF($H180=MID(Q$1,3,20),IF($I180="",1,0.6),IF($I180=MID(Q$1,3,20),0.4,0)))</f>
        <v>0</v>
      </c>
      <c r="R180" s="10" t="n">
        <f aca="false">IF($H180="숙박",0,IF($H180=MID(R$1,3,20),IF($I180="",1,0.6),IF($I180=MID(R$1,3,20),0.4,0)))</f>
        <v>0</v>
      </c>
      <c r="S180" s="10" t="n">
        <f aca="false">IF($H180="숙박",0,IF($H180=MID(S$1,3,20),IF($I180="",1,0.6),IF($I180=MID(S$1,3,20),0.4,0)))</f>
        <v>0</v>
      </c>
      <c r="T180" s="10" t="n">
        <f aca="false">IF($H180="숙박",0,IF($H180=MID(T$1,3,20),IF($I180="",1,0.6),IF($I180=MID(T$1,3,20),0.4,0)))</f>
        <v>0</v>
      </c>
      <c r="U180" s="10" t="n">
        <f aca="false">IF($H180="숙박",0,IF(ISNUMBER(SEARCH("야경",$J180)),1,0))</f>
        <v>0</v>
      </c>
      <c r="V180" s="10" t="n">
        <f aca="false">IF($H180="숙박",0,1)</f>
        <v>1</v>
      </c>
    </row>
    <row r="181" customFormat="false" ht="15" hidden="false" customHeight="false" outlineLevel="0" collapsed="false">
      <c r="A181" s="8" t="n">
        <v>180</v>
      </c>
      <c r="B181" s="8" t="s">
        <v>45</v>
      </c>
      <c r="C181" s="8"/>
      <c r="D181" s="8" t="s">
        <v>642</v>
      </c>
      <c r="E181" s="7" t="s">
        <v>643</v>
      </c>
      <c r="F181" s="8" t="s">
        <v>567</v>
      </c>
      <c r="G181" s="8" t="s">
        <v>190</v>
      </c>
      <c r="H181" s="9" t="s">
        <v>190</v>
      </c>
      <c r="I181" s="9" t="s">
        <v>49</v>
      </c>
      <c r="J181" s="9" t="s">
        <v>479</v>
      </c>
      <c r="K181" s="9" t="s">
        <v>191</v>
      </c>
      <c r="L181" s="8"/>
      <c r="M181" s="8"/>
      <c r="N181" s="8" t="s">
        <v>483</v>
      </c>
      <c r="O181" s="8" t="s">
        <v>644</v>
      </c>
      <c r="P181" s="10" t="n">
        <f aca="false">IF($H181="숙박",0,IF($H181=MID(P$1,3,20),IF($I181="",1,0.6),IF($I181=MID(P$1,3,20),0.4,0)))</f>
        <v>0.6</v>
      </c>
      <c r="Q181" s="10" t="n">
        <f aca="false">IF($H181="숙박",0,IF($H181=MID(Q$1,3,20),IF($I181="",1,0.6),IF($I181=MID(Q$1,3,20),0.4,0)))</f>
        <v>0.4</v>
      </c>
      <c r="R181" s="10" t="n">
        <f aca="false">IF($H181="숙박",0,IF($H181=MID(R$1,3,20),IF($I181="",1,0.6),IF($I181=MID(R$1,3,20),0.4,0)))</f>
        <v>0</v>
      </c>
      <c r="S181" s="10" t="n">
        <f aca="false">IF($H181="숙박",0,IF($H181=MID(S$1,3,20),IF($I181="",1,0.6),IF($I181=MID(S$1,3,20),0.4,0)))</f>
        <v>0</v>
      </c>
      <c r="T181" s="10" t="n">
        <f aca="false">IF($H181="숙박",0,IF($H181=MID(T$1,3,20),IF($I181="",1,0.6),IF($I181=MID(T$1,3,20),0.4,0)))</f>
        <v>0</v>
      </c>
      <c r="U181" s="10" t="n">
        <f aca="false">IF($H181="숙박",0,IF(ISNUMBER(SEARCH("야경",$J181)),1,0))</f>
        <v>0</v>
      </c>
      <c r="V181" s="10" t="n">
        <f aca="false">IF($H181="숙박",0,1)</f>
        <v>1</v>
      </c>
    </row>
    <row r="182" customFormat="false" ht="15" hidden="false" customHeight="false" outlineLevel="0" collapsed="false">
      <c r="A182" s="8" t="n">
        <v>181</v>
      </c>
      <c r="B182" s="8" t="s">
        <v>45</v>
      </c>
      <c r="C182" s="8"/>
      <c r="D182" s="8" t="s">
        <v>645</v>
      </c>
      <c r="E182" s="7" t="s">
        <v>646</v>
      </c>
      <c r="F182" s="8" t="s">
        <v>59</v>
      </c>
      <c r="G182" s="8" t="s">
        <v>216</v>
      </c>
      <c r="H182" s="9" t="s">
        <v>216</v>
      </c>
      <c r="I182" s="9"/>
      <c r="J182" s="9" t="s">
        <v>509</v>
      </c>
      <c r="K182" s="9" t="s">
        <v>191</v>
      </c>
      <c r="L182" s="8"/>
      <c r="M182" s="8"/>
      <c r="N182" s="8"/>
      <c r="O182" s="8" t="s">
        <v>647</v>
      </c>
      <c r="P182" s="10" t="n">
        <f aca="false">IF($H182="숙박",0,IF($H182=MID(P$1,3,20),IF($I182="",1,0.6),IF($I182=MID(P$1,3,20),0.4,0)))</f>
        <v>0</v>
      </c>
      <c r="Q182" s="10" t="n">
        <f aca="false">IF($H182="숙박",0,IF($H182=MID(Q$1,3,20),IF($I182="",1,0.6),IF($I182=MID(Q$1,3,20),0.4,0)))</f>
        <v>0</v>
      </c>
      <c r="R182" s="10" t="n">
        <f aca="false">IF($H182="숙박",0,IF($H182=MID(R$1,3,20),IF($I182="",1,0.6),IF($I182=MID(R$1,3,20),0.4,0)))</f>
        <v>0</v>
      </c>
      <c r="S182" s="10" t="n">
        <f aca="false">IF($H182="숙박",0,IF($H182=MID(S$1,3,20),IF($I182="",1,0.6),IF($I182=MID(S$1,3,20),0.4,0)))</f>
        <v>1</v>
      </c>
      <c r="T182" s="10" t="n">
        <f aca="false">IF($H182="숙박",0,IF($H182=MID(T$1,3,20),IF($I182="",1,0.6),IF($I182=MID(T$1,3,20),0.4,0)))</f>
        <v>0</v>
      </c>
      <c r="U182" s="10" t="n">
        <f aca="false">IF($H182="숙박",0,IF(ISNUMBER(SEARCH("야경",$J182)),1,0))</f>
        <v>1</v>
      </c>
      <c r="V182" s="10" t="n">
        <f aca="false">IF($H182="숙박",0,1)</f>
        <v>1</v>
      </c>
    </row>
    <row r="183" customFormat="false" ht="15" hidden="false" customHeight="false" outlineLevel="0" collapsed="false">
      <c r="A183" s="8" t="n">
        <v>182</v>
      </c>
      <c r="B183" s="8" t="s">
        <v>485</v>
      </c>
      <c r="C183" s="8"/>
      <c r="D183" s="8" t="s">
        <v>648</v>
      </c>
      <c r="E183" s="7" t="s">
        <v>649</v>
      </c>
      <c r="F183" s="8" t="s">
        <v>199</v>
      </c>
      <c r="G183" s="8" t="s">
        <v>190</v>
      </c>
      <c r="H183" s="9" t="s">
        <v>190</v>
      </c>
      <c r="I183" s="9" t="s">
        <v>49</v>
      </c>
      <c r="J183" s="9" t="s">
        <v>509</v>
      </c>
      <c r="K183" s="9" t="s">
        <v>52</v>
      </c>
      <c r="L183" s="8"/>
      <c r="M183" s="8"/>
      <c r="N183" s="8" t="s">
        <v>483</v>
      </c>
      <c r="O183" s="8" t="s">
        <v>650</v>
      </c>
      <c r="P183" s="10" t="n">
        <f aca="false">IF($H183="숙박",0,IF($H183=MID(P$1,3,20),IF($I183="",1,0.6),IF($I183=MID(P$1,3,20),0.4,0)))</f>
        <v>0.6</v>
      </c>
      <c r="Q183" s="10" t="n">
        <f aca="false">IF($H183="숙박",0,IF($H183=MID(Q$1,3,20),IF($I183="",1,0.6),IF($I183=MID(Q$1,3,20),0.4,0)))</f>
        <v>0.4</v>
      </c>
      <c r="R183" s="10" t="n">
        <f aca="false">IF($H183="숙박",0,IF($H183=MID(R$1,3,20),IF($I183="",1,0.6),IF($I183=MID(R$1,3,20),0.4,0)))</f>
        <v>0</v>
      </c>
      <c r="S183" s="10" t="n">
        <f aca="false">IF($H183="숙박",0,IF($H183=MID(S$1,3,20),IF($I183="",1,0.6),IF($I183=MID(S$1,3,20),0.4,0)))</f>
        <v>0</v>
      </c>
      <c r="T183" s="10" t="n">
        <f aca="false">IF($H183="숙박",0,IF($H183=MID(T$1,3,20),IF($I183="",1,0.6),IF($I183=MID(T$1,3,20),0.4,0)))</f>
        <v>0</v>
      </c>
      <c r="U183" s="10" t="n">
        <f aca="false">IF($H183="숙박",0,IF(ISNUMBER(SEARCH("야경",$J183)),1,0))</f>
        <v>1</v>
      </c>
      <c r="V183" s="10" t="n">
        <f aca="false">IF($H183="숙박",0,1)</f>
        <v>1</v>
      </c>
    </row>
    <row r="184" customFormat="false" ht="15" hidden="false" customHeight="false" outlineLevel="0" collapsed="false">
      <c r="A184" s="8" t="n">
        <v>183</v>
      </c>
      <c r="B184" s="8" t="s">
        <v>45</v>
      </c>
      <c r="C184" s="8"/>
      <c r="D184" s="8" t="s">
        <v>651</v>
      </c>
      <c r="E184" s="7" t="s">
        <v>652</v>
      </c>
      <c r="F184" s="8" t="s">
        <v>199</v>
      </c>
      <c r="G184" s="8" t="s">
        <v>216</v>
      </c>
      <c r="H184" s="9" t="s">
        <v>216</v>
      </c>
      <c r="I184" s="9"/>
      <c r="J184" s="9" t="s">
        <v>479</v>
      </c>
      <c r="K184" s="9" t="s">
        <v>52</v>
      </c>
      <c r="L184" s="8"/>
      <c r="M184" s="8"/>
      <c r="N184" s="8"/>
      <c r="O184" s="8" t="s">
        <v>653</v>
      </c>
      <c r="P184" s="10" t="n">
        <f aca="false">IF($H184="숙박",0,IF($H184=MID(P$1,3,20),IF($I184="",1,0.6),IF($I184=MID(P$1,3,20),0.4,0)))</f>
        <v>0</v>
      </c>
      <c r="Q184" s="10" t="n">
        <f aca="false">IF($H184="숙박",0,IF($H184=MID(Q$1,3,20),IF($I184="",1,0.6),IF($I184=MID(Q$1,3,20),0.4,0)))</f>
        <v>0</v>
      </c>
      <c r="R184" s="10" t="n">
        <f aca="false">IF($H184="숙박",0,IF($H184=MID(R$1,3,20),IF($I184="",1,0.6),IF($I184=MID(R$1,3,20),0.4,0)))</f>
        <v>0</v>
      </c>
      <c r="S184" s="10" t="n">
        <f aca="false">IF($H184="숙박",0,IF($H184=MID(S$1,3,20),IF($I184="",1,0.6),IF($I184=MID(S$1,3,20),0.4,0)))</f>
        <v>1</v>
      </c>
      <c r="T184" s="10" t="n">
        <f aca="false">IF($H184="숙박",0,IF($H184=MID(T$1,3,20),IF($I184="",1,0.6),IF($I184=MID(T$1,3,20),0.4,0)))</f>
        <v>0</v>
      </c>
      <c r="U184" s="10" t="n">
        <f aca="false">IF($H184="숙박",0,IF(ISNUMBER(SEARCH("야경",$J184)),1,0))</f>
        <v>0</v>
      </c>
      <c r="V184" s="10" t="n">
        <f aca="false">IF($H184="숙박",0,1)</f>
        <v>1</v>
      </c>
    </row>
    <row r="185" customFormat="false" ht="15" hidden="false" customHeight="false" outlineLevel="0" collapsed="false">
      <c r="A185" s="8" t="n">
        <v>184</v>
      </c>
      <c r="B185" s="8" t="s">
        <v>45</v>
      </c>
      <c r="C185" s="8"/>
      <c r="D185" s="8" t="s">
        <v>654</v>
      </c>
      <c r="E185" s="7" t="s">
        <v>655</v>
      </c>
      <c r="F185" s="8" t="s">
        <v>199</v>
      </c>
      <c r="G185" s="8" t="s">
        <v>190</v>
      </c>
      <c r="H185" s="9" t="s">
        <v>190</v>
      </c>
      <c r="I185" s="9" t="s">
        <v>49</v>
      </c>
      <c r="J185" s="9" t="s">
        <v>479</v>
      </c>
      <c r="K185" s="9" t="s">
        <v>52</v>
      </c>
      <c r="L185" s="8"/>
      <c r="M185" s="8"/>
      <c r="N185" s="8" t="s">
        <v>483</v>
      </c>
      <c r="O185" s="8" t="s">
        <v>656</v>
      </c>
      <c r="P185" s="10" t="n">
        <f aca="false">IF($H185="숙박",0,IF($H185=MID(P$1,3,20),IF($I185="",1,0.6),IF($I185=MID(P$1,3,20),0.4,0)))</f>
        <v>0.6</v>
      </c>
      <c r="Q185" s="10" t="n">
        <f aca="false">IF($H185="숙박",0,IF($H185=MID(Q$1,3,20),IF($I185="",1,0.6),IF($I185=MID(Q$1,3,20),0.4,0)))</f>
        <v>0.4</v>
      </c>
      <c r="R185" s="10" t="n">
        <f aca="false">IF($H185="숙박",0,IF($H185=MID(R$1,3,20),IF($I185="",1,0.6),IF($I185=MID(R$1,3,20),0.4,0)))</f>
        <v>0</v>
      </c>
      <c r="S185" s="10" t="n">
        <f aca="false">IF($H185="숙박",0,IF($H185=MID(S$1,3,20),IF($I185="",1,0.6),IF($I185=MID(S$1,3,20),0.4,0)))</f>
        <v>0</v>
      </c>
      <c r="T185" s="10" t="n">
        <f aca="false">IF($H185="숙박",0,IF($H185=MID(T$1,3,20),IF($I185="",1,0.6),IF($I185=MID(T$1,3,20),0.4,0)))</f>
        <v>0</v>
      </c>
      <c r="U185" s="10" t="n">
        <f aca="false">IF($H185="숙박",0,IF(ISNUMBER(SEARCH("야경",$J185)),1,0))</f>
        <v>0</v>
      </c>
      <c r="V185" s="10" t="n">
        <f aca="false">IF($H185="숙박",0,1)</f>
        <v>1</v>
      </c>
    </row>
    <row r="186" customFormat="false" ht="15" hidden="false" customHeight="false" outlineLevel="0" collapsed="false">
      <c r="A186" s="8" t="n">
        <v>185</v>
      </c>
      <c r="B186" s="8" t="s">
        <v>485</v>
      </c>
      <c r="C186" s="8"/>
      <c r="D186" s="8" t="s">
        <v>657</v>
      </c>
      <c r="E186" s="7" t="s">
        <v>658</v>
      </c>
      <c r="F186" s="8" t="s">
        <v>199</v>
      </c>
      <c r="G186" s="8" t="s">
        <v>184</v>
      </c>
      <c r="H186" s="9" t="s">
        <v>184</v>
      </c>
      <c r="I186" s="9"/>
      <c r="J186" s="9" t="s">
        <v>509</v>
      </c>
      <c r="K186" s="9" t="s">
        <v>191</v>
      </c>
      <c r="L186" s="8"/>
      <c r="M186" s="8"/>
      <c r="N186" s="8"/>
      <c r="O186" s="8" t="s">
        <v>659</v>
      </c>
      <c r="P186" s="10" t="n">
        <f aca="false">IF($H186="숙박",0,IF($H186=MID(P$1,3,20),IF($I186="",1,0.6),IF($I186=MID(P$1,3,20),0.4,0)))</f>
        <v>0</v>
      </c>
      <c r="Q186" s="10" t="n">
        <f aca="false">IF($H186="숙박",0,IF($H186=MID(Q$1,3,20),IF($I186="",1,0.6),IF($I186=MID(Q$1,3,20),0.4,0)))</f>
        <v>0</v>
      </c>
      <c r="R186" s="10" t="n">
        <f aca="false">IF($H186="숙박",0,IF($H186=MID(R$1,3,20),IF($I186="",1,0.6),IF($I186=MID(R$1,3,20),0.4,0)))</f>
        <v>1</v>
      </c>
      <c r="S186" s="10" t="n">
        <f aca="false">IF($H186="숙박",0,IF($H186=MID(S$1,3,20),IF($I186="",1,0.6),IF($I186=MID(S$1,3,20),0.4,0)))</f>
        <v>0</v>
      </c>
      <c r="T186" s="10" t="n">
        <f aca="false">IF($H186="숙박",0,IF($H186=MID(T$1,3,20),IF($I186="",1,0.6),IF($I186=MID(T$1,3,20),0.4,0)))</f>
        <v>0</v>
      </c>
      <c r="U186" s="10" t="n">
        <f aca="false">IF($H186="숙박",0,IF(ISNUMBER(SEARCH("야경",$J186)),1,0))</f>
        <v>1</v>
      </c>
      <c r="V186" s="10" t="n">
        <f aca="false">IF($H186="숙박",0,1)</f>
        <v>1</v>
      </c>
    </row>
    <row r="187" customFormat="false" ht="15" hidden="false" customHeight="false" outlineLevel="0" collapsed="false">
      <c r="A187" s="8" t="n">
        <v>186</v>
      </c>
      <c r="B187" s="8" t="s">
        <v>45</v>
      </c>
      <c r="C187" s="8"/>
      <c r="D187" s="8" t="s">
        <v>660</v>
      </c>
      <c r="E187" s="7" t="s">
        <v>661</v>
      </c>
      <c r="F187" s="8" t="s">
        <v>199</v>
      </c>
      <c r="G187" s="8" t="s">
        <v>216</v>
      </c>
      <c r="H187" s="9" t="s">
        <v>216</v>
      </c>
      <c r="I187" s="9"/>
      <c r="J187" s="9" t="s">
        <v>479</v>
      </c>
      <c r="K187" s="9" t="s">
        <v>191</v>
      </c>
      <c r="L187" s="8"/>
      <c r="M187" s="8"/>
      <c r="N187" s="8"/>
      <c r="O187" s="7" t="s">
        <v>662</v>
      </c>
      <c r="P187" s="10" t="n">
        <f aca="false">IF($H187="숙박",0,IF($H187=MID(P$1,3,20),IF($I187="",1,0.6),IF($I187=MID(P$1,3,20),0.4,0)))</f>
        <v>0</v>
      </c>
      <c r="Q187" s="10" t="n">
        <f aca="false">IF($H187="숙박",0,IF($H187=MID(Q$1,3,20),IF($I187="",1,0.6),IF($I187=MID(Q$1,3,20),0.4,0)))</f>
        <v>0</v>
      </c>
      <c r="R187" s="10" t="n">
        <f aca="false">IF($H187="숙박",0,IF($H187=MID(R$1,3,20),IF($I187="",1,0.6),IF($I187=MID(R$1,3,20),0.4,0)))</f>
        <v>0</v>
      </c>
      <c r="S187" s="10" t="n">
        <f aca="false">IF($H187="숙박",0,IF($H187=MID(S$1,3,20),IF($I187="",1,0.6),IF($I187=MID(S$1,3,20),0.4,0)))</f>
        <v>1</v>
      </c>
      <c r="T187" s="10" t="n">
        <f aca="false">IF($H187="숙박",0,IF($H187=MID(T$1,3,20),IF($I187="",1,0.6),IF($I187=MID(T$1,3,20),0.4,0)))</f>
        <v>0</v>
      </c>
      <c r="U187" s="10" t="n">
        <f aca="false">IF($H187="숙박",0,IF(ISNUMBER(SEARCH("야경",$J187)),1,0))</f>
        <v>0</v>
      </c>
      <c r="V187" s="10" t="n">
        <f aca="false">IF($H187="숙박",0,1)</f>
        <v>1</v>
      </c>
    </row>
    <row r="188" customFormat="false" ht="15" hidden="false" customHeight="false" outlineLevel="0" collapsed="false">
      <c r="A188" s="8" t="n">
        <v>187</v>
      </c>
      <c r="B188" s="8" t="s">
        <v>511</v>
      </c>
      <c r="C188" s="8"/>
      <c r="D188" s="8" t="s">
        <v>663</v>
      </c>
      <c r="E188" s="7" t="s">
        <v>664</v>
      </c>
      <c r="F188" s="7" t="s">
        <v>189</v>
      </c>
      <c r="G188" s="8" t="s">
        <v>50</v>
      </c>
      <c r="H188" s="9" t="s">
        <v>50</v>
      </c>
      <c r="I188" s="9"/>
      <c r="J188" s="9" t="s">
        <v>51</v>
      </c>
      <c r="K188" s="9" t="s">
        <v>52</v>
      </c>
      <c r="L188" s="8"/>
      <c r="M188" s="8"/>
      <c r="N188" s="8"/>
      <c r="O188" s="8" t="s">
        <v>665</v>
      </c>
      <c r="P188" s="10" t="n">
        <f aca="false">IF($H188="숙박",0,IF($H188=MID(P$1,3,20),IF($I188="",1,0.6),IF($I188=MID(P$1,3,20),0.4,0)))</f>
        <v>0</v>
      </c>
      <c r="Q188" s="10" t="n">
        <f aca="false">IF($H188="숙박",0,IF($H188=MID(Q$1,3,20),IF($I188="",1,0.6),IF($I188=MID(Q$1,3,20),0.4,0)))</f>
        <v>0</v>
      </c>
      <c r="R188" s="10" t="n">
        <f aca="false">IF($H188="숙박",0,IF($H188=MID(R$1,3,20),IF($I188="",1,0.6),IF($I188=MID(R$1,3,20),0.4,0)))</f>
        <v>0</v>
      </c>
      <c r="S188" s="10" t="n">
        <f aca="false">IF($H188="숙박",0,IF($H188=MID(S$1,3,20),IF($I188="",1,0.6),IF($I188=MID(S$1,3,20),0.4,0)))</f>
        <v>0</v>
      </c>
      <c r="T188" s="10" t="n">
        <f aca="false">IF($H188="숙박",0,IF($H188=MID(T$1,3,20),IF($I188="",1,0.6),IF($I188=MID(T$1,3,20),0.4,0)))</f>
        <v>1</v>
      </c>
      <c r="U188" s="10" t="n">
        <f aca="false">IF($H188="숙박",0,IF(ISNUMBER(SEARCH("야경",$J188)),1,0))</f>
        <v>0</v>
      </c>
      <c r="V188" s="10" t="n">
        <f aca="false">IF($H188="숙박",0,1)</f>
        <v>1</v>
      </c>
    </row>
    <row r="189" customFormat="false" ht="15" hidden="false" customHeight="false" outlineLevel="0" collapsed="false">
      <c r="A189" s="8" t="n">
        <v>188</v>
      </c>
      <c r="B189" s="8" t="s">
        <v>45</v>
      </c>
      <c r="C189" s="8"/>
      <c r="D189" s="8" t="s">
        <v>666</v>
      </c>
      <c r="E189" s="7" t="s">
        <v>667</v>
      </c>
      <c r="F189" s="8" t="s">
        <v>48</v>
      </c>
      <c r="G189" s="8" t="s">
        <v>49</v>
      </c>
      <c r="H189" s="9" t="s">
        <v>49</v>
      </c>
      <c r="I189" s="9"/>
      <c r="J189" s="9" t="s">
        <v>479</v>
      </c>
      <c r="K189" s="9" t="s">
        <v>209</v>
      </c>
      <c r="L189" s="8"/>
      <c r="M189" s="8"/>
      <c r="N189" s="8"/>
      <c r="O189" s="8" t="s">
        <v>668</v>
      </c>
      <c r="P189" s="10" t="n">
        <f aca="false">IF($H189="숙박",0,IF($H189=MID(P$1,3,20),IF($I189="",1,0.6),IF($I189=MID(P$1,3,20),0.4,0)))</f>
        <v>0</v>
      </c>
      <c r="Q189" s="10" t="n">
        <f aca="false">IF($H189="숙박",0,IF($H189=MID(Q$1,3,20),IF($I189="",1,0.6),IF($I189=MID(Q$1,3,20),0.4,0)))</f>
        <v>1</v>
      </c>
      <c r="R189" s="10" t="n">
        <f aca="false">IF($H189="숙박",0,IF($H189=MID(R$1,3,20),IF($I189="",1,0.6),IF($I189=MID(R$1,3,20),0.4,0)))</f>
        <v>0</v>
      </c>
      <c r="S189" s="10" t="n">
        <f aca="false">IF($H189="숙박",0,IF($H189=MID(S$1,3,20),IF($I189="",1,0.6),IF($I189=MID(S$1,3,20),0.4,0)))</f>
        <v>0</v>
      </c>
      <c r="T189" s="10" t="n">
        <f aca="false">IF($H189="숙박",0,IF($H189=MID(T$1,3,20),IF($I189="",1,0.6),IF($I189=MID(T$1,3,20),0.4,0)))</f>
        <v>0</v>
      </c>
      <c r="U189" s="10" t="n">
        <f aca="false">IF($H189="숙박",0,IF(ISNUMBER(SEARCH("야경",$J189)),1,0))</f>
        <v>0</v>
      </c>
      <c r="V189" s="10" t="n">
        <f aca="false">IF($H189="숙박",0,1)</f>
        <v>1</v>
      </c>
    </row>
    <row r="190" customFormat="false" ht="15" hidden="false" customHeight="false" outlineLevel="0" collapsed="false">
      <c r="A190" s="8" t="n">
        <v>189</v>
      </c>
      <c r="B190" s="8" t="s">
        <v>45</v>
      </c>
      <c r="C190" s="8"/>
      <c r="D190" s="8" t="s">
        <v>669</v>
      </c>
      <c r="E190" s="7" t="s">
        <v>670</v>
      </c>
      <c r="F190" s="8" t="s">
        <v>567</v>
      </c>
      <c r="G190" s="8" t="s">
        <v>190</v>
      </c>
      <c r="H190" s="9" t="s">
        <v>190</v>
      </c>
      <c r="I190" s="9"/>
      <c r="J190" s="9" t="s">
        <v>523</v>
      </c>
      <c r="K190" s="9" t="s">
        <v>191</v>
      </c>
      <c r="L190" s="8"/>
      <c r="M190" s="8"/>
      <c r="N190" s="8"/>
      <c r="O190" s="8" t="s">
        <v>671</v>
      </c>
      <c r="P190" s="10" t="n">
        <f aca="false">IF($H190="숙박",0,IF($H190=MID(P$1,3,20),IF($I190="",1,0.6),IF($I190=MID(P$1,3,20),0.4,0)))</f>
        <v>1</v>
      </c>
      <c r="Q190" s="10" t="n">
        <f aca="false">IF($H190="숙박",0,IF($H190=MID(Q$1,3,20),IF($I190="",1,0.6),IF($I190=MID(Q$1,3,20),0.4,0)))</f>
        <v>0</v>
      </c>
      <c r="R190" s="10" t="n">
        <f aca="false">IF($H190="숙박",0,IF($H190=MID(R$1,3,20),IF($I190="",1,0.6),IF($I190=MID(R$1,3,20),0.4,0)))</f>
        <v>0</v>
      </c>
      <c r="S190" s="10" t="n">
        <f aca="false">IF($H190="숙박",0,IF($H190=MID(S$1,3,20),IF($I190="",1,0.6),IF($I190=MID(S$1,3,20),0.4,0)))</f>
        <v>0</v>
      </c>
      <c r="T190" s="10" t="n">
        <f aca="false">IF($H190="숙박",0,IF($H190=MID(T$1,3,20),IF($I190="",1,0.6),IF($I190=MID(T$1,3,20),0.4,0)))</f>
        <v>0</v>
      </c>
      <c r="U190" s="10" t="n">
        <f aca="false">IF($H190="숙박",0,IF(ISNUMBER(SEARCH("야경",$J190)),1,0))</f>
        <v>0</v>
      </c>
      <c r="V190" s="10" t="n">
        <f aca="false">IF($H190="숙박",0,1)</f>
        <v>1</v>
      </c>
    </row>
    <row r="191" customFormat="false" ht="15" hidden="false" customHeight="false" outlineLevel="0" collapsed="false">
      <c r="A191" s="8" t="n">
        <v>190</v>
      </c>
      <c r="B191" s="8" t="s">
        <v>45</v>
      </c>
      <c r="C191" s="8"/>
      <c r="D191" s="8" t="s">
        <v>672</v>
      </c>
      <c r="E191" s="7" t="s">
        <v>673</v>
      </c>
      <c r="F191" s="8" t="s">
        <v>59</v>
      </c>
      <c r="G191" s="8" t="s">
        <v>49</v>
      </c>
      <c r="H191" s="9" t="s">
        <v>49</v>
      </c>
      <c r="I191" s="9"/>
      <c r="J191" s="9" t="s">
        <v>479</v>
      </c>
      <c r="K191" s="9" t="s">
        <v>52</v>
      </c>
      <c r="L191" s="8"/>
      <c r="M191" s="8"/>
      <c r="N191" s="8"/>
      <c r="O191" s="8" t="s">
        <v>674</v>
      </c>
      <c r="P191" s="10" t="n">
        <f aca="false">IF($H191="숙박",0,IF($H191=MID(P$1,3,20),IF($I191="",1,0.6),IF($I191=MID(P$1,3,20),0.4,0)))</f>
        <v>0</v>
      </c>
      <c r="Q191" s="10" t="n">
        <f aca="false">IF($H191="숙박",0,IF($H191=MID(Q$1,3,20),IF($I191="",1,0.6),IF($I191=MID(Q$1,3,20),0.4,0)))</f>
        <v>1</v>
      </c>
      <c r="R191" s="10" t="n">
        <f aca="false">IF($H191="숙박",0,IF($H191=MID(R$1,3,20),IF($I191="",1,0.6),IF($I191=MID(R$1,3,20),0.4,0)))</f>
        <v>0</v>
      </c>
      <c r="S191" s="10" t="n">
        <f aca="false">IF($H191="숙박",0,IF($H191=MID(S$1,3,20),IF($I191="",1,0.6),IF($I191=MID(S$1,3,20),0.4,0)))</f>
        <v>0</v>
      </c>
      <c r="T191" s="10" t="n">
        <f aca="false">IF($H191="숙박",0,IF($H191=MID(T$1,3,20),IF($I191="",1,0.6),IF($I191=MID(T$1,3,20),0.4,0)))</f>
        <v>0</v>
      </c>
      <c r="U191" s="10" t="n">
        <f aca="false">IF($H191="숙박",0,IF(ISNUMBER(SEARCH("야경",$J191)),1,0))</f>
        <v>0</v>
      </c>
      <c r="V191" s="10" t="n">
        <f aca="false">IF($H191="숙박",0,1)</f>
        <v>1</v>
      </c>
    </row>
    <row r="192" customFormat="false" ht="15" hidden="false" customHeight="false" outlineLevel="0" collapsed="false">
      <c r="A192" s="8" t="n">
        <v>191</v>
      </c>
      <c r="B192" s="8" t="s">
        <v>45</v>
      </c>
      <c r="C192" s="8"/>
      <c r="D192" s="8" t="s">
        <v>675</v>
      </c>
      <c r="E192" s="7" t="s">
        <v>676</v>
      </c>
      <c r="F192" s="7" t="s">
        <v>189</v>
      </c>
      <c r="G192" s="8" t="s">
        <v>190</v>
      </c>
      <c r="H192" s="9" t="s">
        <v>190</v>
      </c>
      <c r="I192" s="9"/>
      <c r="J192" s="9" t="s">
        <v>479</v>
      </c>
      <c r="K192" s="9" t="s">
        <v>191</v>
      </c>
      <c r="L192" s="8"/>
      <c r="M192" s="8"/>
      <c r="N192" s="8"/>
      <c r="O192" s="8" t="s">
        <v>677</v>
      </c>
      <c r="P192" s="10" t="n">
        <f aca="false">IF($H192="숙박",0,IF($H192=MID(P$1,3,20),IF($I192="",1,0.6),IF($I192=MID(P$1,3,20),0.4,0)))</f>
        <v>1</v>
      </c>
      <c r="Q192" s="10" t="n">
        <f aca="false">IF($H192="숙박",0,IF($H192=MID(Q$1,3,20),IF($I192="",1,0.6),IF($I192=MID(Q$1,3,20),0.4,0)))</f>
        <v>0</v>
      </c>
      <c r="R192" s="10" t="n">
        <f aca="false">IF($H192="숙박",0,IF($H192=MID(R$1,3,20),IF($I192="",1,0.6),IF($I192=MID(R$1,3,20),0.4,0)))</f>
        <v>0</v>
      </c>
      <c r="S192" s="10" t="n">
        <f aca="false">IF($H192="숙박",0,IF($H192=MID(S$1,3,20),IF($I192="",1,0.6),IF($I192=MID(S$1,3,20),0.4,0)))</f>
        <v>0</v>
      </c>
      <c r="T192" s="10" t="n">
        <f aca="false">IF($H192="숙박",0,IF($H192=MID(T$1,3,20),IF($I192="",1,0.6),IF($I192=MID(T$1,3,20),0.4,0)))</f>
        <v>0</v>
      </c>
      <c r="U192" s="10" t="n">
        <f aca="false">IF($H192="숙박",0,IF(ISNUMBER(SEARCH("야경",$J192)),1,0))</f>
        <v>0</v>
      </c>
      <c r="V192" s="10" t="n">
        <f aca="false">IF($H192="숙박",0,1)</f>
        <v>1</v>
      </c>
    </row>
    <row r="193" customFormat="false" ht="15" hidden="false" customHeight="false" outlineLevel="0" collapsed="false">
      <c r="A193" s="8" t="n">
        <v>192</v>
      </c>
      <c r="B193" s="8" t="s">
        <v>45</v>
      </c>
      <c r="C193" s="8" t="s">
        <v>678</v>
      </c>
      <c r="D193" s="8" t="s">
        <v>679</v>
      </c>
      <c r="E193" s="7" t="s">
        <v>680</v>
      </c>
      <c r="F193" s="7" t="s">
        <v>189</v>
      </c>
      <c r="G193" s="8" t="s">
        <v>184</v>
      </c>
      <c r="H193" s="9" t="s">
        <v>184</v>
      </c>
      <c r="I193" s="9" t="s">
        <v>49</v>
      </c>
      <c r="J193" s="9" t="s">
        <v>479</v>
      </c>
      <c r="K193" s="9" t="s">
        <v>52</v>
      </c>
      <c r="L193" s="8"/>
      <c r="M193" s="8"/>
      <c r="N193" s="8" t="s">
        <v>483</v>
      </c>
      <c r="O193" s="8" t="s">
        <v>681</v>
      </c>
      <c r="P193" s="10" t="n">
        <f aca="false">IF($H193="숙박",0,IF($H193=MID(P$1,3,20),IF($I193="",1,0.6),IF($I193=MID(P$1,3,20),0.4,0)))</f>
        <v>0</v>
      </c>
      <c r="Q193" s="10" t="n">
        <f aca="false">IF($H193="숙박",0,IF($H193=MID(Q$1,3,20),IF($I193="",1,0.6),IF($I193=MID(Q$1,3,20),0.4,0)))</f>
        <v>0.4</v>
      </c>
      <c r="R193" s="10" t="n">
        <f aca="false">IF($H193="숙박",0,IF($H193=MID(R$1,3,20),IF($I193="",1,0.6),IF($I193=MID(R$1,3,20),0.4,0)))</f>
        <v>0.6</v>
      </c>
      <c r="S193" s="10" t="n">
        <f aca="false">IF($H193="숙박",0,IF($H193=MID(S$1,3,20),IF($I193="",1,0.6),IF($I193=MID(S$1,3,20),0.4,0)))</f>
        <v>0</v>
      </c>
      <c r="T193" s="10" t="n">
        <f aca="false">IF($H193="숙박",0,IF($H193=MID(T$1,3,20),IF($I193="",1,0.6),IF($I193=MID(T$1,3,20),0.4,0)))</f>
        <v>0</v>
      </c>
      <c r="U193" s="10" t="n">
        <f aca="false">IF($H193="숙박",0,IF(ISNUMBER(SEARCH("야경",$J193)),1,0))</f>
        <v>0</v>
      </c>
      <c r="V193" s="10" t="n">
        <f aca="false">IF($H193="숙박",0,1)</f>
        <v>1</v>
      </c>
    </row>
    <row r="194" customFormat="false" ht="15" hidden="false" customHeight="false" outlineLevel="0" collapsed="false">
      <c r="A194" s="8" t="n">
        <v>193</v>
      </c>
      <c r="B194" s="8" t="s">
        <v>45</v>
      </c>
      <c r="C194" s="8"/>
      <c r="D194" s="8" t="s">
        <v>682</v>
      </c>
      <c r="E194" s="7" t="s">
        <v>683</v>
      </c>
      <c r="F194" s="8" t="s">
        <v>199</v>
      </c>
      <c r="G194" s="8" t="s">
        <v>190</v>
      </c>
      <c r="H194" s="9" t="s">
        <v>190</v>
      </c>
      <c r="I194" s="9"/>
      <c r="J194" s="9" t="s">
        <v>479</v>
      </c>
      <c r="K194" s="9" t="s">
        <v>52</v>
      </c>
      <c r="L194" s="8"/>
      <c r="M194" s="8"/>
      <c r="N194" s="8"/>
      <c r="O194" s="8" t="s">
        <v>684</v>
      </c>
      <c r="P194" s="10" t="n">
        <f aca="false">IF($H194="숙박",0,IF($H194=MID(P$1,3,20),IF($I194="",1,0.6),IF($I194=MID(P$1,3,20),0.4,0)))</f>
        <v>1</v>
      </c>
      <c r="Q194" s="10" t="n">
        <f aca="false">IF($H194="숙박",0,IF($H194=MID(Q$1,3,20),IF($I194="",1,0.6),IF($I194=MID(Q$1,3,20),0.4,0)))</f>
        <v>0</v>
      </c>
      <c r="R194" s="10" t="n">
        <f aca="false">IF($H194="숙박",0,IF($H194=MID(R$1,3,20),IF($I194="",1,0.6),IF($I194=MID(R$1,3,20),0.4,0)))</f>
        <v>0</v>
      </c>
      <c r="S194" s="10" t="n">
        <f aca="false">IF($H194="숙박",0,IF($H194=MID(S$1,3,20),IF($I194="",1,0.6),IF($I194=MID(S$1,3,20),0.4,0)))</f>
        <v>0</v>
      </c>
      <c r="T194" s="10" t="n">
        <f aca="false">IF($H194="숙박",0,IF($H194=MID(T$1,3,20),IF($I194="",1,0.6),IF($I194=MID(T$1,3,20),0.4,0)))</f>
        <v>0</v>
      </c>
      <c r="U194" s="10" t="n">
        <f aca="false">IF($H194="숙박",0,IF(ISNUMBER(SEARCH("야경",$J194)),1,0))</f>
        <v>0</v>
      </c>
      <c r="V194" s="10" t="n">
        <f aca="false">IF($H194="숙박",0,1)</f>
        <v>1</v>
      </c>
    </row>
    <row r="195" customFormat="false" ht="15" hidden="false" customHeight="false" outlineLevel="0" collapsed="false">
      <c r="A195" s="8" t="n">
        <v>194</v>
      </c>
      <c r="B195" s="8" t="s">
        <v>511</v>
      </c>
      <c r="C195" s="8"/>
      <c r="D195" s="8" t="s">
        <v>685</v>
      </c>
      <c r="E195" s="7" t="s">
        <v>686</v>
      </c>
      <c r="F195" s="7" t="s">
        <v>189</v>
      </c>
      <c r="G195" s="8" t="s">
        <v>50</v>
      </c>
      <c r="H195" s="9" t="s">
        <v>50</v>
      </c>
      <c r="I195" s="9"/>
      <c r="J195" s="9" t="s">
        <v>51</v>
      </c>
      <c r="K195" s="9" t="s">
        <v>52</v>
      </c>
      <c r="L195" s="8"/>
      <c r="M195" s="8"/>
      <c r="N195" s="8"/>
      <c r="O195" s="8" t="s">
        <v>687</v>
      </c>
      <c r="P195" s="10" t="n">
        <f aca="false">IF($H195="숙박",0,IF($H195=MID(P$1,3,20),IF($I195="",1,0.6),IF($I195=MID(P$1,3,20),0.4,0)))</f>
        <v>0</v>
      </c>
      <c r="Q195" s="10" t="n">
        <f aca="false">IF($H195="숙박",0,IF($H195=MID(Q$1,3,20),IF($I195="",1,0.6),IF($I195=MID(Q$1,3,20),0.4,0)))</f>
        <v>0</v>
      </c>
      <c r="R195" s="10" t="n">
        <f aca="false">IF($H195="숙박",0,IF($H195=MID(R$1,3,20),IF($I195="",1,0.6),IF($I195=MID(R$1,3,20),0.4,0)))</f>
        <v>0</v>
      </c>
      <c r="S195" s="10" t="n">
        <f aca="false">IF($H195="숙박",0,IF($H195=MID(S$1,3,20),IF($I195="",1,0.6),IF($I195=MID(S$1,3,20),0.4,0)))</f>
        <v>0</v>
      </c>
      <c r="T195" s="10" t="n">
        <f aca="false">IF($H195="숙박",0,IF($H195=MID(T$1,3,20),IF($I195="",1,0.6),IF($I195=MID(T$1,3,20),0.4,0)))</f>
        <v>1</v>
      </c>
      <c r="U195" s="10" t="n">
        <f aca="false">IF($H195="숙박",0,IF(ISNUMBER(SEARCH("야경",$J195)),1,0))</f>
        <v>0</v>
      </c>
      <c r="V195" s="10" t="n">
        <f aca="false">IF($H195="숙박",0,1)</f>
        <v>1</v>
      </c>
    </row>
    <row r="196" customFormat="false" ht="15" hidden="false" customHeight="false" outlineLevel="0" collapsed="false">
      <c r="A196" s="8" t="n">
        <v>195</v>
      </c>
      <c r="B196" s="8" t="s">
        <v>45</v>
      </c>
      <c r="C196" s="8" t="s">
        <v>688</v>
      </c>
      <c r="D196" s="8" t="s">
        <v>689</v>
      </c>
      <c r="E196" s="7" t="s">
        <v>690</v>
      </c>
      <c r="F196" s="7" t="s">
        <v>189</v>
      </c>
      <c r="G196" s="8" t="s">
        <v>184</v>
      </c>
      <c r="H196" s="9" t="s">
        <v>184</v>
      </c>
      <c r="I196" s="9"/>
      <c r="J196" s="9" t="s">
        <v>479</v>
      </c>
      <c r="K196" s="9" t="s">
        <v>191</v>
      </c>
      <c r="L196" s="8"/>
      <c r="M196" s="8"/>
      <c r="N196" s="8"/>
      <c r="O196" s="8" t="s">
        <v>691</v>
      </c>
      <c r="P196" s="10" t="n">
        <f aca="false">IF($H196="숙박",0,IF($H196=MID(P$1,3,20),IF($I196="",1,0.6),IF($I196=MID(P$1,3,20),0.4,0)))</f>
        <v>0</v>
      </c>
      <c r="Q196" s="10" t="n">
        <f aca="false">IF($H196="숙박",0,IF($H196=MID(Q$1,3,20),IF($I196="",1,0.6),IF($I196=MID(Q$1,3,20),0.4,0)))</f>
        <v>0</v>
      </c>
      <c r="R196" s="10" t="n">
        <f aca="false">IF($H196="숙박",0,IF($H196=MID(R$1,3,20),IF($I196="",1,0.6),IF($I196=MID(R$1,3,20),0.4,0)))</f>
        <v>1</v>
      </c>
      <c r="S196" s="10" t="n">
        <f aca="false">IF($H196="숙박",0,IF($H196=MID(S$1,3,20),IF($I196="",1,0.6),IF($I196=MID(S$1,3,20),0.4,0)))</f>
        <v>0</v>
      </c>
      <c r="T196" s="10" t="n">
        <f aca="false">IF($H196="숙박",0,IF($H196=MID(T$1,3,20),IF($I196="",1,0.6),IF($I196=MID(T$1,3,20),0.4,0)))</f>
        <v>0</v>
      </c>
      <c r="U196" s="10" t="n">
        <f aca="false">IF($H196="숙박",0,IF(ISNUMBER(SEARCH("야경",$J196)),1,0))</f>
        <v>0</v>
      </c>
      <c r="V196" s="10" t="n">
        <f aca="false">IF($H196="숙박",0,1)</f>
        <v>1</v>
      </c>
    </row>
    <row r="197" customFormat="false" ht="15" hidden="false" customHeight="false" outlineLevel="0" collapsed="false">
      <c r="A197" s="8" t="n">
        <v>196</v>
      </c>
      <c r="B197" s="8" t="s">
        <v>45</v>
      </c>
      <c r="C197" s="8"/>
      <c r="D197" s="8" t="s">
        <v>692</v>
      </c>
      <c r="E197" s="7" t="s">
        <v>693</v>
      </c>
      <c r="F197" s="8" t="s">
        <v>199</v>
      </c>
      <c r="G197" s="8" t="s">
        <v>190</v>
      </c>
      <c r="H197" s="9" t="s">
        <v>190</v>
      </c>
      <c r="I197" s="9" t="s">
        <v>49</v>
      </c>
      <c r="J197" s="9" t="s">
        <v>479</v>
      </c>
      <c r="K197" s="9" t="s">
        <v>52</v>
      </c>
      <c r="L197" s="8"/>
      <c r="M197" s="8"/>
      <c r="N197" s="8" t="s">
        <v>483</v>
      </c>
      <c r="O197" s="7" t="s">
        <v>694</v>
      </c>
      <c r="P197" s="10" t="n">
        <f aca="false">IF($H197="숙박",0,IF($H197=MID(P$1,3,20),IF($I197="",1,0.6),IF($I197=MID(P$1,3,20),0.4,0)))</f>
        <v>0.6</v>
      </c>
      <c r="Q197" s="10" t="n">
        <f aca="false">IF($H197="숙박",0,IF($H197=MID(Q$1,3,20),IF($I197="",1,0.6),IF($I197=MID(Q$1,3,20),0.4,0)))</f>
        <v>0.4</v>
      </c>
      <c r="R197" s="10" t="n">
        <f aca="false">IF($H197="숙박",0,IF($H197=MID(R$1,3,20),IF($I197="",1,0.6),IF($I197=MID(R$1,3,20),0.4,0)))</f>
        <v>0</v>
      </c>
      <c r="S197" s="10" t="n">
        <f aca="false">IF($H197="숙박",0,IF($H197=MID(S$1,3,20),IF($I197="",1,0.6),IF($I197=MID(S$1,3,20),0.4,0)))</f>
        <v>0</v>
      </c>
      <c r="T197" s="10" t="n">
        <f aca="false">IF($H197="숙박",0,IF($H197=MID(T$1,3,20),IF($I197="",1,0.6),IF($I197=MID(T$1,3,20),0.4,0)))</f>
        <v>0</v>
      </c>
      <c r="U197" s="10" t="n">
        <f aca="false">IF($H197="숙박",0,IF(ISNUMBER(SEARCH("야경",$J197)),1,0))</f>
        <v>0</v>
      </c>
      <c r="V197" s="10" t="n">
        <f aca="false">IF($H197="숙박",0,1)</f>
        <v>1</v>
      </c>
    </row>
    <row r="198" customFormat="false" ht="15" hidden="false" customHeight="false" outlineLevel="0" collapsed="false">
      <c r="A198" s="8" t="n">
        <v>197</v>
      </c>
      <c r="B198" s="8" t="s">
        <v>45</v>
      </c>
      <c r="C198" s="8"/>
      <c r="D198" s="8" t="s">
        <v>695</v>
      </c>
      <c r="E198" s="7" t="s">
        <v>696</v>
      </c>
      <c r="F198" s="8" t="s">
        <v>567</v>
      </c>
      <c r="G198" s="8" t="s">
        <v>184</v>
      </c>
      <c r="H198" s="9" t="s">
        <v>184</v>
      </c>
      <c r="I198" s="9" t="s">
        <v>190</v>
      </c>
      <c r="J198" s="9" t="s">
        <v>523</v>
      </c>
      <c r="K198" s="9" t="s">
        <v>191</v>
      </c>
      <c r="L198" s="8"/>
      <c r="M198" s="8"/>
      <c r="N198" s="8" t="s">
        <v>483</v>
      </c>
      <c r="O198" s="8" t="s">
        <v>697</v>
      </c>
      <c r="P198" s="10" t="n">
        <f aca="false">IF($H198="숙박",0,IF($H198=MID(P$1,3,20),IF($I198="",1,0.6),IF($I198=MID(P$1,3,20),0.4,0)))</f>
        <v>0.4</v>
      </c>
      <c r="Q198" s="10" t="n">
        <f aca="false">IF($H198="숙박",0,IF($H198=MID(Q$1,3,20),IF($I198="",1,0.6),IF($I198=MID(Q$1,3,20),0.4,0)))</f>
        <v>0</v>
      </c>
      <c r="R198" s="10" t="n">
        <f aca="false">IF($H198="숙박",0,IF($H198=MID(R$1,3,20),IF($I198="",1,0.6),IF($I198=MID(R$1,3,20),0.4,0)))</f>
        <v>0.6</v>
      </c>
      <c r="S198" s="10" t="n">
        <f aca="false">IF($H198="숙박",0,IF($H198=MID(S$1,3,20),IF($I198="",1,0.6),IF($I198=MID(S$1,3,20),0.4,0)))</f>
        <v>0</v>
      </c>
      <c r="T198" s="10" t="n">
        <f aca="false">IF($H198="숙박",0,IF($H198=MID(T$1,3,20),IF($I198="",1,0.6),IF($I198=MID(T$1,3,20),0.4,0)))</f>
        <v>0</v>
      </c>
      <c r="U198" s="10" t="n">
        <f aca="false">IF($H198="숙박",0,IF(ISNUMBER(SEARCH("야경",$J198)),1,0))</f>
        <v>0</v>
      </c>
      <c r="V198" s="10" t="n">
        <f aca="false">IF($H198="숙박",0,1)</f>
        <v>1</v>
      </c>
    </row>
    <row r="199" customFormat="false" ht="15" hidden="false" customHeight="false" outlineLevel="0" collapsed="false">
      <c r="A199" s="8" t="n">
        <v>198</v>
      </c>
      <c r="B199" s="8" t="s">
        <v>45</v>
      </c>
      <c r="C199" s="8"/>
      <c r="D199" s="8" t="s">
        <v>698</v>
      </c>
      <c r="E199" s="7" t="s">
        <v>699</v>
      </c>
      <c r="F199" s="8" t="s">
        <v>567</v>
      </c>
      <c r="G199" s="8" t="s">
        <v>49</v>
      </c>
      <c r="H199" s="9" t="s">
        <v>49</v>
      </c>
      <c r="I199" s="9"/>
      <c r="J199" s="9" t="s">
        <v>479</v>
      </c>
      <c r="K199" s="9" t="s">
        <v>52</v>
      </c>
      <c r="L199" s="8"/>
      <c r="M199" s="8"/>
      <c r="N199" s="8"/>
      <c r="O199" s="8" t="s">
        <v>700</v>
      </c>
      <c r="P199" s="10" t="n">
        <f aca="false">IF($H199="숙박",0,IF($H199=MID(P$1,3,20),IF($I199="",1,0.6),IF($I199=MID(P$1,3,20),0.4,0)))</f>
        <v>0</v>
      </c>
      <c r="Q199" s="10" t="n">
        <f aca="false">IF($H199="숙박",0,IF($H199=MID(Q$1,3,20),IF($I199="",1,0.6),IF($I199=MID(Q$1,3,20),0.4,0)))</f>
        <v>1</v>
      </c>
      <c r="R199" s="10" t="n">
        <f aca="false">IF($H199="숙박",0,IF($H199=MID(R$1,3,20),IF($I199="",1,0.6),IF($I199=MID(R$1,3,20),0.4,0)))</f>
        <v>0</v>
      </c>
      <c r="S199" s="10" t="n">
        <f aca="false">IF($H199="숙박",0,IF($H199=MID(S$1,3,20),IF($I199="",1,0.6),IF($I199=MID(S$1,3,20),0.4,0)))</f>
        <v>0</v>
      </c>
      <c r="T199" s="10" t="n">
        <f aca="false">IF($H199="숙박",0,IF($H199=MID(T$1,3,20),IF($I199="",1,0.6),IF($I199=MID(T$1,3,20),0.4,0)))</f>
        <v>0</v>
      </c>
      <c r="U199" s="10" t="n">
        <f aca="false">IF($H199="숙박",0,IF(ISNUMBER(SEARCH("야경",$J199)),1,0))</f>
        <v>0</v>
      </c>
      <c r="V199" s="10" t="n">
        <f aca="false">IF($H199="숙박",0,1)</f>
        <v>1</v>
      </c>
    </row>
    <row r="200" customFormat="false" ht="15" hidden="false" customHeight="false" outlineLevel="0" collapsed="false">
      <c r="A200" s="8" t="n">
        <v>199</v>
      </c>
      <c r="B200" s="8" t="s">
        <v>511</v>
      </c>
      <c r="C200" s="8"/>
      <c r="D200" s="8" t="s">
        <v>701</v>
      </c>
      <c r="E200" s="7" t="s">
        <v>702</v>
      </c>
      <c r="F200" s="7" t="s">
        <v>189</v>
      </c>
      <c r="G200" s="8" t="s">
        <v>190</v>
      </c>
      <c r="H200" s="9" t="s">
        <v>190</v>
      </c>
      <c r="I200" s="9"/>
      <c r="J200" s="9" t="s">
        <v>509</v>
      </c>
      <c r="K200" s="9" t="s">
        <v>191</v>
      </c>
      <c r="L200" s="8"/>
      <c r="M200" s="8"/>
      <c r="N200" s="8"/>
      <c r="O200" s="8" t="s">
        <v>703</v>
      </c>
      <c r="P200" s="10" t="n">
        <f aca="false">IF($H200="숙박",0,IF($H200=MID(P$1,3,20),IF($I200="",1,0.6),IF($I200=MID(P$1,3,20),0.4,0)))</f>
        <v>1</v>
      </c>
      <c r="Q200" s="10" t="n">
        <f aca="false">IF($H200="숙박",0,IF($H200=MID(Q$1,3,20),IF($I200="",1,0.6),IF($I200=MID(Q$1,3,20),0.4,0)))</f>
        <v>0</v>
      </c>
      <c r="R200" s="10" t="n">
        <f aca="false">IF($H200="숙박",0,IF($H200=MID(R$1,3,20),IF($I200="",1,0.6),IF($I200=MID(R$1,3,20),0.4,0)))</f>
        <v>0</v>
      </c>
      <c r="S200" s="10" t="n">
        <f aca="false">IF($H200="숙박",0,IF($H200=MID(S$1,3,20),IF($I200="",1,0.6),IF($I200=MID(S$1,3,20),0.4,0)))</f>
        <v>0</v>
      </c>
      <c r="T200" s="10" t="n">
        <f aca="false">IF($H200="숙박",0,IF($H200=MID(T$1,3,20),IF($I200="",1,0.6),IF($I200=MID(T$1,3,20),0.4,0)))</f>
        <v>0</v>
      </c>
      <c r="U200" s="10" t="n">
        <f aca="false">IF($H200="숙박",0,IF(ISNUMBER(SEARCH("야경",$J200)),1,0))</f>
        <v>1</v>
      </c>
      <c r="V200" s="10" t="n">
        <f aca="false">IF($H200="숙박",0,1)</f>
        <v>1</v>
      </c>
    </row>
    <row r="201" customFormat="false" ht="15" hidden="false" customHeight="false" outlineLevel="0" collapsed="false">
      <c r="A201" s="8" t="n">
        <v>200</v>
      </c>
      <c r="B201" s="8" t="s">
        <v>45</v>
      </c>
      <c r="C201" s="8"/>
      <c r="D201" s="8" t="s">
        <v>704</v>
      </c>
      <c r="E201" s="7" t="s">
        <v>705</v>
      </c>
      <c r="F201" s="8" t="s">
        <v>199</v>
      </c>
      <c r="G201" s="8" t="s">
        <v>184</v>
      </c>
      <c r="H201" s="9" t="s">
        <v>184</v>
      </c>
      <c r="I201" s="9"/>
      <c r="J201" s="9" t="s">
        <v>509</v>
      </c>
      <c r="K201" s="9" t="s">
        <v>191</v>
      </c>
      <c r="L201" s="8"/>
      <c r="M201" s="8"/>
      <c r="N201" s="8"/>
      <c r="O201" s="8" t="s">
        <v>706</v>
      </c>
      <c r="P201" s="10" t="n">
        <f aca="false">IF($H201="숙박",0,IF($H201=MID(P$1,3,20),IF($I201="",1,0.6),IF($I201=MID(P$1,3,20),0.4,0)))</f>
        <v>0</v>
      </c>
      <c r="Q201" s="10" t="n">
        <f aca="false">IF($H201="숙박",0,IF($H201=MID(Q$1,3,20),IF($I201="",1,0.6),IF($I201=MID(Q$1,3,20),0.4,0)))</f>
        <v>0</v>
      </c>
      <c r="R201" s="10" t="n">
        <f aca="false">IF($H201="숙박",0,IF($H201=MID(R$1,3,20),IF($I201="",1,0.6),IF($I201=MID(R$1,3,20),0.4,0)))</f>
        <v>1</v>
      </c>
      <c r="S201" s="10" t="n">
        <f aca="false">IF($H201="숙박",0,IF($H201=MID(S$1,3,20),IF($I201="",1,0.6),IF($I201=MID(S$1,3,20),0.4,0)))</f>
        <v>0</v>
      </c>
      <c r="T201" s="10" t="n">
        <f aca="false">IF($H201="숙박",0,IF($H201=MID(T$1,3,20),IF($I201="",1,0.6),IF($I201=MID(T$1,3,20),0.4,0)))</f>
        <v>0</v>
      </c>
      <c r="U201" s="10" t="n">
        <f aca="false">IF($H201="숙박",0,IF(ISNUMBER(SEARCH("야경",$J201)),1,0))</f>
        <v>1</v>
      </c>
      <c r="V201" s="10" t="n">
        <f aca="false">IF($H201="숙박",0,1)</f>
        <v>1</v>
      </c>
    </row>
    <row r="202" customFormat="false" ht="15" hidden="false" customHeight="false" outlineLevel="0" collapsed="false">
      <c r="A202" s="8" t="n">
        <v>201</v>
      </c>
      <c r="B202" s="8" t="s">
        <v>45</v>
      </c>
      <c r="C202" s="8"/>
      <c r="D202" s="8" t="s">
        <v>707</v>
      </c>
      <c r="E202" s="7" t="s">
        <v>708</v>
      </c>
      <c r="F202" s="8" t="s">
        <v>59</v>
      </c>
      <c r="G202" s="8" t="s">
        <v>190</v>
      </c>
      <c r="H202" s="9" t="s">
        <v>190</v>
      </c>
      <c r="I202" s="9"/>
      <c r="J202" s="9" t="s">
        <v>523</v>
      </c>
      <c r="K202" s="9" t="s">
        <v>191</v>
      </c>
      <c r="L202" s="8"/>
      <c r="M202" s="8"/>
      <c r="N202" s="8"/>
      <c r="O202" s="8" t="s">
        <v>709</v>
      </c>
      <c r="P202" s="10" t="n">
        <f aca="false">IF($H202="숙박",0,IF($H202=MID(P$1,3,20),IF($I202="",1,0.6),IF($I202=MID(P$1,3,20),0.4,0)))</f>
        <v>1</v>
      </c>
      <c r="Q202" s="10" t="n">
        <f aca="false">IF($H202="숙박",0,IF($H202=MID(Q$1,3,20),IF($I202="",1,0.6),IF($I202=MID(Q$1,3,20),0.4,0)))</f>
        <v>0</v>
      </c>
      <c r="R202" s="10" t="n">
        <f aca="false">IF($H202="숙박",0,IF($H202=MID(R$1,3,20),IF($I202="",1,0.6),IF($I202=MID(R$1,3,20),0.4,0)))</f>
        <v>0</v>
      </c>
      <c r="S202" s="10" t="n">
        <f aca="false">IF($H202="숙박",0,IF($H202=MID(S$1,3,20),IF($I202="",1,0.6),IF($I202=MID(S$1,3,20),0.4,0)))</f>
        <v>0</v>
      </c>
      <c r="T202" s="10" t="n">
        <f aca="false">IF($H202="숙박",0,IF($H202=MID(T$1,3,20),IF($I202="",1,0.6),IF($I202=MID(T$1,3,20),0.4,0)))</f>
        <v>0</v>
      </c>
      <c r="U202" s="10" t="n">
        <f aca="false">IF($H202="숙박",0,IF(ISNUMBER(SEARCH("야경",$J202)),1,0))</f>
        <v>0</v>
      </c>
      <c r="V202" s="10" t="n">
        <f aca="false">IF($H202="숙박",0,1)</f>
        <v>1</v>
      </c>
    </row>
    <row r="203" customFormat="false" ht="15" hidden="false" customHeight="false" outlineLevel="0" collapsed="false">
      <c r="A203" s="8" t="n">
        <v>202</v>
      </c>
      <c r="B203" s="8" t="s">
        <v>45</v>
      </c>
      <c r="C203" s="8"/>
      <c r="D203" s="8" t="s">
        <v>710</v>
      </c>
      <c r="E203" s="7" t="s">
        <v>711</v>
      </c>
      <c r="F203" s="8" t="s">
        <v>48</v>
      </c>
      <c r="G203" s="8" t="s">
        <v>49</v>
      </c>
      <c r="H203" s="9" t="s">
        <v>49</v>
      </c>
      <c r="I203" s="9"/>
      <c r="J203" s="9" t="s">
        <v>479</v>
      </c>
      <c r="K203" s="9" t="s">
        <v>52</v>
      </c>
      <c r="L203" s="8"/>
      <c r="M203" s="8"/>
      <c r="N203" s="8"/>
      <c r="O203" s="8" t="s">
        <v>712</v>
      </c>
      <c r="P203" s="10" t="n">
        <f aca="false">IF($H203="숙박",0,IF($H203=MID(P$1,3,20),IF($I203="",1,0.6),IF($I203=MID(P$1,3,20),0.4,0)))</f>
        <v>0</v>
      </c>
      <c r="Q203" s="10" t="n">
        <f aca="false">IF($H203="숙박",0,IF($H203=MID(Q$1,3,20),IF($I203="",1,0.6),IF($I203=MID(Q$1,3,20),0.4,0)))</f>
        <v>1</v>
      </c>
      <c r="R203" s="10" t="n">
        <f aca="false">IF($H203="숙박",0,IF($H203=MID(R$1,3,20),IF($I203="",1,0.6),IF($I203=MID(R$1,3,20),0.4,0)))</f>
        <v>0</v>
      </c>
      <c r="S203" s="10" t="n">
        <f aca="false">IF($H203="숙박",0,IF($H203=MID(S$1,3,20),IF($I203="",1,0.6),IF($I203=MID(S$1,3,20),0.4,0)))</f>
        <v>0</v>
      </c>
      <c r="T203" s="10" t="n">
        <f aca="false">IF($H203="숙박",0,IF($H203=MID(T$1,3,20),IF($I203="",1,0.6),IF($I203=MID(T$1,3,20),0.4,0)))</f>
        <v>0</v>
      </c>
      <c r="U203" s="10" t="n">
        <f aca="false">IF($H203="숙박",0,IF(ISNUMBER(SEARCH("야경",$J203)),1,0))</f>
        <v>0</v>
      </c>
      <c r="V203" s="10" t="n">
        <f aca="false">IF($H203="숙박",0,1)</f>
        <v>1</v>
      </c>
    </row>
    <row r="204" customFormat="false" ht="15" hidden="false" customHeight="false" outlineLevel="0" collapsed="false">
      <c r="A204" s="8" t="n">
        <v>203</v>
      </c>
      <c r="B204" s="8" t="s">
        <v>511</v>
      </c>
      <c r="C204" s="8"/>
      <c r="D204" s="8" t="s">
        <v>713</v>
      </c>
      <c r="E204" s="7" t="s">
        <v>714</v>
      </c>
      <c r="F204" s="7" t="s">
        <v>189</v>
      </c>
      <c r="G204" s="8" t="s">
        <v>49</v>
      </c>
      <c r="H204" s="9" t="s">
        <v>49</v>
      </c>
      <c r="I204" s="9"/>
      <c r="J204" s="9" t="s">
        <v>479</v>
      </c>
      <c r="K204" s="9" t="s">
        <v>52</v>
      </c>
      <c r="L204" s="8"/>
      <c r="M204" s="8"/>
      <c r="N204" s="8"/>
      <c r="O204" s="8" t="s">
        <v>715</v>
      </c>
      <c r="P204" s="10" t="n">
        <f aca="false">IF($H204="숙박",0,IF($H204=MID(P$1,3,20),IF($I204="",1,0.6),IF($I204=MID(P$1,3,20),0.4,0)))</f>
        <v>0</v>
      </c>
      <c r="Q204" s="10" t="n">
        <f aca="false">IF($H204="숙박",0,IF($H204=MID(Q$1,3,20),IF($I204="",1,0.6),IF($I204=MID(Q$1,3,20),0.4,0)))</f>
        <v>1</v>
      </c>
      <c r="R204" s="10" t="n">
        <f aca="false">IF($H204="숙박",0,IF($H204=MID(R$1,3,20),IF($I204="",1,0.6),IF($I204=MID(R$1,3,20),0.4,0)))</f>
        <v>0</v>
      </c>
      <c r="S204" s="10" t="n">
        <f aca="false">IF($H204="숙박",0,IF($H204=MID(S$1,3,20),IF($I204="",1,0.6),IF($I204=MID(S$1,3,20),0.4,0)))</f>
        <v>0</v>
      </c>
      <c r="T204" s="10" t="n">
        <f aca="false">IF($H204="숙박",0,IF($H204=MID(T$1,3,20),IF($I204="",1,0.6),IF($I204=MID(T$1,3,20),0.4,0)))</f>
        <v>0</v>
      </c>
      <c r="U204" s="10" t="n">
        <f aca="false">IF($H204="숙박",0,IF(ISNUMBER(SEARCH("야경",$J204)),1,0))</f>
        <v>0</v>
      </c>
      <c r="V204" s="10" t="n">
        <f aca="false">IF($H204="숙박",0,1)</f>
        <v>1</v>
      </c>
    </row>
    <row r="205" customFormat="false" ht="15" hidden="false" customHeight="false" outlineLevel="0" collapsed="false">
      <c r="A205" s="8" t="n">
        <v>204</v>
      </c>
      <c r="B205" s="8" t="s">
        <v>45</v>
      </c>
      <c r="C205" s="8" t="s">
        <v>688</v>
      </c>
      <c r="D205" s="8" t="s">
        <v>716</v>
      </c>
      <c r="E205" s="7" t="s">
        <v>717</v>
      </c>
      <c r="F205" s="7" t="s">
        <v>189</v>
      </c>
      <c r="G205" s="8" t="s">
        <v>216</v>
      </c>
      <c r="H205" s="9" t="s">
        <v>216</v>
      </c>
      <c r="I205" s="9" t="s">
        <v>50</v>
      </c>
      <c r="J205" s="9" t="s">
        <v>51</v>
      </c>
      <c r="K205" s="9" t="s">
        <v>191</v>
      </c>
      <c r="L205" s="8"/>
      <c r="M205" s="8"/>
      <c r="N205" s="8" t="s">
        <v>185</v>
      </c>
      <c r="O205" s="8" t="s">
        <v>718</v>
      </c>
      <c r="P205" s="10" t="n">
        <f aca="false">IF($H205="숙박",0,IF($H205=MID(P$1,3,20),IF($I205="",1,0.6),IF($I205=MID(P$1,3,20),0.4,0)))</f>
        <v>0</v>
      </c>
      <c r="Q205" s="10" t="n">
        <f aca="false">IF($H205="숙박",0,IF($H205=MID(Q$1,3,20),IF($I205="",1,0.6),IF($I205=MID(Q$1,3,20),0.4,0)))</f>
        <v>0</v>
      </c>
      <c r="R205" s="10" t="n">
        <f aca="false">IF($H205="숙박",0,IF($H205=MID(R$1,3,20),IF($I205="",1,0.6),IF($I205=MID(R$1,3,20),0.4,0)))</f>
        <v>0</v>
      </c>
      <c r="S205" s="10" t="n">
        <f aca="false">IF($H205="숙박",0,IF($H205=MID(S$1,3,20),IF($I205="",1,0.6),IF($I205=MID(S$1,3,20),0.4,0)))</f>
        <v>0.6</v>
      </c>
      <c r="T205" s="10" t="n">
        <f aca="false">IF($H205="숙박",0,IF($H205=MID(T$1,3,20),IF($I205="",1,0.6),IF($I205=MID(T$1,3,20),0.4,0)))</f>
        <v>0.4</v>
      </c>
      <c r="U205" s="10" t="n">
        <f aca="false">IF($H205="숙박",0,IF(ISNUMBER(SEARCH("야경",$J205)),1,0))</f>
        <v>0</v>
      </c>
      <c r="V205" s="10" t="n">
        <f aca="false">IF($H205="숙박",0,1)</f>
        <v>1</v>
      </c>
    </row>
    <row r="206" customFormat="false" ht="15" hidden="false" customHeight="false" outlineLevel="0" collapsed="false">
      <c r="A206" s="8" t="n">
        <v>205</v>
      </c>
      <c r="B206" s="8" t="s">
        <v>511</v>
      </c>
      <c r="C206" s="8"/>
      <c r="D206" s="8" t="s">
        <v>719</v>
      </c>
      <c r="E206" s="7" t="s">
        <v>720</v>
      </c>
      <c r="F206" s="7" t="s">
        <v>189</v>
      </c>
      <c r="G206" s="8" t="s">
        <v>594</v>
      </c>
      <c r="H206" s="9" t="s">
        <v>594</v>
      </c>
      <c r="I206" s="9"/>
      <c r="J206" s="9"/>
      <c r="K206" s="9"/>
      <c r="L206" s="8"/>
      <c r="M206" s="8"/>
      <c r="N206" s="8" t="s">
        <v>595</v>
      </c>
      <c r="O206" s="8" t="s">
        <v>721</v>
      </c>
      <c r="P206" s="10" t="n">
        <f aca="false">IF($H206="숙박",0,IF($H206=MID(P$1,3,20),IF($I206="",1,0.6),IF($I206=MID(P$1,3,20),0.4,0)))</f>
        <v>0</v>
      </c>
      <c r="Q206" s="10" t="n">
        <f aca="false">IF($H206="숙박",0,IF($H206=MID(Q$1,3,20),IF($I206="",1,0.6),IF($I206=MID(Q$1,3,20),0.4,0)))</f>
        <v>0</v>
      </c>
      <c r="R206" s="10" t="n">
        <f aca="false">IF($H206="숙박",0,IF($H206=MID(R$1,3,20),IF($I206="",1,0.6),IF($I206=MID(R$1,3,20),0.4,0)))</f>
        <v>0</v>
      </c>
      <c r="S206" s="10" t="n">
        <f aca="false">IF($H206="숙박",0,IF($H206=MID(S$1,3,20),IF($I206="",1,0.6),IF($I206=MID(S$1,3,20),0.4,0)))</f>
        <v>0</v>
      </c>
      <c r="T206" s="10" t="n">
        <f aca="false">IF($H206="숙박",0,IF($H206=MID(T$1,3,20),IF($I206="",1,0.6),IF($I206=MID(T$1,3,20),0.4,0)))</f>
        <v>0</v>
      </c>
      <c r="U206" s="10" t="n">
        <f aca="false">IF($H206="숙박",0,IF(ISNUMBER(SEARCH("야경",$J206)),1,0))</f>
        <v>0</v>
      </c>
      <c r="V206" s="10" t="n">
        <f aca="false">IF($H206="숙박",0,1)</f>
        <v>0</v>
      </c>
    </row>
    <row r="207" customFormat="false" ht="15" hidden="false" customHeight="false" outlineLevel="0" collapsed="false">
      <c r="A207" s="8" t="n">
        <v>206</v>
      </c>
      <c r="B207" s="8" t="s">
        <v>485</v>
      </c>
      <c r="C207" s="8"/>
      <c r="D207" s="8" t="s">
        <v>722</v>
      </c>
      <c r="E207" s="7" t="s">
        <v>723</v>
      </c>
      <c r="F207" s="8" t="s">
        <v>199</v>
      </c>
      <c r="G207" s="8" t="s">
        <v>49</v>
      </c>
      <c r="H207" s="9" t="s">
        <v>49</v>
      </c>
      <c r="I207" s="9"/>
      <c r="J207" s="9" t="s">
        <v>509</v>
      </c>
      <c r="K207" s="9" t="s">
        <v>52</v>
      </c>
      <c r="L207" s="8"/>
      <c r="M207" s="8"/>
      <c r="N207" s="8"/>
      <c r="O207" s="8" t="s">
        <v>724</v>
      </c>
      <c r="P207" s="10" t="n">
        <f aca="false">IF($H207="숙박",0,IF($H207=MID(P$1,3,20),IF($I207="",1,0.6),IF($I207=MID(P$1,3,20),0.4,0)))</f>
        <v>0</v>
      </c>
      <c r="Q207" s="10" t="n">
        <f aca="false">IF($H207="숙박",0,IF($H207=MID(Q$1,3,20),IF($I207="",1,0.6),IF($I207=MID(Q$1,3,20),0.4,0)))</f>
        <v>1</v>
      </c>
      <c r="R207" s="10" t="n">
        <f aca="false">IF($H207="숙박",0,IF($H207=MID(R$1,3,20),IF($I207="",1,0.6),IF($I207=MID(R$1,3,20),0.4,0)))</f>
        <v>0</v>
      </c>
      <c r="S207" s="10" t="n">
        <f aca="false">IF($H207="숙박",0,IF($H207=MID(S$1,3,20),IF($I207="",1,0.6),IF($I207=MID(S$1,3,20),0.4,0)))</f>
        <v>0</v>
      </c>
      <c r="T207" s="10" t="n">
        <f aca="false">IF($H207="숙박",0,IF($H207=MID(T$1,3,20),IF($I207="",1,0.6),IF($I207=MID(T$1,3,20),0.4,0)))</f>
        <v>0</v>
      </c>
      <c r="U207" s="10" t="n">
        <f aca="false">IF($H207="숙박",0,IF(ISNUMBER(SEARCH("야경",$J207)),1,0))</f>
        <v>1</v>
      </c>
      <c r="V207" s="10" t="n">
        <f aca="false">IF($H207="숙박",0,1)</f>
        <v>1</v>
      </c>
    </row>
    <row r="208" customFormat="false" ht="15" hidden="false" customHeight="false" outlineLevel="0" collapsed="false">
      <c r="A208" s="8" t="n">
        <v>207</v>
      </c>
      <c r="B208" s="8" t="s">
        <v>45</v>
      </c>
      <c r="C208" s="8"/>
      <c r="D208" s="8" t="s">
        <v>725</v>
      </c>
      <c r="E208" s="7" t="s">
        <v>726</v>
      </c>
      <c r="F208" s="8" t="s">
        <v>567</v>
      </c>
      <c r="G208" s="8" t="s">
        <v>184</v>
      </c>
      <c r="H208" s="9" t="s">
        <v>184</v>
      </c>
      <c r="I208" s="9" t="s">
        <v>190</v>
      </c>
      <c r="J208" s="9" t="s">
        <v>523</v>
      </c>
      <c r="K208" s="9" t="s">
        <v>191</v>
      </c>
      <c r="L208" s="8"/>
      <c r="M208" s="8"/>
      <c r="N208" s="8" t="s">
        <v>483</v>
      </c>
      <c r="O208" s="8" t="s">
        <v>727</v>
      </c>
      <c r="P208" s="10" t="n">
        <f aca="false">IF($H208="숙박",0,IF($H208=MID(P$1,3,20),IF($I208="",1,0.6),IF($I208=MID(P$1,3,20),0.4,0)))</f>
        <v>0.4</v>
      </c>
      <c r="Q208" s="10" t="n">
        <f aca="false">IF($H208="숙박",0,IF($H208=MID(Q$1,3,20),IF($I208="",1,0.6),IF($I208=MID(Q$1,3,20),0.4,0)))</f>
        <v>0</v>
      </c>
      <c r="R208" s="10" t="n">
        <f aca="false">IF($H208="숙박",0,IF($H208=MID(R$1,3,20),IF($I208="",1,0.6),IF($I208=MID(R$1,3,20),0.4,0)))</f>
        <v>0.6</v>
      </c>
      <c r="S208" s="10" t="n">
        <f aca="false">IF($H208="숙박",0,IF($H208=MID(S$1,3,20),IF($I208="",1,0.6),IF($I208=MID(S$1,3,20),0.4,0)))</f>
        <v>0</v>
      </c>
      <c r="T208" s="10" t="n">
        <f aca="false">IF($H208="숙박",0,IF($H208=MID(T$1,3,20),IF($I208="",1,0.6),IF($I208=MID(T$1,3,20),0.4,0)))</f>
        <v>0</v>
      </c>
      <c r="U208" s="10" t="n">
        <f aca="false">IF($H208="숙박",0,IF(ISNUMBER(SEARCH("야경",$J208)),1,0))</f>
        <v>0</v>
      </c>
      <c r="V208" s="10" t="n">
        <f aca="false">IF($H208="숙박",0,1)</f>
        <v>1</v>
      </c>
    </row>
    <row r="209" customFormat="false" ht="15" hidden="false" customHeight="false" outlineLevel="0" collapsed="false">
      <c r="A209" s="8" t="n">
        <v>208</v>
      </c>
      <c r="B209" s="8" t="s">
        <v>485</v>
      </c>
      <c r="C209" s="8"/>
      <c r="D209" s="8" t="s">
        <v>728</v>
      </c>
      <c r="E209" s="7" t="s">
        <v>729</v>
      </c>
      <c r="F209" s="8" t="s">
        <v>199</v>
      </c>
      <c r="G209" s="8" t="s">
        <v>184</v>
      </c>
      <c r="H209" s="9" t="s">
        <v>184</v>
      </c>
      <c r="I209" s="9"/>
      <c r="J209" s="9" t="s">
        <v>509</v>
      </c>
      <c r="K209" s="9" t="s">
        <v>191</v>
      </c>
      <c r="L209" s="8"/>
      <c r="M209" s="8"/>
      <c r="N209" s="8"/>
      <c r="O209" s="8" t="s">
        <v>730</v>
      </c>
      <c r="P209" s="10" t="n">
        <f aca="false">IF($H209="숙박",0,IF($H209=MID(P$1,3,20),IF($I209="",1,0.6),IF($I209=MID(P$1,3,20),0.4,0)))</f>
        <v>0</v>
      </c>
      <c r="Q209" s="10" t="n">
        <f aca="false">IF($H209="숙박",0,IF($H209=MID(Q$1,3,20),IF($I209="",1,0.6),IF($I209=MID(Q$1,3,20),0.4,0)))</f>
        <v>0</v>
      </c>
      <c r="R209" s="10" t="n">
        <f aca="false">IF($H209="숙박",0,IF($H209=MID(R$1,3,20),IF($I209="",1,0.6),IF($I209=MID(R$1,3,20),0.4,0)))</f>
        <v>1</v>
      </c>
      <c r="S209" s="10" t="n">
        <f aca="false">IF($H209="숙박",0,IF($H209=MID(S$1,3,20),IF($I209="",1,0.6),IF($I209=MID(S$1,3,20),0.4,0)))</f>
        <v>0</v>
      </c>
      <c r="T209" s="10" t="n">
        <f aca="false">IF($H209="숙박",0,IF($H209=MID(T$1,3,20),IF($I209="",1,0.6),IF($I209=MID(T$1,3,20),0.4,0)))</f>
        <v>0</v>
      </c>
      <c r="U209" s="10" t="n">
        <f aca="false">IF($H209="숙박",0,IF(ISNUMBER(SEARCH("야경",$J209)),1,0))</f>
        <v>1</v>
      </c>
      <c r="V209" s="10" t="n">
        <f aca="false">IF($H209="숙박",0,1)</f>
        <v>1</v>
      </c>
    </row>
    <row r="210" customFormat="false" ht="15" hidden="false" customHeight="false" outlineLevel="0" collapsed="false">
      <c r="A210" s="8" t="n">
        <v>209</v>
      </c>
      <c r="B210" s="8" t="s">
        <v>45</v>
      </c>
      <c r="C210" s="8"/>
      <c r="D210" s="8" t="s">
        <v>731</v>
      </c>
      <c r="E210" s="7" t="s">
        <v>732</v>
      </c>
      <c r="F210" s="8" t="s">
        <v>199</v>
      </c>
      <c r="G210" s="8" t="s">
        <v>184</v>
      </c>
      <c r="H210" s="9" t="s">
        <v>184</v>
      </c>
      <c r="I210" s="9"/>
      <c r="J210" s="9" t="s">
        <v>523</v>
      </c>
      <c r="K210" s="9" t="s">
        <v>191</v>
      </c>
      <c r="L210" s="8"/>
      <c r="M210" s="8"/>
      <c r="N210" s="8"/>
      <c r="O210" s="8" t="s">
        <v>733</v>
      </c>
      <c r="P210" s="10" t="n">
        <f aca="false">IF($H210="숙박",0,IF($H210=MID(P$1,3,20),IF($I210="",1,0.6),IF($I210=MID(P$1,3,20),0.4,0)))</f>
        <v>0</v>
      </c>
      <c r="Q210" s="10" t="n">
        <f aca="false">IF($H210="숙박",0,IF($H210=MID(Q$1,3,20),IF($I210="",1,0.6),IF($I210=MID(Q$1,3,20),0.4,0)))</f>
        <v>0</v>
      </c>
      <c r="R210" s="10" t="n">
        <f aca="false">IF($H210="숙박",0,IF($H210=MID(R$1,3,20),IF($I210="",1,0.6),IF($I210=MID(R$1,3,20),0.4,0)))</f>
        <v>1</v>
      </c>
      <c r="S210" s="10" t="n">
        <f aca="false">IF($H210="숙박",0,IF($H210=MID(S$1,3,20),IF($I210="",1,0.6),IF($I210=MID(S$1,3,20),0.4,0)))</f>
        <v>0</v>
      </c>
      <c r="T210" s="10" t="n">
        <f aca="false">IF($H210="숙박",0,IF($H210=MID(T$1,3,20),IF($I210="",1,0.6),IF($I210=MID(T$1,3,20),0.4,0)))</f>
        <v>0</v>
      </c>
      <c r="U210" s="10" t="n">
        <f aca="false">IF($H210="숙박",0,IF(ISNUMBER(SEARCH("야경",$J210)),1,0))</f>
        <v>0</v>
      </c>
      <c r="V210" s="10" t="n">
        <f aca="false">IF($H210="숙박",0,1)</f>
        <v>1</v>
      </c>
    </row>
    <row r="211" customFormat="false" ht="15" hidden="false" customHeight="false" outlineLevel="0" collapsed="false">
      <c r="A211" s="8" t="n">
        <v>210</v>
      </c>
      <c r="B211" s="8" t="s">
        <v>511</v>
      </c>
      <c r="C211" s="8"/>
      <c r="D211" s="8" t="s">
        <v>734</v>
      </c>
      <c r="E211" s="7" t="s">
        <v>735</v>
      </c>
      <c r="F211" s="7" t="s">
        <v>189</v>
      </c>
      <c r="G211" s="8" t="s">
        <v>50</v>
      </c>
      <c r="H211" s="9" t="s">
        <v>50</v>
      </c>
      <c r="I211" s="9"/>
      <c r="J211" s="9" t="s">
        <v>51</v>
      </c>
      <c r="K211" s="9" t="s">
        <v>52</v>
      </c>
      <c r="L211" s="8"/>
      <c r="M211" s="8"/>
      <c r="N211" s="8"/>
      <c r="O211" s="8" t="s">
        <v>736</v>
      </c>
      <c r="P211" s="10" t="n">
        <f aca="false">IF($H211="숙박",0,IF($H211=MID(P$1,3,20),IF($I211="",1,0.6),IF($I211=MID(P$1,3,20),0.4,0)))</f>
        <v>0</v>
      </c>
      <c r="Q211" s="10" t="n">
        <f aca="false">IF($H211="숙박",0,IF($H211=MID(Q$1,3,20),IF($I211="",1,0.6),IF($I211=MID(Q$1,3,20),0.4,0)))</f>
        <v>0</v>
      </c>
      <c r="R211" s="10" t="n">
        <f aca="false">IF($H211="숙박",0,IF($H211=MID(R$1,3,20),IF($I211="",1,0.6),IF($I211=MID(R$1,3,20),0.4,0)))</f>
        <v>0</v>
      </c>
      <c r="S211" s="10" t="n">
        <f aca="false">IF($H211="숙박",0,IF($H211=MID(S$1,3,20),IF($I211="",1,0.6),IF($I211=MID(S$1,3,20),0.4,0)))</f>
        <v>0</v>
      </c>
      <c r="T211" s="10" t="n">
        <f aca="false">IF($H211="숙박",0,IF($H211=MID(T$1,3,20),IF($I211="",1,0.6),IF($I211=MID(T$1,3,20),0.4,0)))</f>
        <v>1</v>
      </c>
      <c r="U211" s="10" t="n">
        <f aca="false">IF($H211="숙박",0,IF(ISNUMBER(SEARCH("야경",$J211)),1,0))</f>
        <v>0</v>
      </c>
      <c r="V211" s="10" t="n">
        <f aca="false">IF($H211="숙박",0,1)</f>
        <v>1</v>
      </c>
    </row>
    <row r="212" customFormat="false" ht="15" hidden="false" customHeight="false" outlineLevel="0" collapsed="false">
      <c r="A212" s="8" t="n">
        <v>211</v>
      </c>
      <c r="B212" s="8" t="s">
        <v>45</v>
      </c>
      <c r="C212" s="8"/>
      <c r="D212" s="8" t="s">
        <v>737</v>
      </c>
      <c r="E212" s="7" t="s">
        <v>738</v>
      </c>
      <c r="F212" s="8" t="s">
        <v>199</v>
      </c>
      <c r="G212" s="8" t="s">
        <v>216</v>
      </c>
      <c r="H212" s="9" t="s">
        <v>216</v>
      </c>
      <c r="I212" s="9" t="s">
        <v>49</v>
      </c>
      <c r="J212" s="9" t="s">
        <v>479</v>
      </c>
      <c r="K212" s="9" t="s">
        <v>52</v>
      </c>
      <c r="L212" s="8"/>
      <c r="M212" s="8"/>
      <c r="N212" s="8" t="s">
        <v>483</v>
      </c>
      <c r="O212" s="8" t="s">
        <v>739</v>
      </c>
      <c r="P212" s="10" t="n">
        <f aca="false">IF($H212="숙박",0,IF($H212=MID(P$1,3,20),IF($I212="",1,0.6),IF($I212=MID(P$1,3,20),0.4,0)))</f>
        <v>0</v>
      </c>
      <c r="Q212" s="10" t="n">
        <f aca="false">IF($H212="숙박",0,IF($H212=MID(Q$1,3,20),IF($I212="",1,0.6),IF($I212=MID(Q$1,3,20),0.4,0)))</f>
        <v>0.4</v>
      </c>
      <c r="R212" s="10" t="n">
        <f aca="false">IF($H212="숙박",0,IF($H212=MID(R$1,3,20),IF($I212="",1,0.6),IF($I212=MID(R$1,3,20),0.4,0)))</f>
        <v>0</v>
      </c>
      <c r="S212" s="10" t="n">
        <f aca="false">IF($H212="숙박",0,IF($H212=MID(S$1,3,20),IF($I212="",1,0.6),IF($I212=MID(S$1,3,20),0.4,0)))</f>
        <v>0.6</v>
      </c>
      <c r="T212" s="10" t="n">
        <f aca="false">IF($H212="숙박",0,IF($H212=MID(T$1,3,20),IF($I212="",1,0.6),IF($I212=MID(T$1,3,20),0.4,0)))</f>
        <v>0</v>
      </c>
      <c r="U212" s="10" t="n">
        <f aca="false">IF($H212="숙박",0,IF(ISNUMBER(SEARCH("야경",$J212)),1,0))</f>
        <v>0</v>
      </c>
      <c r="V212" s="10" t="n">
        <f aca="false">IF($H212="숙박",0,1)</f>
        <v>1</v>
      </c>
    </row>
    <row r="213" customFormat="false" ht="15" hidden="false" customHeight="false" outlineLevel="0" collapsed="false">
      <c r="A213" s="8" t="n">
        <v>212</v>
      </c>
      <c r="B213" s="8" t="s">
        <v>511</v>
      </c>
      <c r="C213" s="8"/>
      <c r="D213" s="8" t="s">
        <v>740</v>
      </c>
      <c r="E213" s="7" t="s">
        <v>741</v>
      </c>
      <c r="F213" s="7" t="s">
        <v>189</v>
      </c>
      <c r="G213" s="8" t="s">
        <v>50</v>
      </c>
      <c r="H213" s="9" t="s">
        <v>50</v>
      </c>
      <c r="I213" s="9"/>
      <c r="J213" s="9" t="s">
        <v>51</v>
      </c>
      <c r="K213" s="9" t="s">
        <v>52</v>
      </c>
      <c r="L213" s="8"/>
      <c r="M213" s="8"/>
      <c r="N213" s="8"/>
      <c r="O213" s="8" t="s">
        <v>742</v>
      </c>
      <c r="P213" s="10" t="n">
        <f aca="false">IF($H213="숙박",0,IF($H213=MID(P$1,3,20),IF($I213="",1,0.6),IF($I213=MID(P$1,3,20),0.4,0)))</f>
        <v>0</v>
      </c>
      <c r="Q213" s="10" t="n">
        <f aca="false">IF($H213="숙박",0,IF($H213=MID(Q$1,3,20),IF($I213="",1,0.6),IF($I213=MID(Q$1,3,20),0.4,0)))</f>
        <v>0</v>
      </c>
      <c r="R213" s="10" t="n">
        <f aca="false">IF($H213="숙박",0,IF($H213=MID(R$1,3,20),IF($I213="",1,0.6),IF($I213=MID(R$1,3,20),0.4,0)))</f>
        <v>0</v>
      </c>
      <c r="S213" s="10" t="n">
        <f aca="false">IF($H213="숙박",0,IF($H213=MID(S$1,3,20),IF($I213="",1,0.6),IF($I213=MID(S$1,3,20),0.4,0)))</f>
        <v>0</v>
      </c>
      <c r="T213" s="10" t="n">
        <f aca="false">IF($H213="숙박",0,IF($H213=MID(T$1,3,20),IF($I213="",1,0.6),IF($I213=MID(T$1,3,20),0.4,0)))</f>
        <v>1</v>
      </c>
      <c r="U213" s="10" t="n">
        <f aca="false">IF($H213="숙박",0,IF(ISNUMBER(SEARCH("야경",$J213)),1,0))</f>
        <v>0</v>
      </c>
      <c r="V213" s="10" t="n">
        <f aca="false">IF($H213="숙박",0,1)</f>
        <v>1</v>
      </c>
    </row>
    <row r="214" customFormat="false" ht="15" hidden="false" customHeight="false" outlineLevel="0" collapsed="false">
      <c r="A214" s="8" t="n">
        <v>213</v>
      </c>
      <c r="B214" s="8" t="s">
        <v>485</v>
      </c>
      <c r="C214" s="8"/>
      <c r="D214" s="8" t="s">
        <v>743</v>
      </c>
      <c r="E214" s="7" t="s">
        <v>744</v>
      </c>
      <c r="F214" s="8" t="s">
        <v>199</v>
      </c>
      <c r="G214" s="8" t="s">
        <v>216</v>
      </c>
      <c r="H214" s="9" t="s">
        <v>216</v>
      </c>
      <c r="I214" s="9"/>
      <c r="J214" s="9" t="s">
        <v>479</v>
      </c>
      <c r="K214" s="9" t="s">
        <v>52</v>
      </c>
      <c r="L214" s="8"/>
      <c r="M214" s="8"/>
      <c r="N214" s="8"/>
      <c r="O214" s="8" t="s">
        <v>745</v>
      </c>
      <c r="P214" s="10" t="n">
        <f aca="false">IF($H214="숙박",0,IF($H214=MID(P$1,3,20),IF($I214="",1,0.6),IF($I214=MID(P$1,3,20),0.4,0)))</f>
        <v>0</v>
      </c>
      <c r="Q214" s="10" t="n">
        <f aca="false">IF($H214="숙박",0,IF($H214=MID(Q$1,3,20),IF($I214="",1,0.6),IF($I214=MID(Q$1,3,20),0.4,0)))</f>
        <v>0</v>
      </c>
      <c r="R214" s="10" t="n">
        <f aca="false">IF($H214="숙박",0,IF($H214=MID(R$1,3,20),IF($I214="",1,0.6),IF($I214=MID(R$1,3,20),0.4,0)))</f>
        <v>0</v>
      </c>
      <c r="S214" s="10" t="n">
        <f aca="false">IF($H214="숙박",0,IF($H214=MID(S$1,3,20),IF($I214="",1,0.6),IF($I214=MID(S$1,3,20),0.4,0)))</f>
        <v>1</v>
      </c>
      <c r="T214" s="10" t="n">
        <f aca="false">IF($H214="숙박",0,IF($H214=MID(T$1,3,20),IF($I214="",1,0.6),IF($I214=MID(T$1,3,20),0.4,0)))</f>
        <v>0</v>
      </c>
      <c r="U214" s="10" t="n">
        <f aca="false">IF($H214="숙박",0,IF(ISNUMBER(SEARCH("야경",$J214)),1,0))</f>
        <v>0</v>
      </c>
      <c r="V214" s="10" t="n">
        <f aca="false">IF($H214="숙박",0,1)</f>
        <v>1</v>
      </c>
    </row>
    <row r="215" customFormat="false" ht="15" hidden="false" customHeight="false" outlineLevel="0" collapsed="false">
      <c r="A215" s="8" t="n">
        <v>214</v>
      </c>
      <c r="B215" s="8" t="s">
        <v>45</v>
      </c>
      <c r="C215" s="8"/>
      <c r="D215" s="8" t="s">
        <v>746</v>
      </c>
      <c r="E215" s="7" t="s">
        <v>747</v>
      </c>
      <c r="F215" s="8" t="s">
        <v>199</v>
      </c>
      <c r="G215" s="8" t="s">
        <v>190</v>
      </c>
      <c r="H215" s="9" t="s">
        <v>190</v>
      </c>
      <c r="I215" s="9"/>
      <c r="J215" s="9" t="s">
        <v>479</v>
      </c>
      <c r="K215" s="9" t="s">
        <v>191</v>
      </c>
      <c r="L215" s="8"/>
      <c r="M215" s="8"/>
      <c r="N215" s="8"/>
      <c r="O215" s="7" t="s">
        <v>748</v>
      </c>
      <c r="P215" s="10" t="n">
        <f aca="false">IF($H215="숙박",0,IF($H215=MID(P$1,3,20),IF($I215="",1,0.6),IF($I215=MID(P$1,3,20),0.4,0)))</f>
        <v>1</v>
      </c>
      <c r="Q215" s="10" t="n">
        <f aca="false">IF($H215="숙박",0,IF($H215=MID(Q$1,3,20),IF($I215="",1,0.6),IF($I215=MID(Q$1,3,20),0.4,0)))</f>
        <v>0</v>
      </c>
      <c r="R215" s="10" t="n">
        <f aca="false">IF($H215="숙박",0,IF($H215=MID(R$1,3,20),IF($I215="",1,0.6),IF($I215=MID(R$1,3,20),0.4,0)))</f>
        <v>0</v>
      </c>
      <c r="S215" s="10" t="n">
        <f aca="false">IF($H215="숙박",0,IF($H215=MID(S$1,3,20),IF($I215="",1,0.6),IF($I215=MID(S$1,3,20),0.4,0)))</f>
        <v>0</v>
      </c>
      <c r="T215" s="10" t="n">
        <f aca="false">IF($H215="숙박",0,IF($H215=MID(T$1,3,20),IF($I215="",1,0.6),IF($I215=MID(T$1,3,20),0.4,0)))</f>
        <v>0</v>
      </c>
      <c r="U215" s="10" t="n">
        <f aca="false">IF($H215="숙박",0,IF(ISNUMBER(SEARCH("야경",$J215)),1,0))</f>
        <v>0</v>
      </c>
      <c r="V215" s="10" t="n">
        <f aca="false">IF($H215="숙박",0,1)</f>
        <v>1</v>
      </c>
    </row>
    <row r="216" customFormat="false" ht="15" hidden="false" customHeight="false" outlineLevel="0" collapsed="false">
      <c r="A216" s="8" t="n">
        <v>215</v>
      </c>
      <c r="B216" s="8" t="s">
        <v>45</v>
      </c>
      <c r="C216" s="8"/>
      <c r="D216" s="8" t="s">
        <v>749</v>
      </c>
      <c r="E216" s="7" t="s">
        <v>750</v>
      </c>
      <c r="F216" s="8" t="s">
        <v>199</v>
      </c>
      <c r="G216" s="8" t="s">
        <v>190</v>
      </c>
      <c r="H216" s="9" t="s">
        <v>190</v>
      </c>
      <c r="I216" s="9" t="s">
        <v>49</v>
      </c>
      <c r="J216" s="9" t="s">
        <v>479</v>
      </c>
      <c r="K216" s="9" t="s">
        <v>52</v>
      </c>
      <c r="L216" s="8"/>
      <c r="M216" s="8"/>
      <c r="N216" s="8" t="s">
        <v>483</v>
      </c>
      <c r="O216" s="8" t="s">
        <v>751</v>
      </c>
      <c r="P216" s="10" t="n">
        <f aca="false">IF($H216="숙박",0,IF($H216=MID(P$1,3,20),IF($I216="",1,0.6),IF($I216=MID(P$1,3,20),0.4,0)))</f>
        <v>0.6</v>
      </c>
      <c r="Q216" s="10" t="n">
        <f aca="false">IF($H216="숙박",0,IF($H216=MID(Q$1,3,20),IF($I216="",1,0.6),IF($I216=MID(Q$1,3,20),0.4,0)))</f>
        <v>0.4</v>
      </c>
      <c r="R216" s="10" t="n">
        <f aca="false">IF($H216="숙박",0,IF($H216=MID(R$1,3,20),IF($I216="",1,0.6),IF($I216=MID(R$1,3,20),0.4,0)))</f>
        <v>0</v>
      </c>
      <c r="S216" s="10" t="n">
        <f aca="false">IF($H216="숙박",0,IF($H216=MID(S$1,3,20),IF($I216="",1,0.6),IF($I216=MID(S$1,3,20),0.4,0)))</f>
        <v>0</v>
      </c>
      <c r="T216" s="10" t="n">
        <f aca="false">IF($H216="숙박",0,IF($H216=MID(T$1,3,20),IF($I216="",1,0.6),IF($I216=MID(T$1,3,20),0.4,0)))</f>
        <v>0</v>
      </c>
      <c r="U216" s="10" t="n">
        <f aca="false">IF($H216="숙박",0,IF(ISNUMBER(SEARCH("야경",$J216)),1,0))</f>
        <v>0</v>
      </c>
      <c r="V216" s="10" t="n">
        <f aca="false">IF($H216="숙박",0,1)</f>
        <v>1</v>
      </c>
    </row>
    <row r="217" customFormat="false" ht="15" hidden="false" customHeight="false" outlineLevel="0" collapsed="false">
      <c r="A217" s="8" t="n">
        <v>216</v>
      </c>
      <c r="B217" s="8" t="s">
        <v>45</v>
      </c>
      <c r="C217" s="8" t="s">
        <v>688</v>
      </c>
      <c r="D217" s="8" t="s">
        <v>752</v>
      </c>
      <c r="E217" s="7" t="s">
        <v>753</v>
      </c>
      <c r="F217" s="7" t="s">
        <v>189</v>
      </c>
      <c r="G217" s="8" t="s">
        <v>49</v>
      </c>
      <c r="H217" s="9" t="s">
        <v>49</v>
      </c>
      <c r="I217" s="9" t="s">
        <v>190</v>
      </c>
      <c r="J217" s="9" t="s">
        <v>479</v>
      </c>
      <c r="K217" s="9" t="s">
        <v>52</v>
      </c>
      <c r="L217" s="8"/>
      <c r="M217" s="8"/>
      <c r="N217" s="8" t="s">
        <v>483</v>
      </c>
      <c r="O217" s="8" t="s">
        <v>754</v>
      </c>
      <c r="P217" s="10" t="n">
        <f aca="false">IF($H217="숙박",0,IF($H217=MID(P$1,3,20),IF($I217="",1,0.6),IF($I217=MID(P$1,3,20),0.4,0)))</f>
        <v>0.4</v>
      </c>
      <c r="Q217" s="10" t="n">
        <f aca="false">IF($H217="숙박",0,IF($H217=MID(Q$1,3,20),IF($I217="",1,0.6),IF($I217=MID(Q$1,3,20),0.4,0)))</f>
        <v>0.6</v>
      </c>
      <c r="R217" s="10" t="n">
        <f aca="false">IF($H217="숙박",0,IF($H217=MID(R$1,3,20),IF($I217="",1,0.6),IF($I217=MID(R$1,3,20),0.4,0)))</f>
        <v>0</v>
      </c>
      <c r="S217" s="10" t="n">
        <f aca="false">IF($H217="숙박",0,IF($H217=MID(S$1,3,20),IF($I217="",1,0.6),IF($I217=MID(S$1,3,20),0.4,0)))</f>
        <v>0</v>
      </c>
      <c r="T217" s="10" t="n">
        <f aca="false">IF($H217="숙박",0,IF($H217=MID(T$1,3,20),IF($I217="",1,0.6),IF($I217=MID(T$1,3,20),0.4,0)))</f>
        <v>0</v>
      </c>
      <c r="U217" s="10" t="n">
        <f aca="false">IF($H217="숙박",0,IF(ISNUMBER(SEARCH("야경",$J217)),1,0))</f>
        <v>0</v>
      </c>
      <c r="V217" s="10" t="n">
        <f aca="false">IF($H217="숙박",0,1)</f>
        <v>1</v>
      </c>
    </row>
    <row r="218" customFormat="false" ht="15" hidden="false" customHeight="false" outlineLevel="0" collapsed="false">
      <c r="A218" s="8" t="n">
        <v>217</v>
      </c>
      <c r="B218" s="8" t="s">
        <v>45</v>
      </c>
      <c r="C218" s="8" t="s">
        <v>688</v>
      </c>
      <c r="D218" s="8" t="s">
        <v>755</v>
      </c>
      <c r="E218" s="7" t="s">
        <v>756</v>
      </c>
      <c r="F218" s="7" t="s">
        <v>189</v>
      </c>
      <c r="G218" s="8" t="s">
        <v>50</v>
      </c>
      <c r="H218" s="9" t="s">
        <v>50</v>
      </c>
      <c r="I218" s="9" t="s">
        <v>190</v>
      </c>
      <c r="J218" s="9" t="s">
        <v>51</v>
      </c>
      <c r="K218" s="9" t="s">
        <v>52</v>
      </c>
      <c r="L218" s="8"/>
      <c r="M218" s="8"/>
      <c r="N218" s="8" t="s">
        <v>483</v>
      </c>
      <c r="O218" s="8" t="s">
        <v>757</v>
      </c>
      <c r="P218" s="10" t="n">
        <f aca="false">IF($H218="숙박",0,IF($H218=MID(P$1,3,20),IF($I218="",1,0.6),IF($I218=MID(P$1,3,20),0.4,0)))</f>
        <v>0.4</v>
      </c>
      <c r="Q218" s="10" t="n">
        <f aca="false">IF($H218="숙박",0,IF($H218=MID(Q$1,3,20),IF($I218="",1,0.6),IF($I218=MID(Q$1,3,20),0.4,0)))</f>
        <v>0</v>
      </c>
      <c r="R218" s="10" t="n">
        <f aca="false">IF($H218="숙박",0,IF($H218=MID(R$1,3,20),IF($I218="",1,0.6),IF($I218=MID(R$1,3,20),0.4,0)))</f>
        <v>0</v>
      </c>
      <c r="S218" s="10" t="n">
        <f aca="false">IF($H218="숙박",0,IF($H218=MID(S$1,3,20),IF($I218="",1,0.6),IF($I218=MID(S$1,3,20),0.4,0)))</f>
        <v>0</v>
      </c>
      <c r="T218" s="10" t="n">
        <f aca="false">IF($H218="숙박",0,IF($H218=MID(T$1,3,20),IF($I218="",1,0.6),IF($I218=MID(T$1,3,20),0.4,0)))</f>
        <v>0.6</v>
      </c>
      <c r="U218" s="10" t="n">
        <f aca="false">IF($H218="숙박",0,IF(ISNUMBER(SEARCH("야경",$J218)),1,0))</f>
        <v>0</v>
      </c>
      <c r="V218" s="10" t="n">
        <f aca="false">IF($H218="숙박",0,1)</f>
        <v>1</v>
      </c>
    </row>
    <row r="219" customFormat="false" ht="15" hidden="false" customHeight="false" outlineLevel="0" collapsed="false">
      <c r="A219" s="8" t="n">
        <v>218</v>
      </c>
      <c r="B219" s="8" t="s">
        <v>45</v>
      </c>
      <c r="C219" s="8"/>
      <c r="D219" s="8" t="s">
        <v>758</v>
      </c>
      <c r="E219" s="7" t="s">
        <v>759</v>
      </c>
      <c r="F219" s="7" t="s">
        <v>189</v>
      </c>
      <c r="G219" s="8" t="s">
        <v>50</v>
      </c>
      <c r="H219" s="9" t="s">
        <v>50</v>
      </c>
      <c r="I219" s="9" t="s">
        <v>190</v>
      </c>
      <c r="J219" s="9" t="s">
        <v>51</v>
      </c>
      <c r="K219" s="9" t="s">
        <v>52</v>
      </c>
      <c r="L219" s="8"/>
      <c r="M219" s="8"/>
      <c r="N219" s="8" t="s">
        <v>483</v>
      </c>
      <c r="O219" s="8" t="s">
        <v>760</v>
      </c>
      <c r="P219" s="10" t="n">
        <f aca="false">IF($H219="숙박",0,IF($H219=MID(P$1,3,20),IF($I219="",1,0.6),IF($I219=MID(P$1,3,20),0.4,0)))</f>
        <v>0.4</v>
      </c>
      <c r="Q219" s="10" t="n">
        <f aca="false">IF($H219="숙박",0,IF($H219=MID(Q$1,3,20),IF($I219="",1,0.6),IF($I219=MID(Q$1,3,20),0.4,0)))</f>
        <v>0</v>
      </c>
      <c r="R219" s="10" t="n">
        <f aca="false">IF($H219="숙박",0,IF($H219=MID(R$1,3,20),IF($I219="",1,0.6),IF($I219=MID(R$1,3,20),0.4,0)))</f>
        <v>0</v>
      </c>
      <c r="S219" s="10" t="n">
        <f aca="false">IF($H219="숙박",0,IF($H219=MID(S$1,3,20),IF($I219="",1,0.6),IF($I219=MID(S$1,3,20),0.4,0)))</f>
        <v>0</v>
      </c>
      <c r="T219" s="10" t="n">
        <f aca="false">IF($H219="숙박",0,IF($H219=MID(T$1,3,20),IF($I219="",1,0.6),IF($I219=MID(T$1,3,20),0.4,0)))</f>
        <v>0.6</v>
      </c>
      <c r="U219" s="10" t="n">
        <f aca="false">IF($H219="숙박",0,IF(ISNUMBER(SEARCH("야경",$J219)),1,0))</f>
        <v>0</v>
      </c>
      <c r="V219" s="10" t="n">
        <f aca="false">IF($H219="숙박",0,1)</f>
        <v>1</v>
      </c>
    </row>
    <row r="220" customFormat="false" ht="15" hidden="false" customHeight="false" outlineLevel="0" collapsed="false">
      <c r="A220" s="8" t="n">
        <v>219</v>
      </c>
      <c r="B220" s="8" t="s">
        <v>511</v>
      </c>
      <c r="C220" s="8"/>
      <c r="D220" s="8" t="s">
        <v>761</v>
      </c>
      <c r="E220" s="7" t="s">
        <v>762</v>
      </c>
      <c r="F220" s="7" t="s">
        <v>189</v>
      </c>
      <c r="G220" s="8" t="s">
        <v>216</v>
      </c>
      <c r="H220" s="9" t="s">
        <v>216</v>
      </c>
      <c r="I220" s="9"/>
      <c r="J220" s="9" t="s">
        <v>479</v>
      </c>
      <c r="K220" s="9" t="s">
        <v>52</v>
      </c>
      <c r="L220" s="8"/>
      <c r="M220" s="8"/>
      <c r="N220" s="8"/>
      <c r="O220" s="8" t="s">
        <v>763</v>
      </c>
      <c r="P220" s="10" t="n">
        <f aca="false">IF($H220="숙박",0,IF($H220=MID(P$1,3,20),IF($I220="",1,0.6),IF($I220=MID(P$1,3,20),0.4,0)))</f>
        <v>0</v>
      </c>
      <c r="Q220" s="10" t="n">
        <f aca="false">IF($H220="숙박",0,IF($H220=MID(Q$1,3,20),IF($I220="",1,0.6),IF($I220=MID(Q$1,3,20),0.4,0)))</f>
        <v>0</v>
      </c>
      <c r="R220" s="10" t="n">
        <f aca="false">IF($H220="숙박",0,IF($H220=MID(R$1,3,20),IF($I220="",1,0.6),IF($I220=MID(R$1,3,20),0.4,0)))</f>
        <v>0</v>
      </c>
      <c r="S220" s="10" t="n">
        <f aca="false">IF($H220="숙박",0,IF($H220=MID(S$1,3,20),IF($I220="",1,0.6),IF($I220=MID(S$1,3,20),0.4,0)))</f>
        <v>1</v>
      </c>
      <c r="T220" s="10" t="n">
        <f aca="false">IF($H220="숙박",0,IF($H220=MID(T$1,3,20),IF($I220="",1,0.6),IF($I220=MID(T$1,3,20),0.4,0)))</f>
        <v>0</v>
      </c>
      <c r="U220" s="10" t="n">
        <f aca="false">IF($H220="숙박",0,IF(ISNUMBER(SEARCH("야경",$J220)),1,0))</f>
        <v>0</v>
      </c>
      <c r="V220" s="10" t="n">
        <f aca="false">IF($H220="숙박",0,1)</f>
        <v>1</v>
      </c>
    </row>
    <row r="221" customFormat="false" ht="15" hidden="false" customHeight="false" outlineLevel="0" collapsed="false">
      <c r="A221" s="8" t="n">
        <v>220</v>
      </c>
      <c r="B221" s="8" t="s">
        <v>45</v>
      </c>
      <c r="C221" s="8"/>
      <c r="D221" s="8" t="s">
        <v>764</v>
      </c>
      <c r="E221" s="7" t="s">
        <v>765</v>
      </c>
      <c r="F221" s="8" t="s">
        <v>59</v>
      </c>
      <c r="G221" s="8" t="s">
        <v>216</v>
      </c>
      <c r="H221" s="9" t="s">
        <v>216</v>
      </c>
      <c r="I221" s="9" t="s">
        <v>49</v>
      </c>
      <c r="J221" s="9" t="s">
        <v>509</v>
      </c>
      <c r="K221" s="9" t="s">
        <v>52</v>
      </c>
      <c r="L221" s="8"/>
      <c r="M221" s="8"/>
      <c r="N221" s="8" t="s">
        <v>483</v>
      </c>
      <c r="O221" s="8" t="s">
        <v>766</v>
      </c>
      <c r="P221" s="10" t="n">
        <f aca="false">IF($H221="숙박",0,IF($H221=MID(P$1,3,20),IF($I221="",1,0.6),IF($I221=MID(P$1,3,20),0.4,0)))</f>
        <v>0</v>
      </c>
      <c r="Q221" s="10" t="n">
        <f aca="false">IF($H221="숙박",0,IF($H221=MID(Q$1,3,20),IF($I221="",1,0.6),IF($I221=MID(Q$1,3,20),0.4,0)))</f>
        <v>0.4</v>
      </c>
      <c r="R221" s="10" t="n">
        <f aca="false">IF($H221="숙박",0,IF($H221=MID(R$1,3,20),IF($I221="",1,0.6),IF($I221=MID(R$1,3,20),0.4,0)))</f>
        <v>0</v>
      </c>
      <c r="S221" s="10" t="n">
        <f aca="false">IF($H221="숙박",0,IF($H221=MID(S$1,3,20),IF($I221="",1,0.6),IF($I221=MID(S$1,3,20),0.4,0)))</f>
        <v>0.6</v>
      </c>
      <c r="T221" s="10" t="n">
        <f aca="false">IF($H221="숙박",0,IF($H221=MID(T$1,3,20),IF($I221="",1,0.6),IF($I221=MID(T$1,3,20),0.4,0)))</f>
        <v>0</v>
      </c>
      <c r="U221" s="10" t="n">
        <f aca="false">IF($H221="숙박",0,IF(ISNUMBER(SEARCH("야경",$J221)),1,0))</f>
        <v>1</v>
      </c>
      <c r="V221" s="10" t="n">
        <f aca="false">IF($H221="숙박",0,1)</f>
        <v>1</v>
      </c>
    </row>
    <row r="222" customFormat="false" ht="15" hidden="false" customHeight="false" outlineLevel="0" collapsed="false">
      <c r="A222" s="8" t="n">
        <v>221</v>
      </c>
      <c r="B222" s="8" t="s">
        <v>45</v>
      </c>
      <c r="C222" s="8"/>
      <c r="D222" s="8" t="s">
        <v>767</v>
      </c>
      <c r="E222" s="7" t="s">
        <v>768</v>
      </c>
      <c r="F222" s="7" t="s">
        <v>189</v>
      </c>
      <c r="G222" s="8" t="s">
        <v>594</v>
      </c>
      <c r="H222" s="9" t="s">
        <v>594</v>
      </c>
      <c r="I222" s="9"/>
      <c r="J222" s="9"/>
      <c r="K222" s="9"/>
      <c r="L222" s="8"/>
      <c r="M222" s="8"/>
      <c r="N222" s="8" t="s">
        <v>595</v>
      </c>
      <c r="O222" s="8" t="s">
        <v>769</v>
      </c>
      <c r="P222" s="10" t="n">
        <f aca="false">IF($H222="숙박",0,IF($H222=MID(P$1,3,20),IF($I222="",1,0.6),IF($I222=MID(P$1,3,20),0.4,0)))</f>
        <v>0</v>
      </c>
      <c r="Q222" s="10" t="n">
        <f aca="false">IF($H222="숙박",0,IF($H222=MID(Q$1,3,20),IF($I222="",1,0.6),IF($I222=MID(Q$1,3,20),0.4,0)))</f>
        <v>0</v>
      </c>
      <c r="R222" s="10" t="n">
        <f aca="false">IF($H222="숙박",0,IF($H222=MID(R$1,3,20),IF($I222="",1,0.6),IF($I222=MID(R$1,3,20),0.4,0)))</f>
        <v>0</v>
      </c>
      <c r="S222" s="10" t="n">
        <f aca="false">IF($H222="숙박",0,IF($H222=MID(S$1,3,20),IF($I222="",1,0.6),IF($I222=MID(S$1,3,20),0.4,0)))</f>
        <v>0</v>
      </c>
      <c r="T222" s="10" t="n">
        <f aca="false">IF($H222="숙박",0,IF($H222=MID(T$1,3,20),IF($I222="",1,0.6),IF($I222=MID(T$1,3,20),0.4,0)))</f>
        <v>0</v>
      </c>
      <c r="U222" s="10" t="n">
        <f aca="false">IF($H222="숙박",0,IF(ISNUMBER(SEARCH("야경",$J222)),1,0))</f>
        <v>0</v>
      </c>
      <c r="V222" s="10" t="n">
        <f aca="false">IF($H222="숙박",0,1)</f>
        <v>0</v>
      </c>
    </row>
    <row r="223" customFormat="false" ht="15" hidden="false" customHeight="false" outlineLevel="0" collapsed="false">
      <c r="A223" s="8" t="n">
        <v>222</v>
      </c>
      <c r="B223" s="8" t="s">
        <v>511</v>
      </c>
      <c r="C223" s="8"/>
      <c r="D223" s="8" t="s">
        <v>770</v>
      </c>
      <c r="E223" s="7" t="s">
        <v>771</v>
      </c>
      <c r="F223" s="7" t="s">
        <v>189</v>
      </c>
      <c r="G223" s="8" t="s">
        <v>50</v>
      </c>
      <c r="H223" s="9" t="s">
        <v>50</v>
      </c>
      <c r="I223" s="9"/>
      <c r="J223" s="9" t="s">
        <v>51</v>
      </c>
      <c r="K223" s="9" t="s">
        <v>52</v>
      </c>
      <c r="L223" s="8"/>
      <c r="M223" s="8"/>
      <c r="N223" s="8"/>
      <c r="O223" s="8" t="s">
        <v>772</v>
      </c>
      <c r="P223" s="10" t="n">
        <f aca="false">IF($H223="숙박",0,IF($H223=MID(P$1,3,20),IF($I223="",1,0.6),IF($I223=MID(P$1,3,20),0.4,0)))</f>
        <v>0</v>
      </c>
      <c r="Q223" s="10" t="n">
        <f aca="false">IF($H223="숙박",0,IF($H223=MID(Q$1,3,20),IF($I223="",1,0.6),IF($I223=MID(Q$1,3,20),0.4,0)))</f>
        <v>0</v>
      </c>
      <c r="R223" s="10" t="n">
        <f aca="false">IF($H223="숙박",0,IF($H223=MID(R$1,3,20),IF($I223="",1,0.6),IF($I223=MID(R$1,3,20),0.4,0)))</f>
        <v>0</v>
      </c>
      <c r="S223" s="10" t="n">
        <f aca="false">IF($H223="숙박",0,IF($H223=MID(S$1,3,20),IF($I223="",1,0.6),IF($I223=MID(S$1,3,20),0.4,0)))</f>
        <v>0</v>
      </c>
      <c r="T223" s="10" t="n">
        <f aca="false">IF($H223="숙박",0,IF($H223=MID(T$1,3,20),IF($I223="",1,0.6),IF($I223=MID(T$1,3,20),0.4,0)))</f>
        <v>1</v>
      </c>
      <c r="U223" s="10" t="n">
        <f aca="false">IF($H223="숙박",0,IF(ISNUMBER(SEARCH("야경",$J223)),1,0))</f>
        <v>0</v>
      </c>
      <c r="V223" s="10" t="n">
        <f aca="false">IF($H223="숙박",0,1)</f>
        <v>1</v>
      </c>
    </row>
    <row r="224" customFormat="false" ht="15" hidden="false" customHeight="false" outlineLevel="0" collapsed="false">
      <c r="A224" s="8" t="n">
        <v>223</v>
      </c>
      <c r="B224" s="8" t="s">
        <v>45</v>
      </c>
      <c r="C224" s="8"/>
      <c r="D224" s="8" t="s">
        <v>773</v>
      </c>
      <c r="E224" s="7" t="s">
        <v>774</v>
      </c>
      <c r="F224" s="8" t="s">
        <v>199</v>
      </c>
      <c r="G224" s="8" t="s">
        <v>49</v>
      </c>
      <c r="H224" s="9" t="s">
        <v>49</v>
      </c>
      <c r="I224" s="9"/>
      <c r="J224" s="9" t="s">
        <v>509</v>
      </c>
      <c r="K224" s="9" t="s">
        <v>52</v>
      </c>
      <c r="L224" s="8"/>
      <c r="M224" s="8"/>
      <c r="N224" s="8"/>
      <c r="O224" s="8" t="s">
        <v>775</v>
      </c>
      <c r="P224" s="10" t="n">
        <f aca="false">IF($H224="숙박",0,IF($H224=MID(P$1,3,20),IF($I224="",1,0.6),IF($I224=MID(P$1,3,20),0.4,0)))</f>
        <v>0</v>
      </c>
      <c r="Q224" s="10" t="n">
        <f aca="false">IF($H224="숙박",0,IF($H224=MID(Q$1,3,20),IF($I224="",1,0.6),IF($I224=MID(Q$1,3,20),0.4,0)))</f>
        <v>1</v>
      </c>
      <c r="R224" s="10" t="n">
        <f aca="false">IF($H224="숙박",0,IF($H224=MID(R$1,3,20),IF($I224="",1,0.6),IF($I224=MID(R$1,3,20),0.4,0)))</f>
        <v>0</v>
      </c>
      <c r="S224" s="10" t="n">
        <f aca="false">IF($H224="숙박",0,IF($H224=MID(S$1,3,20),IF($I224="",1,0.6),IF($I224=MID(S$1,3,20),0.4,0)))</f>
        <v>0</v>
      </c>
      <c r="T224" s="10" t="n">
        <f aca="false">IF($H224="숙박",0,IF($H224=MID(T$1,3,20),IF($I224="",1,0.6),IF($I224=MID(T$1,3,20),0.4,0)))</f>
        <v>0</v>
      </c>
      <c r="U224" s="10" t="n">
        <f aca="false">IF($H224="숙박",0,IF(ISNUMBER(SEARCH("야경",$J224)),1,0))</f>
        <v>1</v>
      </c>
      <c r="V224" s="10" t="n">
        <f aca="false">IF($H224="숙박",0,1)</f>
        <v>1</v>
      </c>
    </row>
    <row r="225" customFormat="false" ht="15" hidden="false" customHeight="false" outlineLevel="0" collapsed="false">
      <c r="A225" s="8" t="n">
        <v>224</v>
      </c>
      <c r="B225" s="8" t="s">
        <v>45</v>
      </c>
      <c r="C225" s="8"/>
      <c r="D225" s="8" t="s">
        <v>776</v>
      </c>
      <c r="E225" s="7" t="s">
        <v>777</v>
      </c>
      <c r="F225" s="8" t="s">
        <v>59</v>
      </c>
      <c r="G225" s="8" t="s">
        <v>190</v>
      </c>
      <c r="H225" s="9" t="s">
        <v>190</v>
      </c>
      <c r="I225" s="9"/>
      <c r="J225" s="9" t="s">
        <v>479</v>
      </c>
      <c r="K225" s="9" t="s">
        <v>191</v>
      </c>
      <c r="L225" s="8"/>
      <c r="M225" s="8"/>
      <c r="N225" s="8"/>
      <c r="O225" s="8" t="s">
        <v>778</v>
      </c>
      <c r="P225" s="10" t="n">
        <f aca="false">IF($H225="숙박",0,IF($H225=MID(P$1,3,20),IF($I225="",1,0.6),IF($I225=MID(P$1,3,20),0.4,0)))</f>
        <v>1</v>
      </c>
      <c r="Q225" s="10" t="n">
        <f aca="false">IF($H225="숙박",0,IF($H225=MID(Q$1,3,20),IF($I225="",1,0.6),IF($I225=MID(Q$1,3,20),0.4,0)))</f>
        <v>0</v>
      </c>
      <c r="R225" s="10" t="n">
        <f aca="false">IF($H225="숙박",0,IF($H225=MID(R$1,3,20),IF($I225="",1,0.6),IF($I225=MID(R$1,3,20),0.4,0)))</f>
        <v>0</v>
      </c>
      <c r="S225" s="10" t="n">
        <f aca="false">IF($H225="숙박",0,IF($H225=MID(S$1,3,20),IF($I225="",1,0.6),IF($I225=MID(S$1,3,20),0.4,0)))</f>
        <v>0</v>
      </c>
      <c r="T225" s="10" t="n">
        <f aca="false">IF($H225="숙박",0,IF($H225=MID(T$1,3,20),IF($I225="",1,0.6),IF($I225=MID(T$1,3,20),0.4,0)))</f>
        <v>0</v>
      </c>
      <c r="U225" s="10" t="n">
        <f aca="false">IF($H225="숙박",0,IF(ISNUMBER(SEARCH("야경",$J225)),1,0))</f>
        <v>0</v>
      </c>
      <c r="V225" s="10" t="n">
        <f aca="false">IF($H225="숙박",0,1)</f>
        <v>1</v>
      </c>
    </row>
    <row r="226" customFormat="false" ht="15" hidden="false" customHeight="false" outlineLevel="0" collapsed="false">
      <c r="A226" s="8" t="n">
        <v>225</v>
      </c>
      <c r="B226" s="8" t="s">
        <v>45</v>
      </c>
      <c r="C226" s="8"/>
      <c r="D226" s="8" t="s">
        <v>779</v>
      </c>
      <c r="E226" s="7" t="s">
        <v>780</v>
      </c>
      <c r="F226" s="8" t="s">
        <v>567</v>
      </c>
      <c r="G226" s="8" t="s">
        <v>190</v>
      </c>
      <c r="H226" s="9" t="s">
        <v>190</v>
      </c>
      <c r="I226" s="9" t="s">
        <v>49</v>
      </c>
      <c r="J226" s="9" t="s">
        <v>479</v>
      </c>
      <c r="K226" s="9" t="s">
        <v>52</v>
      </c>
      <c r="L226" s="8"/>
      <c r="M226" s="8"/>
      <c r="N226" s="8" t="s">
        <v>483</v>
      </c>
      <c r="O226" s="8" t="s">
        <v>781</v>
      </c>
      <c r="P226" s="10" t="n">
        <f aca="false">IF($H226="숙박",0,IF($H226=MID(P$1,3,20),IF($I226="",1,0.6),IF($I226=MID(P$1,3,20),0.4,0)))</f>
        <v>0.6</v>
      </c>
      <c r="Q226" s="10" t="n">
        <f aca="false">IF($H226="숙박",0,IF($H226=MID(Q$1,3,20),IF($I226="",1,0.6),IF($I226=MID(Q$1,3,20),0.4,0)))</f>
        <v>0.4</v>
      </c>
      <c r="R226" s="10" t="n">
        <f aca="false">IF($H226="숙박",0,IF($H226=MID(R$1,3,20),IF($I226="",1,0.6),IF($I226=MID(R$1,3,20),0.4,0)))</f>
        <v>0</v>
      </c>
      <c r="S226" s="10" t="n">
        <f aca="false">IF($H226="숙박",0,IF($H226=MID(S$1,3,20),IF($I226="",1,0.6),IF($I226=MID(S$1,3,20),0.4,0)))</f>
        <v>0</v>
      </c>
      <c r="T226" s="10" t="n">
        <f aca="false">IF($H226="숙박",0,IF($H226=MID(T$1,3,20),IF($I226="",1,0.6),IF($I226=MID(T$1,3,20),0.4,0)))</f>
        <v>0</v>
      </c>
      <c r="U226" s="10" t="n">
        <f aca="false">IF($H226="숙박",0,IF(ISNUMBER(SEARCH("야경",$J226)),1,0))</f>
        <v>0</v>
      </c>
      <c r="V226" s="10" t="n">
        <f aca="false">IF($H226="숙박",0,1)</f>
        <v>1</v>
      </c>
    </row>
    <row r="227" customFormat="false" ht="15" hidden="false" customHeight="false" outlineLevel="0" collapsed="false">
      <c r="A227" s="8" t="n">
        <v>226</v>
      </c>
      <c r="B227" s="8" t="s">
        <v>45</v>
      </c>
      <c r="C227" s="8"/>
      <c r="D227" s="8" t="s">
        <v>782</v>
      </c>
      <c r="E227" s="7" t="s">
        <v>783</v>
      </c>
      <c r="F227" s="8" t="s">
        <v>59</v>
      </c>
      <c r="G227" s="8" t="s">
        <v>184</v>
      </c>
      <c r="H227" s="9" t="s">
        <v>184</v>
      </c>
      <c r="I227" s="9"/>
      <c r="J227" s="9" t="s">
        <v>523</v>
      </c>
      <c r="K227" s="9" t="s">
        <v>191</v>
      </c>
      <c r="L227" s="8"/>
      <c r="M227" s="8"/>
      <c r="N227" s="8"/>
      <c r="O227" s="8" t="s">
        <v>784</v>
      </c>
      <c r="P227" s="10" t="n">
        <f aca="false">IF($H227="숙박",0,IF($H227=MID(P$1,3,20),IF($I227="",1,0.6),IF($I227=MID(P$1,3,20),0.4,0)))</f>
        <v>0</v>
      </c>
      <c r="Q227" s="10" t="n">
        <f aca="false">IF($H227="숙박",0,IF($H227=MID(Q$1,3,20),IF($I227="",1,0.6),IF($I227=MID(Q$1,3,20),0.4,0)))</f>
        <v>0</v>
      </c>
      <c r="R227" s="10" t="n">
        <f aca="false">IF($H227="숙박",0,IF($H227=MID(R$1,3,20),IF($I227="",1,0.6),IF($I227=MID(R$1,3,20),0.4,0)))</f>
        <v>1</v>
      </c>
      <c r="S227" s="10" t="n">
        <f aca="false">IF($H227="숙박",0,IF($H227=MID(S$1,3,20),IF($I227="",1,0.6),IF($I227=MID(S$1,3,20),0.4,0)))</f>
        <v>0</v>
      </c>
      <c r="T227" s="10" t="n">
        <f aca="false">IF($H227="숙박",0,IF($H227=MID(T$1,3,20),IF($I227="",1,0.6),IF($I227=MID(T$1,3,20),0.4,0)))</f>
        <v>0</v>
      </c>
      <c r="U227" s="10" t="n">
        <f aca="false">IF($H227="숙박",0,IF(ISNUMBER(SEARCH("야경",$J227)),1,0))</f>
        <v>0</v>
      </c>
      <c r="V227" s="10" t="n">
        <f aca="false">IF($H227="숙박",0,1)</f>
        <v>1</v>
      </c>
    </row>
    <row r="228" customFormat="false" ht="15" hidden="false" customHeight="false" outlineLevel="0" collapsed="false">
      <c r="A228" s="8" t="n">
        <v>227</v>
      </c>
      <c r="B228" s="8" t="s">
        <v>45</v>
      </c>
      <c r="C228" s="8"/>
      <c r="D228" s="8" t="s">
        <v>785</v>
      </c>
      <c r="E228" s="7" t="s">
        <v>786</v>
      </c>
      <c r="F228" s="8" t="s">
        <v>567</v>
      </c>
      <c r="G228" s="8" t="s">
        <v>184</v>
      </c>
      <c r="H228" s="9" t="s">
        <v>184</v>
      </c>
      <c r="I228" s="9"/>
      <c r="J228" s="9" t="s">
        <v>509</v>
      </c>
      <c r="K228" s="9" t="s">
        <v>191</v>
      </c>
      <c r="L228" s="8"/>
      <c r="M228" s="8"/>
      <c r="N228" s="8"/>
      <c r="O228" s="8" t="s">
        <v>787</v>
      </c>
      <c r="P228" s="10" t="n">
        <f aca="false">IF($H228="숙박",0,IF($H228=MID(P$1,3,20),IF($I228="",1,0.6),IF($I228=MID(P$1,3,20),0.4,0)))</f>
        <v>0</v>
      </c>
      <c r="Q228" s="10" t="n">
        <f aca="false">IF($H228="숙박",0,IF($H228=MID(Q$1,3,20),IF($I228="",1,0.6),IF($I228=MID(Q$1,3,20),0.4,0)))</f>
        <v>0</v>
      </c>
      <c r="R228" s="10" t="n">
        <f aca="false">IF($H228="숙박",0,IF($H228=MID(R$1,3,20),IF($I228="",1,0.6),IF($I228=MID(R$1,3,20),0.4,0)))</f>
        <v>1</v>
      </c>
      <c r="S228" s="10" t="n">
        <f aca="false">IF($H228="숙박",0,IF($H228=MID(S$1,3,20),IF($I228="",1,0.6),IF($I228=MID(S$1,3,20),0.4,0)))</f>
        <v>0</v>
      </c>
      <c r="T228" s="10" t="n">
        <f aca="false">IF($H228="숙박",0,IF($H228=MID(T$1,3,20),IF($I228="",1,0.6),IF($I228=MID(T$1,3,20),0.4,0)))</f>
        <v>0</v>
      </c>
      <c r="U228" s="10" t="n">
        <f aca="false">IF($H228="숙박",0,IF(ISNUMBER(SEARCH("야경",$J228)),1,0))</f>
        <v>1</v>
      </c>
      <c r="V228" s="10" t="n">
        <f aca="false">IF($H228="숙박",0,1)</f>
        <v>1</v>
      </c>
    </row>
    <row r="229" customFormat="false" ht="15" hidden="false" customHeight="false" outlineLevel="0" collapsed="false">
      <c r="A229" s="8" t="n">
        <v>228</v>
      </c>
      <c r="B229" s="8" t="s">
        <v>45</v>
      </c>
      <c r="C229" s="8" t="s">
        <v>788</v>
      </c>
      <c r="D229" s="8" t="s">
        <v>789</v>
      </c>
      <c r="E229" s="7" t="s">
        <v>790</v>
      </c>
      <c r="F229" s="7" t="s">
        <v>189</v>
      </c>
      <c r="G229" s="8" t="s">
        <v>184</v>
      </c>
      <c r="H229" s="9" t="s">
        <v>184</v>
      </c>
      <c r="I229" s="9"/>
      <c r="J229" s="9" t="s">
        <v>479</v>
      </c>
      <c r="K229" s="9" t="s">
        <v>191</v>
      </c>
      <c r="L229" s="8"/>
      <c r="M229" s="8"/>
      <c r="N229" s="8"/>
      <c r="O229" s="8" t="s">
        <v>791</v>
      </c>
      <c r="P229" s="10" t="n">
        <f aca="false">IF($H229="숙박",0,IF($H229=MID(P$1,3,20),IF($I229="",1,0.6),IF($I229=MID(P$1,3,20),0.4,0)))</f>
        <v>0</v>
      </c>
      <c r="Q229" s="10" t="n">
        <f aca="false">IF($H229="숙박",0,IF($H229=MID(Q$1,3,20),IF($I229="",1,0.6),IF($I229=MID(Q$1,3,20),0.4,0)))</f>
        <v>0</v>
      </c>
      <c r="R229" s="10" t="n">
        <f aca="false">IF($H229="숙박",0,IF($H229=MID(R$1,3,20),IF($I229="",1,0.6),IF($I229=MID(R$1,3,20),0.4,0)))</f>
        <v>1</v>
      </c>
      <c r="S229" s="10" t="n">
        <f aca="false">IF($H229="숙박",0,IF($H229=MID(S$1,3,20),IF($I229="",1,0.6),IF($I229=MID(S$1,3,20),0.4,0)))</f>
        <v>0</v>
      </c>
      <c r="T229" s="10" t="n">
        <f aca="false">IF($H229="숙박",0,IF($H229=MID(T$1,3,20),IF($I229="",1,0.6),IF($I229=MID(T$1,3,20),0.4,0)))</f>
        <v>0</v>
      </c>
      <c r="U229" s="10" t="n">
        <f aca="false">IF($H229="숙박",0,IF(ISNUMBER(SEARCH("야경",$J229)),1,0))</f>
        <v>0</v>
      </c>
      <c r="V229" s="10" t="n">
        <f aca="false">IF($H229="숙박",0,1)</f>
        <v>1</v>
      </c>
    </row>
    <row r="230" customFormat="false" ht="15" hidden="false" customHeight="false" outlineLevel="0" collapsed="false">
      <c r="A230" s="8" t="n">
        <v>229</v>
      </c>
      <c r="B230" s="8" t="s">
        <v>45</v>
      </c>
      <c r="C230" s="8"/>
      <c r="D230" s="8" t="s">
        <v>792</v>
      </c>
      <c r="E230" s="7" t="s">
        <v>793</v>
      </c>
      <c r="F230" s="7" t="s">
        <v>189</v>
      </c>
      <c r="G230" s="8" t="s">
        <v>49</v>
      </c>
      <c r="H230" s="9" t="s">
        <v>49</v>
      </c>
      <c r="I230" s="9"/>
      <c r="J230" s="9" t="s">
        <v>479</v>
      </c>
      <c r="K230" s="9" t="s">
        <v>52</v>
      </c>
      <c r="L230" s="8"/>
      <c r="M230" s="8"/>
      <c r="N230" s="8"/>
      <c r="O230" s="8" t="s">
        <v>794</v>
      </c>
      <c r="P230" s="10" t="n">
        <f aca="false">IF($H230="숙박",0,IF($H230=MID(P$1,3,20),IF($I230="",1,0.6),IF($I230=MID(P$1,3,20),0.4,0)))</f>
        <v>0</v>
      </c>
      <c r="Q230" s="10" t="n">
        <f aca="false">IF($H230="숙박",0,IF($H230=MID(Q$1,3,20),IF($I230="",1,0.6),IF($I230=MID(Q$1,3,20),0.4,0)))</f>
        <v>1</v>
      </c>
      <c r="R230" s="10" t="n">
        <f aca="false">IF($H230="숙박",0,IF($H230=MID(R$1,3,20),IF($I230="",1,0.6),IF($I230=MID(R$1,3,20),0.4,0)))</f>
        <v>0</v>
      </c>
      <c r="S230" s="10" t="n">
        <f aca="false">IF($H230="숙박",0,IF($H230=MID(S$1,3,20),IF($I230="",1,0.6),IF($I230=MID(S$1,3,20),0.4,0)))</f>
        <v>0</v>
      </c>
      <c r="T230" s="10" t="n">
        <f aca="false">IF($H230="숙박",0,IF($H230=MID(T$1,3,20),IF($I230="",1,0.6),IF($I230=MID(T$1,3,20),0.4,0)))</f>
        <v>0</v>
      </c>
      <c r="U230" s="10" t="n">
        <f aca="false">IF($H230="숙박",0,IF(ISNUMBER(SEARCH("야경",$J230)),1,0))</f>
        <v>0</v>
      </c>
      <c r="V230" s="10" t="n">
        <f aca="false">IF($H230="숙박",0,1)</f>
        <v>1</v>
      </c>
    </row>
    <row r="231" customFormat="false" ht="15" hidden="false" customHeight="false" outlineLevel="0" collapsed="false">
      <c r="A231" s="8" t="n">
        <v>230</v>
      </c>
      <c r="B231" s="8" t="s">
        <v>45</v>
      </c>
      <c r="C231" s="8"/>
      <c r="D231" s="8" t="s">
        <v>795</v>
      </c>
      <c r="E231" s="7" t="s">
        <v>796</v>
      </c>
      <c r="F231" s="8" t="s">
        <v>59</v>
      </c>
      <c r="G231" s="8" t="s">
        <v>216</v>
      </c>
      <c r="H231" s="9" t="s">
        <v>216</v>
      </c>
      <c r="I231" s="9"/>
      <c r="J231" s="9" t="s">
        <v>479</v>
      </c>
      <c r="K231" s="9" t="s">
        <v>52</v>
      </c>
      <c r="L231" s="8"/>
      <c r="M231" s="8"/>
      <c r="N231" s="8"/>
      <c r="O231" s="8" t="s">
        <v>797</v>
      </c>
      <c r="P231" s="10" t="n">
        <f aca="false">IF($H231="숙박",0,IF($H231=MID(P$1,3,20),IF($I231="",1,0.6),IF($I231=MID(P$1,3,20),0.4,0)))</f>
        <v>0</v>
      </c>
      <c r="Q231" s="10" t="n">
        <f aca="false">IF($H231="숙박",0,IF($H231=MID(Q$1,3,20),IF($I231="",1,0.6),IF($I231=MID(Q$1,3,20),0.4,0)))</f>
        <v>0</v>
      </c>
      <c r="R231" s="10" t="n">
        <f aca="false">IF($H231="숙박",0,IF($H231=MID(R$1,3,20),IF($I231="",1,0.6),IF($I231=MID(R$1,3,20),0.4,0)))</f>
        <v>0</v>
      </c>
      <c r="S231" s="10" t="n">
        <f aca="false">IF($H231="숙박",0,IF($H231=MID(S$1,3,20),IF($I231="",1,0.6),IF($I231=MID(S$1,3,20),0.4,0)))</f>
        <v>1</v>
      </c>
      <c r="T231" s="10" t="n">
        <f aca="false">IF($H231="숙박",0,IF($H231=MID(T$1,3,20),IF($I231="",1,0.6),IF($I231=MID(T$1,3,20),0.4,0)))</f>
        <v>0</v>
      </c>
      <c r="U231" s="10" t="n">
        <f aca="false">IF($H231="숙박",0,IF(ISNUMBER(SEARCH("야경",$J231)),1,0))</f>
        <v>0</v>
      </c>
      <c r="V231" s="10" t="n">
        <f aca="false">IF($H231="숙박",0,1)</f>
        <v>1</v>
      </c>
    </row>
    <row r="232" customFormat="false" ht="15" hidden="false" customHeight="false" outlineLevel="0" collapsed="false">
      <c r="A232" s="8" t="n">
        <v>231</v>
      </c>
      <c r="B232" s="8" t="s">
        <v>45</v>
      </c>
      <c r="C232" s="8"/>
      <c r="D232" s="8" t="s">
        <v>798</v>
      </c>
      <c r="E232" s="7" t="s">
        <v>799</v>
      </c>
      <c r="F232" s="8" t="s">
        <v>48</v>
      </c>
      <c r="G232" s="8" t="s">
        <v>184</v>
      </c>
      <c r="H232" s="9" t="s">
        <v>184</v>
      </c>
      <c r="I232" s="9" t="s">
        <v>190</v>
      </c>
      <c r="J232" s="9" t="s">
        <v>523</v>
      </c>
      <c r="K232" s="9" t="s">
        <v>191</v>
      </c>
      <c r="L232" s="8"/>
      <c r="M232" s="8"/>
      <c r="N232" s="8" t="s">
        <v>483</v>
      </c>
      <c r="O232" s="8" t="s">
        <v>800</v>
      </c>
      <c r="P232" s="10" t="n">
        <f aca="false">IF($H232="숙박",0,IF($H232=MID(P$1,3,20),IF($I232="",1,0.6),IF($I232=MID(P$1,3,20),0.4,0)))</f>
        <v>0.4</v>
      </c>
      <c r="Q232" s="10" t="n">
        <f aca="false">IF($H232="숙박",0,IF($H232=MID(Q$1,3,20),IF($I232="",1,0.6),IF($I232=MID(Q$1,3,20),0.4,0)))</f>
        <v>0</v>
      </c>
      <c r="R232" s="10" t="n">
        <f aca="false">IF($H232="숙박",0,IF($H232=MID(R$1,3,20),IF($I232="",1,0.6),IF($I232=MID(R$1,3,20),0.4,0)))</f>
        <v>0.6</v>
      </c>
      <c r="S232" s="10" t="n">
        <f aca="false">IF($H232="숙박",0,IF($H232=MID(S$1,3,20),IF($I232="",1,0.6),IF($I232=MID(S$1,3,20),0.4,0)))</f>
        <v>0</v>
      </c>
      <c r="T232" s="10" t="n">
        <f aca="false">IF($H232="숙박",0,IF($H232=MID(T$1,3,20),IF($I232="",1,0.6),IF($I232=MID(T$1,3,20),0.4,0)))</f>
        <v>0</v>
      </c>
      <c r="U232" s="10" t="n">
        <f aca="false">IF($H232="숙박",0,IF(ISNUMBER(SEARCH("야경",$J232)),1,0))</f>
        <v>0</v>
      </c>
      <c r="V232" s="10" t="n">
        <f aca="false">IF($H232="숙박",0,1)</f>
        <v>1</v>
      </c>
    </row>
    <row r="233" customFormat="false" ht="15" hidden="false" customHeight="false" outlineLevel="0" collapsed="false">
      <c r="A233" s="8" t="n">
        <v>232</v>
      </c>
      <c r="B233" s="8" t="s">
        <v>45</v>
      </c>
      <c r="C233" s="8"/>
      <c r="D233" s="8" t="s">
        <v>801</v>
      </c>
      <c r="E233" s="7" t="s">
        <v>802</v>
      </c>
      <c r="F233" s="8" t="s">
        <v>199</v>
      </c>
      <c r="G233" s="8" t="s">
        <v>190</v>
      </c>
      <c r="H233" s="9" t="s">
        <v>190</v>
      </c>
      <c r="I233" s="9"/>
      <c r="J233" s="9" t="s">
        <v>479</v>
      </c>
      <c r="K233" s="9" t="s">
        <v>191</v>
      </c>
      <c r="L233" s="8"/>
      <c r="M233" s="8"/>
      <c r="N233" s="8"/>
      <c r="O233" s="8" t="s">
        <v>803</v>
      </c>
      <c r="P233" s="10" t="n">
        <f aca="false">IF($H233="숙박",0,IF($H233=MID(P$1,3,20),IF($I233="",1,0.6),IF($I233=MID(P$1,3,20),0.4,0)))</f>
        <v>1</v>
      </c>
      <c r="Q233" s="10" t="n">
        <f aca="false">IF($H233="숙박",0,IF($H233=MID(Q$1,3,20),IF($I233="",1,0.6),IF($I233=MID(Q$1,3,20),0.4,0)))</f>
        <v>0</v>
      </c>
      <c r="R233" s="10" t="n">
        <f aca="false">IF($H233="숙박",0,IF($H233=MID(R$1,3,20),IF($I233="",1,0.6),IF($I233=MID(R$1,3,20),0.4,0)))</f>
        <v>0</v>
      </c>
      <c r="S233" s="10" t="n">
        <f aca="false">IF($H233="숙박",0,IF($H233=MID(S$1,3,20),IF($I233="",1,0.6),IF($I233=MID(S$1,3,20),0.4,0)))</f>
        <v>0</v>
      </c>
      <c r="T233" s="10" t="n">
        <f aca="false">IF($H233="숙박",0,IF($H233=MID(T$1,3,20),IF($I233="",1,0.6),IF($I233=MID(T$1,3,20),0.4,0)))</f>
        <v>0</v>
      </c>
      <c r="U233" s="10" t="n">
        <f aca="false">IF($H233="숙박",0,IF(ISNUMBER(SEARCH("야경",$J233)),1,0))</f>
        <v>0</v>
      </c>
      <c r="V233" s="10" t="n">
        <f aca="false">IF($H233="숙박",0,1)</f>
        <v>1</v>
      </c>
    </row>
    <row r="234" customFormat="false" ht="15" hidden="false" customHeight="false" outlineLevel="0" collapsed="false">
      <c r="A234" s="8" t="n">
        <v>233</v>
      </c>
      <c r="B234" s="8" t="s">
        <v>45</v>
      </c>
      <c r="C234" s="8"/>
      <c r="D234" s="8" t="s">
        <v>804</v>
      </c>
      <c r="E234" s="7" t="s">
        <v>805</v>
      </c>
      <c r="F234" s="7" t="s">
        <v>189</v>
      </c>
      <c r="G234" s="8" t="s">
        <v>190</v>
      </c>
      <c r="H234" s="9" t="s">
        <v>190</v>
      </c>
      <c r="I234" s="9"/>
      <c r="J234" s="9" t="s">
        <v>479</v>
      </c>
      <c r="K234" s="9" t="s">
        <v>191</v>
      </c>
      <c r="L234" s="8"/>
      <c r="M234" s="8"/>
      <c r="N234" s="8"/>
      <c r="O234" s="8" t="s">
        <v>806</v>
      </c>
      <c r="P234" s="10" t="n">
        <f aca="false">IF($H234="숙박",0,IF($H234=MID(P$1,3,20),IF($I234="",1,0.6),IF($I234=MID(P$1,3,20),0.4,0)))</f>
        <v>1</v>
      </c>
      <c r="Q234" s="10" t="n">
        <f aca="false">IF($H234="숙박",0,IF($H234=MID(Q$1,3,20),IF($I234="",1,0.6),IF($I234=MID(Q$1,3,20),0.4,0)))</f>
        <v>0</v>
      </c>
      <c r="R234" s="10" t="n">
        <f aca="false">IF($H234="숙박",0,IF($H234=MID(R$1,3,20),IF($I234="",1,0.6),IF($I234=MID(R$1,3,20),0.4,0)))</f>
        <v>0</v>
      </c>
      <c r="S234" s="10" t="n">
        <f aca="false">IF($H234="숙박",0,IF($H234=MID(S$1,3,20),IF($I234="",1,0.6),IF($I234=MID(S$1,3,20),0.4,0)))</f>
        <v>0</v>
      </c>
      <c r="T234" s="10" t="n">
        <f aca="false">IF($H234="숙박",0,IF($H234=MID(T$1,3,20),IF($I234="",1,0.6),IF($I234=MID(T$1,3,20),0.4,0)))</f>
        <v>0</v>
      </c>
      <c r="U234" s="10" t="n">
        <f aca="false">IF($H234="숙박",0,IF(ISNUMBER(SEARCH("야경",$J234)),1,0))</f>
        <v>0</v>
      </c>
      <c r="V234" s="10" t="n">
        <f aca="false">IF($H234="숙박",0,1)</f>
        <v>1</v>
      </c>
    </row>
    <row r="235" customFormat="false" ht="15" hidden="false" customHeight="false" outlineLevel="0" collapsed="false">
      <c r="A235" s="8" t="n">
        <v>234</v>
      </c>
      <c r="B235" s="8" t="s">
        <v>56</v>
      </c>
      <c r="C235" s="8"/>
      <c r="D235" s="8" t="s">
        <v>807</v>
      </c>
      <c r="E235" s="7" t="s">
        <v>808</v>
      </c>
      <c r="F235" s="8" t="s">
        <v>59</v>
      </c>
      <c r="G235" s="8" t="s">
        <v>216</v>
      </c>
      <c r="H235" s="9" t="s">
        <v>216</v>
      </c>
      <c r="I235" s="9"/>
      <c r="J235" s="9" t="s">
        <v>479</v>
      </c>
      <c r="K235" s="9" t="s">
        <v>191</v>
      </c>
      <c r="L235" s="8"/>
      <c r="M235" s="8"/>
      <c r="N235" s="8"/>
      <c r="O235" s="8" t="s">
        <v>809</v>
      </c>
      <c r="P235" s="10" t="n">
        <f aca="false">IF($H235="숙박",0,IF($H235=MID(P$1,3,20),IF($I235="",1,0.6),IF($I235=MID(P$1,3,20),0.4,0)))</f>
        <v>0</v>
      </c>
      <c r="Q235" s="10" t="n">
        <f aca="false">IF($H235="숙박",0,IF($H235=MID(Q$1,3,20),IF($I235="",1,0.6),IF($I235=MID(Q$1,3,20),0.4,0)))</f>
        <v>0</v>
      </c>
      <c r="R235" s="10" t="n">
        <f aca="false">IF($H235="숙박",0,IF($H235=MID(R$1,3,20),IF($I235="",1,0.6),IF($I235=MID(R$1,3,20),0.4,0)))</f>
        <v>0</v>
      </c>
      <c r="S235" s="10" t="n">
        <f aca="false">IF($H235="숙박",0,IF($H235=MID(S$1,3,20),IF($I235="",1,0.6),IF($I235=MID(S$1,3,20),0.4,0)))</f>
        <v>1</v>
      </c>
      <c r="T235" s="10" t="n">
        <f aca="false">IF($H235="숙박",0,IF($H235=MID(T$1,3,20),IF($I235="",1,0.6),IF($I235=MID(T$1,3,20),0.4,0)))</f>
        <v>0</v>
      </c>
      <c r="U235" s="10" t="n">
        <f aca="false">IF($H235="숙박",0,IF(ISNUMBER(SEARCH("야경",$J235)),1,0))</f>
        <v>0</v>
      </c>
      <c r="V235" s="10" t="n">
        <f aca="false">IF($H235="숙박",0,1)</f>
        <v>1</v>
      </c>
    </row>
    <row r="236" customFormat="false" ht="15" hidden="false" customHeight="false" outlineLevel="0" collapsed="false">
      <c r="A236" s="8" t="n">
        <v>235</v>
      </c>
      <c r="B236" s="8" t="s">
        <v>45</v>
      </c>
      <c r="C236" s="8"/>
      <c r="D236" s="8" t="s">
        <v>810</v>
      </c>
      <c r="E236" s="7" t="s">
        <v>811</v>
      </c>
      <c r="F236" s="8" t="s">
        <v>59</v>
      </c>
      <c r="G236" s="8" t="s">
        <v>184</v>
      </c>
      <c r="H236" s="9" t="s">
        <v>184</v>
      </c>
      <c r="I236" s="9" t="s">
        <v>216</v>
      </c>
      <c r="J236" s="9" t="s">
        <v>523</v>
      </c>
      <c r="K236" s="9" t="s">
        <v>191</v>
      </c>
      <c r="L236" s="8"/>
      <c r="M236" s="8"/>
      <c r="N236" s="8" t="s">
        <v>483</v>
      </c>
      <c r="O236" s="8" t="s">
        <v>812</v>
      </c>
      <c r="P236" s="10" t="n">
        <f aca="false">IF($H236="숙박",0,IF($H236=MID(P$1,3,20),IF($I236="",1,0.6),IF($I236=MID(P$1,3,20),0.4,0)))</f>
        <v>0</v>
      </c>
      <c r="Q236" s="10" t="n">
        <f aca="false">IF($H236="숙박",0,IF($H236=MID(Q$1,3,20),IF($I236="",1,0.6),IF($I236=MID(Q$1,3,20),0.4,0)))</f>
        <v>0</v>
      </c>
      <c r="R236" s="10" t="n">
        <f aca="false">IF($H236="숙박",0,IF($H236=MID(R$1,3,20),IF($I236="",1,0.6),IF($I236=MID(R$1,3,20),0.4,0)))</f>
        <v>0.6</v>
      </c>
      <c r="S236" s="10" t="n">
        <f aca="false">IF($H236="숙박",0,IF($H236=MID(S$1,3,20),IF($I236="",1,0.6),IF($I236=MID(S$1,3,20),0.4,0)))</f>
        <v>0.4</v>
      </c>
      <c r="T236" s="10" t="n">
        <f aca="false">IF($H236="숙박",0,IF($H236=MID(T$1,3,20),IF($I236="",1,0.6),IF($I236=MID(T$1,3,20),0.4,0)))</f>
        <v>0</v>
      </c>
      <c r="U236" s="10" t="n">
        <f aca="false">IF($H236="숙박",0,IF(ISNUMBER(SEARCH("야경",$J236)),1,0))</f>
        <v>0</v>
      </c>
      <c r="V236" s="10" t="n">
        <f aca="false">IF($H236="숙박",0,1)</f>
        <v>1</v>
      </c>
    </row>
    <row r="237" customFormat="false" ht="15" hidden="false" customHeight="false" outlineLevel="0" collapsed="false">
      <c r="A237" s="8" t="n">
        <v>236</v>
      </c>
      <c r="B237" s="8" t="s">
        <v>45</v>
      </c>
      <c r="C237" s="8"/>
      <c r="D237" s="8" t="s">
        <v>813</v>
      </c>
      <c r="E237" s="7" t="s">
        <v>814</v>
      </c>
      <c r="F237" s="8" t="s">
        <v>59</v>
      </c>
      <c r="G237" s="8" t="s">
        <v>216</v>
      </c>
      <c r="H237" s="9" t="s">
        <v>216</v>
      </c>
      <c r="I237" s="9"/>
      <c r="J237" s="9" t="s">
        <v>509</v>
      </c>
      <c r="K237" s="9" t="s">
        <v>191</v>
      </c>
      <c r="L237" s="8"/>
      <c r="M237" s="8"/>
      <c r="N237" s="8"/>
      <c r="O237" s="8" t="s">
        <v>815</v>
      </c>
      <c r="P237" s="10" t="n">
        <f aca="false">IF($H237="숙박",0,IF($H237=MID(P$1,3,20),IF($I237="",1,0.6),IF($I237=MID(P$1,3,20),0.4,0)))</f>
        <v>0</v>
      </c>
      <c r="Q237" s="10" t="n">
        <f aca="false">IF($H237="숙박",0,IF($H237=MID(Q$1,3,20),IF($I237="",1,0.6),IF($I237=MID(Q$1,3,20),0.4,0)))</f>
        <v>0</v>
      </c>
      <c r="R237" s="10" t="n">
        <f aca="false">IF($H237="숙박",0,IF($H237=MID(R$1,3,20),IF($I237="",1,0.6),IF($I237=MID(R$1,3,20),0.4,0)))</f>
        <v>0</v>
      </c>
      <c r="S237" s="10" t="n">
        <f aca="false">IF($H237="숙박",0,IF($H237=MID(S$1,3,20),IF($I237="",1,0.6),IF($I237=MID(S$1,3,20),0.4,0)))</f>
        <v>1</v>
      </c>
      <c r="T237" s="10" t="n">
        <f aca="false">IF($H237="숙박",0,IF($H237=MID(T$1,3,20),IF($I237="",1,0.6),IF($I237=MID(T$1,3,20),0.4,0)))</f>
        <v>0</v>
      </c>
      <c r="U237" s="10" t="n">
        <f aca="false">IF($H237="숙박",0,IF(ISNUMBER(SEARCH("야경",$J237)),1,0))</f>
        <v>1</v>
      </c>
      <c r="V237" s="10" t="n">
        <f aca="false">IF($H237="숙박",0,1)</f>
        <v>1</v>
      </c>
    </row>
    <row r="238" customFormat="false" ht="15" hidden="false" customHeight="false" outlineLevel="0" collapsed="false">
      <c r="A238" s="8" t="n">
        <v>237</v>
      </c>
      <c r="B238" s="8" t="s">
        <v>56</v>
      </c>
      <c r="C238" s="8"/>
      <c r="D238" s="8" t="s">
        <v>816</v>
      </c>
      <c r="E238" s="7" t="s">
        <v>817</v>
      </c>
      <c r="F238" s="8" t="s">
        <v>59</v>
      </c>
      <c r="G238" s="8" t="s">
        <v>216</v>
      </c>
      <c r="H238" s="9" t="s">
        <v>216</v>
      </c>
      <c r="I238" s="9"/>
      <c r="J238" s="9" t="s">
        <v>479</v>
      </c>
      <c r="K238" s="9" t="s">
        <v>52</v>
      </c>
      <c r="L238" s="8"/>
      <c r="M238" s="8"/>
      <c r="N238" s="8"/>
      <c r="O238" s="8" t="s">
        <v>818</v>
      </c>
      <c r="P238" s="10" t="n">
        <f aca="false">IF($H238="숙박",0,IF($H238=MID(P$1,3,20),IF($I238="",1,0.6),IF($I238=MID(P$1,3,20),0.4,0)))</f>
        <v>0</v>
      </c>
      <c r="Q238" s="10" t="n">
        <f aca="false">IF($H238="숙박",0,IF($H238=MID(Q$1,3,20),IF($I238="",1,0.6),IF($I238=MID(Q$1,3,20),0.4,0)))</f>
        <v>0</v>
      </c>
      <c r="R238" s="10" t="n">
        <f aca="false">IF($H238="숙박",0,IF($H238=MID(R$1,3,20),IF($I238="",1,0.6),IF($I238=MID(R$1,3,20),0.4,0)))</f>
        <v>0</v>
      </c>
      <c r="S238" s="10" t="n">
        <f aca="false">IF($H238="숙박",0,IF($H238=MID(S$1,3,20),IF($I238="",1,0.6),IF($I238=MID(S$1,3,20),0.4,0)))</f>
        <v>1</v>
      </c>
      <c r="T238" s="10" t="n">
        <f aca="false">IF($H238="숙박",0,IF($H238=MID(T$1,3,20),IF($I238="",1,0.6),IF($I238=MID(T$1,3,20),0.4,0)))</f>
        <v>0</v>
      </c>
      <c r="U238" s="10" t="n">
        <f aca="false">IF($H238="숙박",0,IF(ISNUMBER(SEARCH("야경",$J238)),1,0))</f>
        <v>0</v>
      </c>
      <c r="V238" s="10" t="n">
        <f aca="false">IF($H238="숙박",0,1)</f>
        <v>1</v>
      </c>
    </row>
    <row r="239" customFormat="false" ht="15" hidden="false" customHeight="false" outlineLevel="0" collapsed="false">
      <c r="A239" s="8" t="n">
        <v>238</v>
      </c>
      <c r="B239" s="8" t="s">
        <v>45</v>
      </c>
      <c r="C239" s="8"/>
      <c r="D239" s="8" t="s">
        <v>819</v>
      </c>
      <c r="E239" s="7" t="s">
        <v>820</v>
      </c>
      <c r="F239" s="8" t="s">
        <v>59</v>
      </c>
      <c r="G239" s="8" t="s">
        <v>184</v>
      </c>
      <c r="H239" s="9" t="s">
        <v>184</v>
      </c>
      <c r="I239" s="9"/>
      <c r="J239" s="9" t="s">
        <v>479</v>
      </c>
      <c r="K239" s="9" t="s">
        <v>191</v>
      </c>
      <c r="L239" s="8"/>
      <c r="M239" s="8"/>
      <c r="N239" s="8"/>
      <c r="O239" s="8" t="s">
        <v>821</v>
      </c>
      <c r="P239" s="10" t="n">
        <f aca="false">IF($H239="숙박",0,IF($H239=MID(P$1,3,20),IF($I239="",1,0.6),IF($I239=MID(P$1,3,20),0.4,0)))</f>
        <v>0</v>
      </c>
      <c r="Q239" s="10" t="n">
        <f aca="false">IF($H239="숙박",0,IF($H239=MID(Q$1,3,20),IF($I239="",1,0.6),IF($I239=MID(Q$1,3,20),0.4,0)))</f>
        <v>0</v>
      </c>
      <c r="R239" s="10" t="n">
        <f aca="false">IF($H239="숙박",0,IF($H239=MID(R$1,3,20),IF($I239="",1,0.6),IF($I239=MID(R$1,3,20),0.4,0)))</f>
        <v>1</v>
      </c>
      <c r="S239" s="10" t="n">
        <f aca="false">IF($H239="숙박",0,IF($H239=MID(S$1,3,20),IF($I239="",1,0.6),IF($I239=MID(S$1,3,20),0.4,0)))</f>
        <v>0</v>
      </c>
      <c r="T239" s="10" t="n">
        <f aca="false">IF($H239="숙박",0,IF($H239=MID(T$1,3,20),IF($I239="",1,0.6),IF($I239=MID(T$1,3,20),0.4,0)))</f>
        <v>0</v>
      </c>
      <c r="U239" s="10" t="n">
        <f aca="false">IF($H239="숙박",0,IF(ISNUMBER(SEARCH("야경",$J239)),1,0))</f>
        <v>0</v>
      </c>
      <c r="V239" s="10" t="n">
        <f aca="false">IF($H239="숙박",0,1)</f>
        <v>1</v>
      </c>
    </row>
    <row r="240" customFormat="false" ht="15" hidden="false" customHeight="false" outlineLevel="0" collapsed="false">
      <c r="A240" s="8" t="n">
        <v>239</v>
      </c>
      <c r="B240" s="8" t="s">
        <v>45</v>
      </c>
      <c r="C240" s="8"/>
      <c r="D240" s="8" t="s">
        <v>822</v>
      </c>
      <c r="E240" s="7" t="s">
        <v>823</v>
      </c>
      <c r="F240" s="8" t="s">
        <v>59</v>
      </c>
      <c r="G240" s="8" t="s">
        <v>184</v>
      </c>
      <c r="H240" s="9" t="s">
        <v>184</v>
      </c>
      <c r="I240" s="9" t="s">
        <v>216</v>
      </c>
      <c r="J240" s="9" t="s">
        <v>523</v>
      </c>
      <c r="K240" s="9" t="s">
        <v>191</v>
      </c>
      <c r="L240" s="8"/>
      <c r="M240" s="8"/>
      <c r="N240" s="8" t="s">
        <v>483</v>
      </c>
      <c r="O240" s="8" t="s">
        <v>824</v>
      </c>
      <c r="P240" s="10" t="n">
        <f aca="false">IF($H240="숙박",0,IF($H240=MID(P$1,3,20),IF($I240="",1,0.6),IF($I240=MID(P$1,3,20),0.4,0)))</f>
        <v>0</v>
      </c>
      <c r="Q240" s="10" t="n">
        <f aca="false">IF($H240="숙박",0,IF($H240=MID(Q$1,3,20),IF($I240="",1,0.6),IF($I240=MID(Q$1,3,20),0.4,0)))</f>
        <v>0</v>
      </c>
      <c r="R240" s="10" t="n">
        <f aca="false">IF($H240="숙박",0,IF($H240=MID(R$1,3,20),IF($I240="",1,0.6),IF($I240=MID(R$1,3,20),0.4,0)))</f>
        <v>0.6</v>
      </c>
      <c r="S240" s="10" t="n">
        <f aca="false">IF($H240="숙박",0,IF($H240=MID(S$1,3,20),IF($I240="",1,0.6),IF($I240=MID(S$1,3,20),0.4,0)))</f>
        <v>0.4</v>
      </c>
      <c r="T240" s="10" t="n">
        <f aca="false">IF($H240="숙박",0,IF($H240=MID(T$1,3,20),IF($I240="",1,0.6),IF($I240=MID(T$1,3,20),0.4,0)))</f>
        <v>0</v>
      </c>
      <c r="U240" s="10" t="n">
        <f aca="false">IF($H240="숙박",0,IF(ISNUMBER(SEARCH("야경",$J240)),1,0))</f>
        <v>0</v>
      </c>
      <c r="V240" s="10" t="n">
        <f aca="false">IF($H240="숙박",0,1)</f>
        <v>1</v>
      </c>
    </row>
    <row r="241" customFormat="false" ht="15" hidden="false" customHeight="false" outlineLevel="0" collapsed="false">
      <c r="A241" s="8" t="n">
        <v>240</v>
      </c>
      <c r="B241" s="8" t="s">
        <v>45</v>
      </c>
      <c r="C241" s="8"/>
      <c r="D241" s="8" t="s">
        <v>825</v>
      </c>
      <c r="E241" s="7" t="s">
        <v>826</v>
      </c>
      <c r="F241" s="8" t="s">
        <v>59</v>
      </c>
      <c r="G241" s="8" t="s">
        <v>216</v>
      </c>
      <c r="H241" s="9" t="s">
        <v>216</v>
      </c>
      <c r="I241" s="9"/>
      <c r="J241" s="9" t="s">
        <v>479</v>
      </c>
      <c r="K241" s="9" t="s">
        <v>191</v>
      </c>
      <c r="L241" s="8"/>
      <c r="M241" s="8"/>
      <c r="N241" s="8"/>
      <c r="O241" s="8" t="s">
        <v>827</v>
      </c>
      <c r="P241" s="10" t="n">
        <f aca="false">IF($H241="숙박",0,IF($H241=MID(P$1,3,20),IF($I241="",1,0.6),IF($I241=MID(P$1,3,20),0.4,0)))</f>
        <v>0</v>
      </c>
      <c r="Q241" s="10" t="n">
        <f aca="false">IF($H241="숙박",0,IF($H241=MID(Q$1,3,20),IF($I241="",1,0.6),IF($I241=MID(Q$1,3,20),0.4,0)))</f>
        <v>0</v>
      </c>
      <c r="R241" s="10" t="n">
        <f aca="false">IF($H241="숙박",0,IF($H241=MID(R$1,3,20),IF($I241="",1,0.6),IF($I241=MID(R$1,3,20),0.4,0)))</f>
        <v>0</v>
      </c>
      <c r="S241" s="10" t="n">
        <f aca="false">IF($H241="숙박",0,IF($H241=MID(S$1,3,20),IF($I241="",1,0.6),IF($I241=MID(S$1,3,20),0.4,0)))</f>
        <v>1</v>
      </c>
      <c r="T241" s="10" t="n">
        <f aca="false">IF($H241="숙박",0,IF($H241=MID(T$1,3,20),IF($I241="",1,0.6),IF($I241=MID(T$1,3,20),0.4,0)))</f>
        <v>0</v>
      </c>
      <c r="U241" s="10" t="n">
        <f aca="false">IF($H241="숙박",0,IF(ISNUMBER(SEARCH("야경",$J241)),1,0))</f>
        <v>0</v>
      </c>
      <c r="V241" s="10" t="n">
        <f aca="false">IF($H241="숙박",0,1)</f>
        <v>1</v>
      </c>
    </row>
    <row r="242" customFormat="false" ht="15" hidden="false" customHeight="false" outlineLevel="0" collapsed="false">
      <c r="A242" s="8" t="n">
        <v>241</v>
      </c>
      <c r="B242" s="8" t="s">
        <v>45</v>
      </c>
      <c r="C242" s="8"/>
      <c r="D242" s="8" t="s">
        <v>828</v>
      </c>
      <c r="E242" s="7" t="s">
        <v>829</v>
      </c>
      <c r="F242" s="8" t="s">
        <v>59</v>
      </c>
      <c r="G242" s="8" t="s">
        <v>216</v>
      </c>
      <c r="H242" s="9" t="s">
        <v>216</v>
      </c>
      <c r="I242" s="9"/>
      <c r="J242" s="9" t="s">
        <v>479</v>
      </c>
      <c r="K242" s="9" t="s">
        <v>191</v>
      </c>
      <c r="L242" s="8"/>
      <c r="M242" s="8"/>
      <c r="N242" s="8"/>
      <c r="O242" s="8" t="s">
        <v>830</v>
      </c>
      <c r="P242" s="10" t="n">
        <f aca="false">IF($H242="숙박",0,IF($H242=MID(P$1,3,20),IF($I242="",1,0.6),IF($I242=MID(P$1,3,20),0.4,0)))</f>
        <v>0</v>
      </c>
      <c r="Q242" s="10" t="n">
        <f aca="false">IF($H242="숙박",0,IF($H242=MID(Q$1,3,20),IF($I242="",1,0.6),IF($I242=MID(Q$1,3,20),0.4,0)))</f>
        <v>0</v>
      </c>
      <c r="R242" s="10" t="n">
        <f aca="false">IF($H242="숙박",0,IF($H242=MID(R$1,3,20),IF($I242="",1,0.6),IF($I242=MID(R$1,3,20),0.4,0)))</f>
        <v>0</v>
      </c>
      <c r="S242" s="10" t="n">
        <f aca="false">IF($H242="숙박",0,IF($H242=MID(S$1,3,20),IF($I242="",1,0.6),IF($I242=MID(S$1,3,20),0.4,0)))</f>
        <v>1</v>
      </c>
      <c r="T242" s="10" t="n">
        <f aca="false">IF($H242="숙박",0,IF($H242=MID(T$1,3,20),IF($I242="",1,0.6),IF($I242=MID(T$1,3,20),0.4,0)))</f>
        <v>0</v>
      </c>
      <c r="U242" s="10" t="n">
        <f aca="false">IF($H242="숙박",0,IF(ISNUMBER(SEARCH("야경",$J242)),1,0))</f>
        <v>0</v>
      </c>
      <c r="V242" s="10" t="n">
        <f aca="false">IF($H242="숙박",0,1)</f>
        <v>1</v>
      </c>
    </row>
    <row r="243" customFormat="false" ht="15" hidden="false" customHeight="false" outlineLevel="0" collapsed="false">
      <c r="A243" s="8" t="n">
        <v>242</v>
      </c>
      <c r="B243" s="8" t="s">
        <v>45</v>
      </c>
      <c r="C243" s="8"/>
      <c r="D243" s="8" t="s">
        <v>831</v>
      </c>
      <c r="E243" s="7" t="s">
        <v>832</v>
      </c>
      <c r="F243" s="8" t="s">
        <v>59</v>
      </c>
      <c r="G243" s="8" t="s">
        <v>216</v>
      </c>
      <c r="H243" s="9" t="s">
        <v>216</v>
      </c>
      <c r="I243" s="9"/>
      <c r="J243" s="9" t="s">
        <v>479</v>
      </c>
      <c r="K243" s="9" t="s">
        <v>52</v>
      </c>
      <c r="L243" s="8"/>
      <c r="M243" s="8"/>
      <c r="N243" s="8"/>
      <c r="O243" s="8" t="s">
        <v>833</v>
      </c>
      <c r="P243" s="10" t="n">
        <f aca="false">IF($H243="숙박",0,IF($H243=MID(P$1,3,20),IF($I243="",1,0.6),IF($I243=MID(P$1,3,20),0.4,0)))</f>
        <v>0</v>
      </c>
      <c r="Q243" s="10" t="n">
        <f aca="false">IF($H243="숙박",0,IF($H243=MID(Q$1,3,20),IF($I243="",1,0.6),IF($I243=MID(Q$1,3,20),0.4,0)))</f>
        <v>0</v>
      </c>
      <c r="R243" s="10" t="n">
        <f aca="false">IF($H243="숙박",0,IF($H243=MID(R$1,3,20),IF($I243="",1,0.6),IF($I243=MID(R$1,3,20),0.4,0)))</f>
        <v>0</v>
      </c>
      <c r="S243" s="10" t="n">
        <f aca="false">IF($H243="숙박",0,IF($H243=MID(S$1,3,20),IF($I243="",1,0.6),IF($I243=MID(S$1,3,20),0.4,0)))</f>
        <v>1</v>
      </c>
      <c r="T243" s="10" t="n">
        <f aca="false">IF($H243="숙박",0,IF($H243=MID(T$1,3,20),IF($I243="",1,0.6),IF($I243=MID(T$1,3,20),0.4,0)))</f>
        <v>0</v>
      </c>
      <c r="U243" s="10" t="n">
        <f aca="false">IF($H243="숙박",0,IF(ISNUMBER(SEARCH("야경",$J243)),1,0))</f>
        <v>0</v>
      </c>
      <c r="V243" s="10" t="n">
        <f aca="false">IF($H243="숙박",0,1)</f>
        <v>1</v>
      </c>
    </row>
    <row r="244" customFormat="false" ht="15" hidden="false" customHeight="false" outlineLevel="0" collapsed="false">
      <c r="A244" s="8" t="n">
        <v>243</v>
      </c>
      <c r="B244" s="8" t="s">
        <v>45</v>
      </c>
      <c r="C244" s="8"/>
      <c r="D244" s="8" t="s">
        <v>834</v>
      </c>
      <c r="E244" s="7" t="s">
        <v>835</v>
      </c>
      <c r="F244" s="8" t="s">
        <v>59</v>
      </c>
      <c r="G244" s="8" t="s">
        <v>190</v>
      </c>
      <c r="H244" s="9" t="s">
        <v>190</v>
      </c>
      <c r="I244" s="9"/>
      <c r="J244" s="9" t="s">
        <v>523</v>
      </c>
      <c r="K244" s="9" t="s">
        <v>191</v>
      </c>
      <c r="L244" s="8"/>
      <c r="M244" s="8"/>
      <c r="N244" s="8"/>
      <c r="O244" s="8" t="s">
        <v>836</v>
      </c>
      <c r="P244" s="10" t="n">
        <f aca="false">IF($H244="숙박",0,IF($H244=MID(P$1,3,20),IF($I244="",1,0.6),IF($I244=MID(P$1,3,20),0.4,0)))</f>
        <v>1</v>
      </c>
      <c r="Q244" s="10" t="n">
        <f aca="false">IF($H244="숙박",0,IF($H244=MID(Q$1,3,20),IF($I244="",1,0.6),IF($I244=MID(Q$1,3,20),0.4,0)))</f>
        <v>0</v>
      </c>
      <c r="R244" s="10" t="n">
        <f aca="false">IF($H244="숙박",0,IF($H244=MID(R$1,3,20),IF($I244="",1,0.6),IF($I244=MID(R$1,3,20),0.4,0)))</f>
        <v>0</v>
      </c>
      <c r="S244" s="10" t="n">
        <f aca="false">IF($H244="숙박",0,IF($H244=MID(S$1,3,20),IF($I244="",1,0.6),IF($I244=MID(S$1,3,20),0.4,0)))</f>
        <v>0</v>
      </c>
      <c r="T244" s="10" t="n">
        <f aca="false">IF($H244="숙박",0,IF($H244=MID(T$1,3,20),IF($I244="",1,0.6),IF($I244=MID(T$1,3,20),0.4,0)))</f>
        <v>0</v>
      </c>
      <c r="U244" s="10" t="n">
        <f aca="false">IF($H244="숙박",0,IF(ISNUMBER(SEARCH("야경",$J244)),1,0))</f>
        <v>0</v>
      </c>
      <c r="V244" s="10" t="n">
        <f aca="false">IF($H244="숙박",0,1)</f>
        <v>1</v>
      </c>
    </row>
    <row r="245" customFormat="false" ht="15" hidden="false" customHeight="false" outlineLevel="0" collapsed="false">
      <c r="A245" s="8" t="n">
        <v>244</v>
      </c>
      <c r="B245" s="8" t="s">
        <v>45</v>
      </c>
      <c r="C245" s="8"/>
      <c r="D245" s="8" t="s">
        <v>837</v>
      </c>
      <c r="E245" s="7" t="s">
        <v>838</v>
      </c>
      <c r="F245" s="8" t="s">
        <v>59</v>
      </c>
      <c r="G245" s="8" t="s">
        <v>49</v>
      </c>
      <c r="H245" s="9" t="s">
        <v>49</v>
      </c>
      <c r="I245" s="9"/>
      <c r="J245" s="9" t="s">
        <v>479</v>
      </c>
      <c r="K245" s="9" t="s">
        <v>52</v>
      </c>
      <c r="L245" s="8"/>
      <c r="M245" s="8"/>
      <c r="N245" s="8"/>
      <c r="O245" s="8" t="s">
        <v>839</v>
      </c>
      <c r="P245" s="10" t="n">
        <f aca="false">IF($H245="숙박",0,IF($H245=MID(P$1,3,20),IF($I245="",1,0.6),IF($I245=MID(P$1,3,20),0.4,0)))</f>
        <v>0</v>
      </c>
      <c r="Q245" s="10" t="n">
        <f aca="false">IF($H245="숙박",0,IF($H245=MID(Q$1,3,20),IF($I245="",1,0.6),IF($I245=MID(Q$1,3,20),0.4,0)))</f>
        <v>1</v>
      </c>
      <c r="R245" s="10" t="n">
        <f aca="false">IF($H245="숙박",0,IF($H245=MID(R$1,3,20),IF($I245="",1,0.6),IF($I245=MID(R$1,3,20),0.4,0)))</f>
        <v>0</v>
      </c>
      <c r="S245" s="10" t="n">
        <f aca="false">IF($H245="숙박",0,IF($H245=MID(S$1,3,20),IF($I245="",1,0.6),IF($I245=MID(S$1,3,20),0.4,0)))</f>
        <v>0</v>
      </c>
      <c r="T245" s="10" t="n">
        <f aca="false">IF($H245="숙박",0,IF($H245=MID(T$1,3,20),IF($I245="",1,0.6),IF($I245=MID(T$1,3,20),0.4,0)))</f>
        <v>0</v>
      </c>
      <c r="U245" s="10" t="n">
        <f aca="false">IF($H245="숙박",0,IF(ISNUMBER(SEARCH("야경",$J245)),1,0))</f>
        <v>0</v>
      </c>
      <c r="V245" s="10" t="n">
        <f aca="false">IF($H245="숙박",0,1)</f>
        <v>1</v>
      </c>
    </row>
    <row r="246" customFormat="false" ht="15" hidden="false" customHeight="false" outlineLevel="0" collapsed="false">
      <c r="A246" s="8" t="n">
        <v>245</v>
      </c>
      <c r="B246" s="8" t="s">
        <v>45</v>
      </c>
      <c r="C246" s="8"/>
      <c r="D246" s="8" t="s">
        <v>840</v>
      </c>
      <c r="E246" s="7" t="s">
        <v>841</v>
      </c>
      <c r="F246" s="8" t="s">
        <v>59</v>
      </c>
      <c r="G246" s="8" t="s">
        <v>184</v>
      </c>
      <c r="H246" s="9" t="s">
        <v>184</v>
      </c>
      <c r="I246" s="9"/>
      <c r="J246" s="9" t="s">
        <v>479</v>
      </c>
      <c r="K246" s="9" t="s">
        <v>191</v>
      </c>
      <c r="L246" s="8"/>
      <c r="M246" s="8"/>
      <c r="N246" s="8"/>
      <c r="O246" s="7" t="s">
        <v>842</v>
      </c>
      <c r="P246" s="10" t="n">
        <f aca="false">IF($H246="숙박",0,IF($H246=MID(P$1,3,20),IF($I246="",1,0.6),IF($I246=MID(P$1,3,20),0.4,0)))</f>
        <v>0</v>
      </c>
      <c r="Q246" s="10" t="n">
        <f aca="false">IF($H246="숙박",0,IF($H246=MID(Q$1,3,20),IF($I246="",1,0.6),IF($I246=MID(Q$1,3,20),0.4,0)))</f>
        <v>0</v>
      </c>
      <c r="R246" s="10" t="n">
        <f aca="false">IF($H246="숙박",0,IF($H246=MID(R$1,3,20),IF($I246="",1,0.6),IF($I246=MID(R$1,3,20),0.4,0)))</f>
        <v>1</v>
      </c>
      <c r="S246" s="10" t="n">
        <f aca="false">IF($H246="숙박",0,IF($H246=MID(S$1,3,20),IF($I246="",1,0.6),IF($I246=MID(S$1,3,20),0.4,0)))</f>
        <v>0</v>
      </c>
      <c r="T246" s="10" t="n">
        <f aca="false">IF($H246="숙박",0,IF($H246=MID(T$1,3,20),IF($I246="",1,0.6),IF($I246=MID(T$1,3,20),0.4,0)))</f>
        <v>0</v>
      </c>
      <c r="U246" s="10" t="n">
        <f aca="false">IF($H246="숙박",0,IF(ISNUMBER(SEARCH("야경",$J246)),1,0))</f>
        <v>0</v>
      </c>
      <c r="V246" s="10" t="n">
        <f aca="false">IF($H246="숙박",0,1)</f>
        <v>1</v>
      </c>
    </row>
    <row r="247" customFormat="false" ht="15" hidden="false" customHeight="false" outlineLevel="0" collapsed="false">
      <c r="A247" s="8" t="n">
        <v>246</v>
      </c>
      <c r="B247" s="8" t="s">
        <v>56</v>
      </c>
      <c r="C247" s="8"/>
      <c r="D247" s="8" t="s">
        <v>843</v>
      </c>
      <c r="E247" s="7" t="s">
        <v>844</v>
      </c>
      <c r="F247" s="8" t="s">
        <v>59</v>
      </c>
      <c r="G247" s="8" t="s">
        <v>184</v>
      </c>
      <c r="H247" s="9" t="s">
        <v>184</v>
      </c>
      <c r="I247" s="9" t="s">
        <v>190</v>
      </c>
      <c r="J247" s="9" t="s">
        <v>523</v>
      </c>
      <c r="K247" s="9" t="s">
        <v>191</v>
      </c>
      <c r="L247" s="8"/>
      <c r="M247" s="8"/>
      <c r="N247" s="8" t="s">
        <v>483</v>
      </c>
      <c r="O247" s="8" t="s">
        <v>845</v>
      </c>
      <c r="P247" s="10" t="n">
        <f aca="false">IF($H247="숙박",0,IF($H247=MID(P$1,3,20),IF($I247="",1,0.6),IF($I247=MID(P$1,3,20),0.4,0)))</f>
        <v>0.4</v>
      </c>
      <c r="Q247" s="10" t="n">
        <f aca="false">IF($H247="숙박",0,IF($H247=MID(Q$1,3,20),IF($I247="",1,0.6),IF($I247=MID(Q$1,3,20),0.4,0)))</f>
        <v>0</v>
      </c>
      <c r="R247" s="10" t="n">
        <f aca="false">IF($H247="숙박",0,IF($H247=MID(R$1,3,20),IF($I247="",1,0.6),IF($I247=MID(R$1,3,20),0.4,0)))</f>
        <v>0.6</v>
      </c>
      <c r="S247" s="10" t="n">
        <f aca="false">IF($H247="숙박",0,IF($H247=MID(S$1,3,20),IF($I247="",1,0.6),IF($I247=MID(S$1,3,20),0.4,0)))</f>
        <v>0</v>
      </c>
      <c r="T247" s="10" t="n">
        <f aca="false">IF($H247="숙박",0,IF($H247=MID(T$1,3,20),IF($I247="",1,0.6),IF($I247=MID(T$1,3,20),0.4,0)))</f>
        <v>0</v>
      </c>
      <c r="U247" s="10" t="n">
        <f aca="false">IF($H247="숙박",0,IF(ISNUMBER(SEARCH("야경",$J247)),1,0))</f>
        <v>0</v>
      </c>
      <c r="V247" s="10" t="n">
        <f aca="false">IF($H247="숙박",0,1)</f>
        <v>1</v>
      </c>
    </row>
    <row r="248" customFormat="false" ht="15" hidden="false" customHeight="false" outlineLevel="0" collapsed="false">
      <c r="A248" s="8" t="n">
        <v>247</v>
      </c>
      <c r="B248" s="8" t="s">
        <v>45</v>
      </c>
      <c r="C248" s="8"/>
      <c r="D248" s="8" t="s">
        <v>846</v>
      </c>
      <c r="E248" s="7" t="s">
        <v>847</v>
      </c>
      <c r="F248" s="8" t="s">
        <v>59</v>
      </c>
      <c r="G248" s="8" t="s">
        <v>184</v>
      </c>
      <c r="H248" s="9" t="s">
        <v>184</v>
      </c>
      <c r="I248" s="9"/>
      <c r="J248" s="9" t="s">
        <v>523</v>
      </c>
      <c r="K248" s="9" t="s">
        <v>191</v>
      </c>
      <c r="L248" s="8"/>
      <c r="M248" s="8"/>
      <c r="N248" s="8"/>
      <c r="O248" s="8" t="s">
        <v>848</v>
      </c>
      <c r="P248" s="10" t="n">
        <f aca="false">IF($H248="숙박",0,IF($H248=MID(P$1,3,20),IF($I248="",1,0.6),IF($I248=MID(P$1,3,20),0.4,0)))</f>
        <v>0</v>
      </c>
      <c r="Q248" s="10" t="n">
        <f aca="false">IF($H248="숙박",0,IF($H248=MID(Q$1,3,20),IF($I248="",1,0.6),IF($I248=MID(Q$1,3,20),0.4,0)))</f>
        <v>0</v>
      </c>
      <c r="R248" s="10" t="n">
        <f aca="false">IF($H248="숙박",0,IF($H248=MID(R$1,3,20),IF($I248="",1,0.6),IF($I248=MID(R$1,3,20),0.4,0)))</f>
        <v>1</v>
      </c>
      <c r="S248" s="10" t="n">
        <f aca="false">IF($H248="숙박",0,IF($H248=MID(S$1,3,20),IF($I248="",1,0.6),IF($I248=MID(S$1,3,20),0.4,0)))</f>
        <v>0</v>
      </c>
      <c r="T248" s="10" t="n">
        <f aca="false">IF($H248="숙박",0,IF($H248=MID(T$1,3,20),IF($I248="",1,0.6),IF($I248=MID(T$1,3,20),0.4,0)))</f>
        <v>0</v>
      </c>
      <c r="U248" s="10" t="n">
        <f aca="false">IF($H248="숙박",0,IF(ISNUMBER(SEARCH("야경",$J248)),1,0))</f>
        <v>0</v>
      </c>
      <c r="V248" s="10" t="n">
        <f aca="false">IF($H248="숙박",0,1)</f>
        <v>1</v>
      </c>
    </row>
    <row r="249" customFormat="false" ht="15" hidden="false" customHeight="false" outlineLevel="0" collapsed="false">
      <c r="A249" s="8" t="n">
        <v>248</v>
      </c>
      <c r="B249" s="8" t="s">
        <v>45</v>
      </c>
      <c r="C249" s="8"/>
      <c r="D249" s="8" t="s">
        <v>849</v>
      </c>
      <c r="E249" s="7" t="s">
        <v>850</v>
      </c>
      <c r="F249" s="8" t="s">
        <v>59</v>
      </c>
      <c r="G249" s="8" t="s">
        <v>216</v>
      </c>
      <c r="H249" s="9" t="s">
        <v>216</v>
      </c>
      <c r="I249" s="9"/>
      <c r="J249" s="9" t="s">
        <v>523</v>
      </c>
      <c r="K249" s="9" t="s">
        <v>52</v>
      </c>
      <c r="L249" s="8"/>
      <c r="M249" s="8"/>
      <c r="N249" s="8"/>
      <c r="O249" s="8" t="s">
        <v>851</v>
      </c>
      <c r="P249" s="10" t="n">
        <f aca="false">IF($H249="숙박",0,IF($H249=MID(P$1,3,20),IF($I249="",1,0.6),IF($I249=MID(P$1,3,20),0.4,0)))</f>
        <v>0</v>
      </c>
      <c r="Q249" s="10" t="n">
        <f aca="false">IF($H249="숙박",0,IF($H249=MID(Q$1,3,20),IF($I249="",1,0.6),IF($I249=MID(Q$1,3,20),0.4,0)))</f>
        <v>0</v>
      </c>
      <c r="R249" s="10" t="n">
        <f aca="false">IF($H249="숙박",0,IF($H249=MID(R$1,3,20),IF($I249="",1,0.6),IF($I249=MID(R$1,3,20),0.4,0)))</f>
        <v>0</v>
      </c>
      <c r="S249" s="10" t="n">
        <f aca="false">IF($H249="숙박",0,IF($H249=MID(S$1,3,20),IF($I249="",1,0.6),IF($I249=MID(S$1,3,20),0.4,0)))</f>
        <v>1</v>
      </c>
      <c r="T249" s="10" t="n">
        <f aca="false">IF($H249="숙박",0,IF($H249=MID(T$1,3,20),IF($I249="",1,0.6),IF($I249=MID(T$1,3,20),0.4,0)))</f>
        <v>0</v>
      </c>
      <c r="U249" s="10" t="n">
        <f aca="false">IF($H249="숙박",0,IF(ISNUMBER(SEARCH("야경",$J249)),1,0))</f>
        <v>0</v>
      </c>
      <c r="V249" s="10" t="n">
        <f aca="false">IF($H249="숙박",0,1)</f>
        <v>1</v>
      </c>
    </row>
    <row r="250" customFormat="false" ht="15" hidden="false" customHeight="false" outlineLevel="0" collapsed="false">
      <c r="A250" s="8" t="n">
        <v>249</v>
      </c>
      <c r="B250" s="8" t="s">
        <v>45</v>
      </c>
      <c r="C250" s="8"/>
      <c r="D250" s="8" t="s">
        <v>852</v>
      </c>
      <c r="E250" s="7" t="s">
        <v>853</v>
      </c>
      <c r="F250" s="8" t="s">
        <v>199</v>
      </c>
      <c r="G250" s="8" t="s">
        <v>49</v>
      </c>
      <c r="H250" s="9" t="s">
        <v>49</v>
      </c>
      <c r="I250" s="9" t="s">
        <v>184</v>
      </c>
      <c r="J250" s="9" t="s">
        <v>479</v>
      </c>
      <c r="K250" s="9" t="s">
        <v>52</v>
      </c>
      <c r="L250" s="8"/>
      <c r="M250" s="8"/>
      <c r="N250" s="8" t="s">
        <v>483</v>
      </c>
      <c r="O250" s="8" t="s">
        <v>854</v>
      </c>
      <c r="P250" s="10" t="n">
        <f aca="false">IF($H250="숙박",0,IF($H250=MID(P$1,3,20),IF($I250="",1,0.6),IF($I250=MID(P$1,3,20),0.4,0)))</f>
        <v>0</v>
      </c>
      <c r="Q250" s="10" t="n">
        <f aca="false">IF($H250="숙박",0,IF($H250=MID(Q$1,3,20),IF($I250="",1,0.6),IF($I250=MID(Q$1,3,20),0.4,0)))</f>
        <v>0.6</v>
      </c>
      <c r="R250" s="10" t="n">
        <f aca="false">IF($H250="숙박",0,IF($H250=MID(R$1,3,20),IF($I250="",1,0.6),IF($I250=MID(R$1,3,20),0.4,0)))</f>
        <v>0.4</v>
      </c>
      <c r="S250" s="10" t="n">
        <f aca="false">IF($H250="숙박",0,IF($H250=MID(S$1,3,20),IF($I250="",1,0.6),IF($I250=MID(S$1,3,20),0.4,0)))</f>
        <v>0</v>
      </c>
      <c r="T250" s="10" t="n">
        <f aca="false">IF($H250="숙박",0,IF($H250=MID(T$1,3,20),IF($I250="",1,0.6),IF($I250=MID(T$1,3,20),0.4,0)))</f>
        <v>0</v>
      </c>
      <c r="U250" s="10" t="n">
        <f aca="false">IF($H250="숙박",0,IF(ISNUMBER(SEARCH("야경",$J250)),1,0))</f>
        <v>0</v>
      </c>
      <c r="V250" s="10" t="n">
        <f aca="false">IF($H250="숙박",0,1)</f>
        <v>1</v>
      </c>
    </row>
    <row r="251" customFormat="false" ht="15" hidden="false" customHeight="false" outlineLevel="0" collapsed="false">
      <c r="A251" s="8" t="n">
        <v>250</v>
      </c>
      <c r="B251" s="8" t="s">
        <v>485</v>
      </c>
      <c r="C251" s="8"/>
      <c r="D251" s="8" t="s">
        <v>855</v>
      </c>
      <c r="E251" s="7" t="s">
        <v>856</v>
      </c>
      <c r="F251" s="8" t="s">
        <v>199</v>
      </c>
      <c r="G251" s="8" t="s">
        <v>190</v>
      </c>
      <c r="H251" s="9" t="s">
        <v>190</v>
      </c>
      <c r="I251" s="9" t="s">
        <v>216</v>
      </c>
      <c r="J251" s="9" t="s">
        <v>479</v>
      </c>
      <c r="K251" s="9" t="s">
        <v>52</v>
      </c>
      <c r="L251" s="8"/>
      <c r="M251" s="8"/>
      <c r="N251" s="8" t="s">
        <v>483</v>
      </c>
      <c r="O251" s="8" t="s">
        <v>857</v>
      </c>
      <c r="P251" s="10" t="n">
        <f aca="false">IF($H251="숙박",0,IF($H251=MID(P$1,3,20),IF($I251="",1,0.6),IF($I251=MID(P$1,3,20),0.4,0)))</f>
        <v>0.6</v>
      </c>
      <c r="Q251" s="10" t="n">
        <f aca="false">IF($H251="숙박",0,IF($H251=MID(Q$1,3,20),IF($I251="",1,0.6),IF($I251=MID(Q$1,3,20),0.4,0)))</f>
        <v>0</v>
      </c>
      <c r="R251" s="10" t="n">
        <f aca="false">IF($H251="숙박",0,IF($H251=MID(R$1,3,20),IF($I251="",1,0.6),IF($I251=MID(R$1,3,20),0.4,0)))</f>
        <v>0</v>
      </c>
      <c r="S251" s="10" t="n">
        <f aca="false">IF($H251="숙박",0,IF($H251=MID(S$1,3,20),IF($I251="",1,0.6),IF($I251=MID(S$1,3,20),0.4,0)))</f>
        <v>0.4</v>
      </c>
      <c r="T251" s="10" t="n">
        <f aca="false">IF($H251="숙박",0,IF($H251=MID(T$1,3,20),IF($I251="",1,0.6),IF($I251=MID(T$1,3,20),0.4,0)))</f>
        <v>0</v>
      </c>
      <c r="U251" s="10" t="n">
        <f aca="false">IF($H251="숙박",0,IF(ISNUMBER(SEARCH("야경",$J251)),1,0))</f>
        <v>0</v>
      </c>
      <c r="V251" s="10" t="n">
        <f aca="false">IF($H251="숙박",0,1)</f>
        <v>1</v>
      </c>
    </row>
    <row r="252" customFormat="false" ht="15" hidden="false" customHeight="false" outlineLevel="0" collapsed="false">
      <c r="A252" s="8" t="n">
        <v>251</v>
      </c>
      <c r="B252" s="8" t="s">
        <v>45</v>
      </c>
      <c r="C252" s="8"/>
      <c r="D252" s="8" t="s">
        <v>858</v>
      </c>
      <c r="E252" s="7" t="s">
        <v>859</v>
      </c>
      <c r="F252" s="7" t="s">
        <v>189</v>
      </c>
      <c r="G252" s="8" t="s">
        <v>190</v>
      </c>
      <c r="H252" s="9" t="s">
        <v>190</v>
      </c>
      <c r="I252" s="9"/>
      <c r="J252" s="9" t="s">
        <v>479</v>
      </c>
      <c r="K252" s="9" t="s">
        <v>191</v>
      </c>
      <c r="L252" s="8"/>
      <c r="M252" s="8"/>
      <c r="N252" s="8"/>
      <c r="O252" s="8" t="s">
        <v>860</v>
      </c>
      <c r="P252" s="10" t="n">
        <f aca="false">IF($H252="숙박",0,IF($H252=MID(P$1,3,20),IF($I252="",1,0.6),IF($I252=MID(P$1,3,20),0.4,0)))</f>
        <v>1</v>
      </c>
      <c r="Q252" s="10" t="n">
        <f aca="false">IF($H252="숙박",0,IF($H252=MID(Q$1,3,20),IF($I252="",1,0.6),IF($I252=MID(Q$1,3,20),0.4,0)))</f>
        <v>0</v>
      </c>
      <c r="R252" s="10" t="n">
        <f aca="false">IF($H252="숙박",0,IF($H252=MID(R$1,3,20),IF($I252="",1,0.6),IF($I252=MID(R$1,3,20),0.4,0)))</f>
        <v>0</v>
      </c>
      <c r="S252" s="10" t="n">
        <f aca="false">IF($H252="숙박",0,IF($H252=MID(S$1,3,20),IF($I252="",1,0.6),IF($I252=MID(S$1,3,20),0.4,0)))</f>
        <v>0</v>
      </c>
      <c r="T252" s="10" t="n">
        <f aca="false">IF($H252="숙박",0,IF($H252=MID(T$1,3,20),IF($I252="",1,0.6),IF($I252=MID(T$1,3,20),0.4,0)))</f>
        <v>0</v>
      </c>
      <c r="U252" s="10" t="n">
        <f aca="false">IF($H252="숙박",0,IF(ISNUMBER(SEARCH("야경",$J252)),1,0))</f>
        <v>0</v>
      </c>
      <c r="V252" s="10" t="n">
        <f aca="false">IF($H252="숙박",0,1)</f>
        <v>1</v>
      </c>
    </row>
    <row r="253" customFormat="false" ht="15" hidden="false" customHeight="false" outlineLevel="0" collapsed="false">
      <c r="A253" s="8" t="n">
        <v>252</v>
      </c>
      <c r="B253" s="8" t="s">
        <v>45</v>
      </c>
      <c r="C253" s="8"/>
      <c r="D253" s="8" t="s">
        <v>861</v>
      </c>
      <c r="E253" s="7" t="s">
        <v>862</v>
      </c>
      <c r="F253" s="8" t="s">
        <v>48</v>
      </c>
      <c r="G253" s="8" t="s">
        <v>49</v>
      </c>
      <c r="H253" s="9" t="s">
        <v>49</v>
      </c>
      <c r="I253" s="9"/>
      <c r="J253" s="9" t="s">
        <v>479</v>
      </c>
      <c r="K253" s="9" t="s">
        <v>52</v>
      </c>
      <c r="L253" s="8"/>
      <c r="M253" s="8"/>
      <c r="N253" s="8"/>
      <c r="O253" s="8" t="s">
        <v>863</v>
      </c>
      <c r="P253" s="10" t="n">
        <f aca="false">IF($H253="숙박",0,IF($H253=MID(P$1,3,20),IF($I253="",1,0.6),IF($I253=MID(P$1,3,20),0.4,0)))</f>
        <v>0</v>
      </c>
      <c r="Q253" s="10" t="n">
        <f aca="false">IF($H253="숙박",0,IF($H253=MID(Q$1,3,20),IF($I253="",1,0.6),IF($I253=MID(Q$1,3,20),0.4,0)))</f>
        <v>1</v>
      </c>
      <c r="R253" s="10" t="n">
        <f aca="false">IF($H253="숙박",0,IF($H253=MID(R$1,3,20),IF($I253="",1,0.6),IF($I253=MID(R$1,3,20),0.4,0)))</f>
        <v>0</v>
      </c>
      <c r="S253" s="10" t="n">
        <f aca="false">IF($H253="숙박",0,IF($H253=MID(S$1,3,20),IF($I253="",1,0.6),IF($I253=MID(S$1,3,20),0.4,0)))</f>
        <v>0</v>
      </c>
      <c r="T253" s="10" t="n">
        <f aca="false">IF($H253="숙박",0,IF($H253=MID(T$1,3,20),IF($I253="",1,0.6),IF($I253=MID(T$1,3,20),0.4,0)))</f>
        <v>0</v>
      </c>
      <c r="U253" s="10" t="n">
        <f aca="false">IF($H253="숙박",0,IF(ISNUMBER(SEARCH("야경",$J253)),1,0))</f>
        <v>0</v>
      </c>
      <c r="V253" s="10" t="n">
        <f aca="false">IF($H253="숙박",0,1)</f>
        <v>1</v>
      </c>
    </row>
    <row r="254" customFormat="false" ht="15" hidden="false" customHeight="false" outlineLevel="0" collapsed="false">
      <c r="A254" s="8" t="n">
        <v>253</v>
      </c>
      <c r="B254" s="8" t="s">
        <v>45</v>
      </c>
      <c r="C254" s="8"/>
      <c r="D254" s="8" t="s">
        <v>864</v>
      </c>
      <c r="E254" s="7" t="s">
        <v>865</v>
      </c>
      <c r="F254" s="8" t="s">
        <v>48</v>
      </c>
      <c r="G254" s="8" t="s">
        <v>49</v>
      </c>
      <c r="H254" s="9" t="s">
        <v>49</v>
      </c>
      <c r="I254" s="9"/>
      <c r="J254" s="9" t="s">
        <v>479</v>
      </c>
      <c r="K254" s="9" t="s">
        <v>209</v>
      </c>
      <c r="L254" s="8"/>
      <c r="M254" s="8"/>
      <c r="N254" s="8"/>
      <c r="O254" s="8" t="s">
        <v>866</v>
      </c>
      <c r="P254" s="10" t="n">
        <f aca="false">IF($H254="숙박",0,IF($H254=MID(P$1,3,20),IF($I254="",1,0.6),IF($I254=MID(P$1,3,20),0.4,0)))</f>
        <v>0</v>
      </c>
      <c r="Q254" s="10" t="n">
        <f aca="false">IF($H254="숙박",0,IF($H254=MID(Q$1,3,20),IF($I254="",1,0.6),IF($I254=MID(Q$1,3,20),0.4,0)))</f>
        <v>1</v>
      </c>
      <c r="R254" s="10" t="n">
        <f aca="false">IF($H254="숙박",0,IF($H254=MID(R$1,3,20),IF($I254="",1,0.6),IF($I254=MID(R$1,3,20),0.4,0)))</f>
        <v>0</v>
      </c>
      <c r="S254" s="10" t="n">
        <f aca="false">IF($H254="숙박",0,IF($H254=MID(S$1,3,20),IF($I254="",1,0.6),IF($I254=MID(S$1,3,20),0.4,0)))</f>
        <v>0</v>
      </c>
      <c r="T254" s="10" t="n">
        <f aca="false">IF($H254="숙박",0,IF($H254=MID(T$1,3,20),IF($I254="",1,0.6),IF($I254=MID(T$1,3,20),0.4,0)))</f>
        <v>0</v>
      </c>
      <c r="U254" s="10" t="n">
        <f aca="false">IF($H254="숙박",0,IF(ISNUMBER(SEARCH("야경",$J254)),1,0))</f>
        <v>0</v>
      </c>
      <c r="V254" s="10" t="n">
        <f aca="false">IF($H254="숙박",0,1)</f>
        <v>1</v>
      </c>
    </row>
    <row r="255" customFormat="false" ht="15" hidden="false" customHeight="false" outlineLevel="0" collapsed="false">
      <c r="A255" s="8" t="n">
        <v>254</v>
      </c>
      <c r="B255" s="8" t="s">
        <v>45</v>
      </c>
      <c r="C255" s="8"/>
      <c r="D255" s="8" t="s">
        <v>867</v>
      </c>
      <c r="E255" s="7" t="s">
        <v>868</v>
      </c>
      <c r="F255" s="8" t="s">
        <v>48</v>
      </c>
      <c r="G255" s="8" t="s">
        <v>49</v>
      </c>
      <c r="H255" s="9" t="s">
        <v>49</v>
      </c>
      <c r="I255" s="9" t="s">
        <v>190</v>
      </c>
      <c r="J255" s="9" t="s">
        <v>479</v>
      </c>
      <c r="K255" s="9" t="s">
        <v>52</v>
      </c>
      <c r="L255" s="8"/>
      <c r="M255" s="8"/>
      <c r="N255" s="8" t="s">
        <v>483</v>
      </c>
      <c r="O255" s="8" t="s">
        <v>869</v>
      </c>
      <c r="P255" s="10" t="n">
        <f aca="false">IF($H255="숙박",0,IF($H255=MID(P$1,3,20),IF($I255="",1,0.6),IF($I255=MID(P$1,3,20),0.4,0)))</f>
        <v>0.4</v>
      </c>
      <c r="Q255" s="10" t="n">
        <f aca="false">IF($H255="숙박",0,IF($H255=MID(Q$1,3,20),IF($I255="",1,0.6),IF($I255=MID(Q$1,3,20),0.4,0)))</f>
        <v>0.6</v>
      </c>
      <c r="R255" s="10" t="n">
        <f aca="false">IF($H255="숙박",0,IF($H255=MID(R$1,3,20),IF($I255="",1,0.6),IF($I255=MID(R$1,3,20),0.4,0)))</f>
        <v>0</v>
      </c>
      <c r="S255" s="10" t="n">
        <f aca="false">IF($H255="숙박",0,IF($H255=MID(S$1,3,20),IF($I255="",1,0.6),IF($I255=MID(S$1,3,20),0.4,0)))</f>
        <v>0</v>
      </c>
      <c r="T255" s="10" t="n">
        <f aca="false">IF($H255="숙박",0,IF($H255=MID(T$1,3,20),IF($I255="",1,0.6),IF($I255=MID(T$1,3,20),0.4,0)))</f>
        <v>0</v>
      </c>
      <c r="U255" s="10" t="n">
        <f aca="false">IF($H255="숙박",0,IF(ISNUMBER(SEARCH("야경",$J255)),1,0))</f>
        <v>0</v>
      </c>
      <c r="V255" s="10" t="n">
        <f aca="false">IF($H255="숙박",0,1)</f>
        <v>1</v>
      </c>
    </row>
    <row r="256" customFormat="false" ht="15" hidden="false" customHeight="false" outlineLevel="0" collapsed="false">
      <c r="A256" s="8" t="n">
        <v>255</v>
      </c>
      <c r="B256" s="8" t="s">
        <v>45</v>
      </c>
      <c r="C256" s="8"/>
      <c r="D256" s="8" t="s">
        <v>870</v>
      </c>
      <c r="E256" s="7" t="s">
        <v>871</v>
      </c>
      <c r="F256" s="8" t="s">
        <v>59</v>
      </c>
      <c r="G256" s="8" t="s">
        <v>184</v>
      </c>
      <c r="H256" s="9" t="s">
        <v>184</v>
      </c>
      <c r="I256" s="9"/>
      <c r="J256" s="9" t="s">
        <v>479</v>
      </c>
      <c r="K256" s="9" t="s">
        <v>191</v>
      </c>
      <c r="L256" s="8"/>
      <c r="M256" s="8"/>
      <c r="N256" s="8"/>
      <c r="O256" s="8" t="s">
        <v>872</v>
      </c>
      <c r="P256" s="10" t="n">
        <f aca="false">IF($H256="숙박",0,IF($H256=MID(P$1,3,20),IF($I256="",1,0.6),IF($I256=MID(P$1,3,20),0.4,0)))</f>
        <v>0</v>
      </c>
      <c r="Q256" s="10" t="n">
        <f aca="false">IF($H256="숙박",0,IF($H256=MID(Q$1,3,20),IF($I256="",1,0.6),IF($I256=MID(Q$1,3,20),0.4,0)))</f>
        <v>0</v>
      </c>
      <c r="R256" s="10" t="n">
        <f aca="false">IF($H256="숙박",0,IF($H256=MID(R$1,3,20),IF($I256="",1,0.6),IF($I256=MID(R$1,3,20),0.4,0)))</f>
        <v>1</v>
      </c>
      <c r="S256" s="10" t="n">
        <f aca="false">IF($H256="숙박",0,IF($H256=MID(S$1,3,20),IF($I256="",1,0.6),IF($I256=MID(S$1,3,20),0.4,0)))</f>
        <v>0</v>
      </c>
      <c r="T256" s="10" t="n">
        <f aca="false">IF($H256="숙박",0,IF($H256=MID(T$1,3,20),IF($I256="",1,0.6),IF($I256=MID(T$1,3,20),0.4,0)))</f>
        <v>0</v>
      </c>
      <c r="U256" s="10" t="n">
        <f aca="false">IF($H256="숙박",0,IF(ISNUMBER(SEARCH("야경",$J256)),1,0))</f>
        <v>0</v>
      </c>
      <c r="V256" s="10" t="n">
        <f aca="false">IF($H256="숙박",0,1)</f>
        <v>1</v>
      </c>
    </row>
    <row r="257" customFormat="false" ht="15" hidden="false" customHeight="false" outlineLevel="0" collapsed="false">
      <c r="A257" s="8" t="n">
        <v>256</v>
      </c>
      <c r="B257" s="8" t="s">
        <v>45</v>
      </c>
      <c r="C257" s="8"/>
      <c r="D257" s="8" t="s">
        <v>873</v>
      </c>
      <c r="E257" s="7" t="s">
        <v>874</v>
      </c>
      <c r="F257" s="8" t="s">
        <v>48</v>
      </c>
      <c r="G257" s="8" t="s">
        <v>49</v>
      </c>
      <c r="H257" s="9" t="s">
        <v>49</v>
      </c>
      <c r="I257" s="9"/>
      <c r="J257" s="9" t="s">
        <v>479</v>
      </c>
      <c r="K257" s="9" t="s">
        <v>52</v>
      </c>
      <c r="L257" s="8"/>
      <c r="M257" s="8"/>
      <c r="N257" s="8"/>
      <c r="O257" s="8" t="s">
        <v>875</v>
      </c>
      <c r="P257" s="10" t="n">
        <f aca="false">IF($H257="숙박",0,IF($H257=MID(P$1,3,20),IF($I257="",1,0.6),IF($I257=MID(P$1,3,20),0.4,0)))</f>
        <v>0</v>
      </c>
      <c r="Q257" s="10" t="n">
        <f aca="false">IF($H257="숙박",0,IF($H257=MID(Q$1,3,20),IF($I257="",1,0.6),IF($I257=MID(Q$1,3,20),0.4,0)))</f>
        <v>1</v>
      </c>
      <c r="R257" s="10" t="n">
        <f aca="false">IF($H257="숙박",0,IF($H257=MID(R$1,3,20),IF($I257="",1,0.6),IF($I257=MID(R$1,3,20),0.4,0)))</f>
        <v>0</v>
      </c>
      <c r="S257" s="10" t="n">
        <f aca="false">IF($H257="숙박",0,IF($H257=MID(S$1,3,20),IF($I257="",1,0.6),IF($I257=MID(S$1,3,20),0.4,0)))</f>
        <v>0</v>
      </c>
      <c r="T257" s="10" t="n">
        <f aca="false">IF($H257="숙박",0,IF($H257=MID(T$1,3,20),IF($I257="",1,0.6),IF($I257=MID(T$1,3,20),0.4,0)))</f>
        <v>0</v>
      </c>
      <c r="U257" s="10" t="n">
        <f aca="false">IF($H257="숙박",0,IF(ISNUMBER(SEARCH("야경",$J257)),1,0))</f>
        <v>0</v>
      </c>
      <c r="V257" s="10" t="n">
        <f aca="false">IF($H257="숙박",0,1)</f>
        <v>1</v>
      </c>
    </row>
    <row r="258" customFormat="false" ht="15" hidden="false" customHeight="false" outlineLevel="0" collapsed="false">
      <c r="A258" s="8" t="n">
        <v>257</v>
      </c>
      <c r="B258" s="8" t="s">
        <v>45</v>
      </c>
      <c r="C258" s="8"/>
      <c r="D258" s="8" t="s">
        <v>876</v>
      </c>
      <c r="E258" s="7" t="s">
        <v>877</v>
      </c>
      <c r="F258" s="8" t="s">
        <v>48</v>
      </c>
      <c r="G258" s="8" t="s">
        <v>190</v>
      </c>
      <c r="H258" s="9" t="s">
        <v>190</v>
      </c>
      <c r="I258" s="9" t="s">
        <v>49</v>
      </c>
      <c r="J258" s="9" t="s">
        <v>479</v>
      </c>
      <c r="K258" s="9" t="s">
        <v>52</v>
      </c>
      <c r="L258" s="8"/>
      <c r="M258" s="8"/>
      <c r="N258" s="8" t="s">
        <v>483</v>
      </c>
      <c r="O258" s="8" t="s">
        <v>878</v>
      </c>
      <c r="P258" s="10" t="n">
        <f aca="false">IF($H258="숙박",0,IF($H258=MID(P$1,3,20),IF($I258="",1,0.6),IF($I258=MID(P$1,3,20),0.4,0)))</f>
        <v>0.6</v>
      </c>
      <c r="Q258" s="10" t="n">
        <f aca="false">IF($H258="숙박",0,IF($H258=MID(Q$1,3,20),IF($I258="",1,0.6),IF($I258=MID(Q$1,3,20),0.4,0)))</f>
        <v>0.4</v>
      </c>
      <c r="R258" s="10" t="n">
        <f aca="false">IF($H258="숙박",0,IF($H258=MID(R$1,3,20),IF($I258="",1,0.6),IF($I258=MID(R$1,3,20),0.4,0)))</f>
        <v>0</v>
      </c>
      <c r="S258" s="10" t="n">
        <f aca="false">IF($H258="숙박",0,IF($H258=MID(S$1,3,20),IF($I258="",1,0.6),IF($I258=MID(S$1,3,20),0.4,0)))</f>
        <v>0</v>
      </c>
      <c r="T258" s="10" t="n">
        <f aca="false">IF($H258="숙박",0,IF($H258=MID(T$1,3,20),IF($I258="",1,0.6),IF($I258=MID(T$1,3,20),0.4,0)))</f>
        <v>0</v>
      </c>
      <c r="U258" s="10" t="n">
        <f aca="false">IF($H258="숙박",0,IF(ISNUMBER(SEARCH("야경",$J258)),1,0))</f>
        <v>0</v>
      </c>
      <c r="V258" s="10" t="n">
        <f aca="false">IF($H258="숙박",0,1)</f>
        <v>1</v>
      </c>
    </row>
    <row r="259" customFormat="false" ht="15" hidden="false" customHeight="false" outlineLevel="0" collapsed="false">
      <c r="A259" s="8" t="n">
        <v>258</v>
      </c>
      <c r="B259" s="8" t="s">
        <v>45</v>
      </c>
      <c r="C259" s="8"/>
      <c r="D259" s="8" t="s">
        <v>879</v>
      </c>
      <c r="E259" s="7" t="s">
        <v>880</v>
      </c>
      <c r="F259" s="8" t="s">
        <v>59</v>
      </c>
      <c r="G259" s="8" t="s">
        <v>216</v>
      </c>
      <c r="H259" s="9" t="s">
        <v>216</v>
      </c>
      <c r="I259" s="9" t="s">
        <v>184</v>
      </c>
      <c r="J259" s="9" t="s">
        <v>479</v>
      </c>
      <c r="K259" s="9" t="s">
        <v>191</v>
      </c>
      <c r="L259" s="8"/>
      <c r="M259" s="8"/>
      <c r="N259" s="8" t="s">
        <v>483</v>
      </c>
      <c r="O259" s="7" t="s">
        <v>881</v>
      </c>
      <c r="P259" s="10" t="n">
        <f aca="false">IF($H259="숙박",0,IF($H259=MID(P$1,3,20),IF($I259="",1,0.6),IF($I259=MID(P$1,3,20),0.4,0)))</f>
        <v>0</v>
      </c>
      <c r="Q259" s="10" t="n">
        <f aca="false">IF($H259="숙박",0,IF($H259=MID(Q$1,3,20),IF($I259="",1,0.6),IF($I259=MID(Q$1,3,20),0.4,0)))</f>
        <v>0</v>
      </c>
      <c r="R259" s="10" t="n">
        <f aca="false">IF($H259="숙박",0,IF($H259=MID(R$1,3,20),IF($I259="",1,0.6),IF($I259=MID(R$1,3,20),0.4,0)))</f>
        <v>0.4</v>
      </c>
      <c r="S259" s="10" t="n">
        <f aca="false">IF($H259="숙박",0,IF($H259=MID(S$1,3,20),IF($I259="",1,0.6),IF($I259=MID(S$1,3,20),0.4,0)))</f>
        <v>0.6</v>
      </c>
      <c r="T259" s="10" t="n">
        <f aca="false">IF($H259="숙박",0,IF($H259=MID(T$1,3,20),IF($I259="",1,0.6),IF($I259=MID(T$1,3,20),0.4,0)))</f>
        <v>0</v>
      </c>
      <c r="U259" s="10" t="n">
        <f aca="false">IF($H259="숙박",0,IF(ISNUMBER(SEARCH("야경",$J259)),1,0))</f>
        <v>0</v>
      </c>
      <c r="V259" s="10" t="n">
        <f aca="false">IF($H259="숙박",0,1)</f>
        <v>1</v>
      </c>
    </row>
    <row r="260" customFormat="false" ht="15" hidden="false" customHeight="false" outlineLevel="0" collapsed="false">
      <c r="A260" s="8" t="n">
        <v>259</v>
      </c>
      <c r="B260" s="8" t="s">
        <v>45</v>
      </c>
      <c r="C260" s="8"/>
      <c r="D260" s="8" t="s">
        <v>882</v>
      </c>
      <c r="E260" s="7" t="s">
        <v>883</v>
      </c>
      <c r="F260" s="8" t="s">
        <v>199</v>
      </c>
      <c r="G260" s="8" t="s">
        <v>216</v>
      </c>
      <c r="H260" s="9" t="s">
        <v>216</v>
      </c>
      <c r="I260" s="9" t="s">
        <v>190</v>
      </c>
      <c r="J260" s="9" t="s">
        <v>479</v>
      </c>
      <c r="K260" s="9" t="s">
        <v>52</v>
      </c>
      <c r="L260" s="8"/>
      <c r="M260" s="8"/>
      <c r="N260" s="8" t="s">
        <v>483</v>
      </c>
      <c r="O260" s="8" t="s">
        <v>884</v>
      </c>
      <c r="P260" s="10" t="n">
        <f aca="false">IF($H260="숙박",0,IF($H260=MID(P$1,3,20),IF($I260="",1,0.6),IF($I260=MID(P$1,3,20),0.4,0)))</f>
        <v>0.4</v>
      </c>
      <c r="Q260" s="10" t="n">
        <f aca="false">IF($H260="숙박",0,IF($H260=MID(Q$1,3,20),IF($I260="",1,0.6),IF($I260=MID(Q$1,3,20),0.4,0)))</f>
        <v>0</v>
      </c>
      <c r="R260" s="10" t="n">
        <f aca="false">IF($H260="숙박",0,IF($H260=MID(R$1,3,20),IF($I260="",1,0.6),IF($I260=MID(R$1,3,20),0.4,0)))</f>
        <v>0</v>
      </c>
      <c r="S260" s="10" t="n">
        <f aca="false">IF($H260="숙박",0,IF($H260=MID(S$1,3,20),IF($I260="",1,0.6),IF($I260=MID(S$1,3,20),0.4,0)))</f>
        <v>0.6</v>
      </c>
      <c r="T260" s="10" t="n">
        <f aca="false">IF($H260="숙박",0,IF($H260=MID(T$1,3,20),IF($I260="",1,0.6),IF($I260=MID(T$1,3,20),0.4,0)))</f>
        <v>0</v>
      </c>
      <c r="U260" s="10" t="n">
        <f aca="false">IF($H260="숙박",0,IF(ISNUMBER(SEARCH("야경",$J260)),1,0))</f>
        <v>0</v>
      </c>
      <c r="V260" s="10" t="n">
        <f aca="false">IF($H260="숙박",0,1)</f>
        <v>1</v>
      </c>
    </row>
    <row r="261" customFormat="false" ht="15" hidden="false" customHeight="false" outlineLevel="0" collapsed="false">
      <c r="A261" s="8" t="n">
        <v>260</v>
      </c>
      <c r="B261" s="8" t="s">
        <v>45</v>
      </c>
      <c r="C261" s="8"/>
      <c r="D261" s="8" t="s">
        <v>885</v>
      </c>
      <c r="E261" s="7" t="s">
        <v>886</v>
      </c>
      <c r="F261" s="8" t="s">
        <v>48</v>
      </c>
      <c r="G261" s="8" t="s">
        <v>49</v>
      </c>
      <c r="H261" s="9" t="s">
        <v>49</v>
      </c>
      <c r="I261" s="9"/>
      <c r="J261" s="9" t="s">
        <v>479</v>
      </c>
      <c r="K261" s="9" t="s">
        <v>209</v>
      </c>
      <c r="L261" s="8"/>
      <c r="M261" s="8"/>
      <c r="N261" s="8"/>
      <c r="O261" s="7" t="s">
        <v>887</v>
      </c>
      <c r="P261" s="10" t="n">
        <f aca="false">IF($H261="숙박",0,IF($H261=MID(P$1,3,20),IF($I261="",1,0.6),IF($I261=MID(P$1,3,20),0.4,0)))</f>
        <v>0</v>
      </c>
      <c r="Q261" s="10" t="n">
        <f aca="false">IF($H261="숙박",0,IF($H261=MID(Q$1,3,20),IF($I261="",1,0.6),IF($I261=MID(Q$1,3,20),0.4,0)))</f>
        <v>1</v>
      </c>
      <c r="R261" s="10" t="n">
        <f aca="false">IF($H261="숙박",0,IF($H261=MID(R$1,3,20),IF($I261="",1,0.6),IF($I261=MID(R$1,3,20),0.4,0)))</f>
        <v>0</v>
      </c>
      <c r="S261" s="10" t="n">
        <f aca="false">IF($H261="숙박",0,IF($H261=MID(S$1,3,20),IF($I261="",1,0.6),IF($I261=MID(S$1,3,20),0.4,0)))</f>
        <v>0</v>
      </c>
      <c r="T261" s="10" t="n">
        <f aca="false">IF($H261="숙박",0,IF($H261=MID(T$1,3,20),IF($I261="",1,0.6),IF($I261=MID(T$1,3,20),0.4,0)))</f>
        <v>0</v>
      </c>
      <c r="U261" s="10" t="n">
        <f aca="false">IF($H261="숙박",0,IF(ISNUMBER(SEARCH("야경",$J261)),1,0))</f>
        <v>0</v>
      </c>
      <c r="V261" s="10" t="n">
        <f aca="false">IF($H261="숙박",0,1)</f>
        <v>1</v>
      </c>
    </row>
    <row r="262" customFormat="false" ht="15" hidden="false" customHeight="false" outlineLevel="0" collapsed="false">
      <c r="A262" s="8" t="n">
        <v>261</v>
      </c>
      <c r="B262" s="8" t="s">
        <v>45</v>
      </c>
      <c r="C262" s="8"/>
      <c r="D262" s="8" t="s">
        <v>888</v>
      </c>
      <c r="E262" s="7" t="s">
        <v>889</v>
      </c>
      <c r="F262" s="8" t="s">
        <v>48</v>
      </c>
      <c r="G262" s="8" t="s">
        <v>49</v>
      </c>
      <c r="H262" s="9" t="s">
        <v>49</v>
      </c>
      <c r="I262" s="9"/>
      <c r="J262" s="9" t="s">
        <v>479</v>
      </c>
      <c r="K262" s="9" t="s">
        <v>209</v>
      </c>
      <c r="L262" s="8"/>
      <c r="M262" s="8"/>
      <c r="N262" s="8"/>
      <c r="O262" s="8" t="s">
        <v>890</v>
      </c>
      <c r="P262" s="10" t="n">
        <f aca="false">IF($H262="숙박",0,IF($H262=MID(P$1,3,20),IF($I262="",1,0.6),IF($I262=MID(P$1,3,20),0.4,0)))</f>
        <v>0</v>
      </c>
      <c r="Q262" s="10" t="n">
        <f aca="false">IF($H262="숙박",0,IF($H262=MID(Q$1,3,20),IF($I262="",1,0.6),IF($I262=MID(Q$1,3,20),0.4,0)))</f>
        <v>1</v>
      </c>
      <c r="R262" s="10" t="n">
        <f aca="false">IF($H262="숙박",0,IF($H262=MID(R$1,3,20),IF($I262="",1,0.6),IF($I262=MID(R$1,3,20),0.4,0)))</f>
        <v>0</v>
      </c>
      <c r="S262" s="10" t="n">
        <f aca="false">IF($H262="숙박",0,IF($H262=MID(S$1,3,20),IF($I262="",1,0.6),IF($I262=MID(S$1,3,20),0.4,0)))</f>
        <v>0</v>
      </c>
      <c r="T262" s="10" t="n">
        <f aca="false">IF($H262="숙박",0,IF($H262=MID(T$1,3,20),IF($I262="",1,0.6),IF($I262=MID(T$1,3,20),0.4,0)))</f>
        <v>0</v>
      </c>
      <c r="U262" s="10" t="n">
        <f aca="false">IF($H262="숙박",0,IF(ISNUMBER(SEARCH("야경",$J262)),1,0))</f>
        <v>0</v>
      </c>
      <c r="V262" s="10" t="n">
        <f aca="false">IF($H262="숙박",0,1)</f>
        <v>1</v>
      </c>
    </row>
    <row r="263" customFormat="false" ht="15" hidden="false" customHeight="false" outlineLevel="0" collapsed="false">
      <c r="A263" s="8" t="n">
        <v>262</v>
      </c>
      <c r="B263" s="8" t="s">
        <v>45</v>
      </c>
      <c r="C263" s="8"/>
      <c r="D263" s="8" t="s">
        <v>891</v>
      </c>
      <c r="E263" s="7" t="s">
        <v>892</v>
      </c>
      <c r="F263" s="8" t="s">
        <v>48</v>
      </c>
      <c r="G263" s="8" t="s">
        <v>190</v>
      </c>
      <c r="H263" s="9" t="s">
        <v>190</v>
      </c>
      <c r="I263" s="9" t="s">
        <v>216</v>
      </c>
      <c r="J263" s="9" t="s">
        <v>523</v>
      </c>
      <c r="K263" s="9" t="s">
        <v>191</v>
      </c>
      <c r="L263" s="8"/>
      <c r="M263" s="8"/>
      <c r="N263" s="8" t="s">
        <v>483</v>
      </c>
      <c r="O263" s="8" t="s">
        <v>893</v>
      </c>
      <c r="P263" s="10" t="n">
        <f aca="false">IF($H263="숙박",0,IF($H263=MID(P$1,3,20),IF($I263="",1,0.6),IF($I263=MID(P$1,3,20),0.4,0)))</f>
        <v>0.6</v>
      </c>
      <c r="Q263" s="10" t="n">
        <f aca="false">IF($H263="숙박",0,IF($H263=MID(Q$1,3,20),IF($I263="",1,0.6),IF($I263=MID(Q$1,3,20),0.4,0)))</f>
        <v>0</v>
      </c>
      <c r="R263" s="10" t="n">
        <f aca="false">IF($H263="숙박",0,IF($H263=MID(R$1,3,20),IF($I263="",1,0.6),IF($I263=MID(R$1,3,20),0.4,0)))</f>
        <v>0</v>
      </c>
      <c r="S263" s="10" t="n">
        <f aca="false">IF($H263="숙박",0,IF($H263=MID(S$1,3,20),IF($I263="",1,0.6),IF($I263=MID(S$1,3,20),0.4,0)))</f>
        <v>0.4</v>
      </c>
      <c r="T263" s="10" t="n">
        <f aca="false">IF($H263="숙박",0,IF($H263=MID(T$1,3,20),IF($I263="",1,0.6),IF($I263=MID(T$1,3,20),0.4,0)))</f>
        <v>0</v>
      </c>
      <c r="U263" s="10" t="n">
        <f aca="false">IF($H263="숙박",0,IF(ISNUMBER(SEARCH("야경",$J263)),1,0))</f>
        <v>0</v>
      </c>
      <c r="V263" s="10" t="n">
        <f aca="false">IF($H263="숙박",0,1)</f>
        <v>1</v>
      </c>
    </row>
    <row r="264" customFormat="false" ht="15" hidden="false" customHeight="false" outlineLevel="0" collapsed="false">
      <c r="A264" s="8" t="n">
        <v>263</v>
      </c>
      <c r="B264" s="8" t="s">
        <v>45</v>
      </c>
      <c r="C264" s="8"/>
      <c r="D264" s="8" t="s">
        <v>894</v>
      </c>
      <c r="E264" s="7" t="s">
        <v>895</v>
      </c>
      <c r="F264" s="8" t="s">
        <v>48</v>
      </c>
      <c r="G264" s="8" t="s">
        <v>49</v>
      </c>
      <c r="H264" s="9" t="s">
        <v>49</v>
      </c>
      <c r="I264" s="9"/>
      <c r="J264" s="9" t="s">
        <v>479</v>
      </c>
      <c r="K264" s="9" t="s">
        <v>52</v>
      </c>
      <c r="L264" s="8"/>
      <c r="M264" s="8"/>
      <c r="N264" s="8"/>
      <c r="O264" s="8" t="s">
        <v>896</v>
      </c>
      <c r="P264" s="10" t="n">
        <f aca="false">IF($H264="숙박",0,IF($H264=MID(P$1,3,20),IF($I264="",1,0.6),IF($I264=MID(P$1,3,20),0.4,0)))</f>
        <v>0</v>
      </c>
      <c r="Q264" s="10" t="n">
        <f aca="false">IF($H264="숙박",0,IF($H264=MID(Q$1,3,20),IF($I264="",1,0.6),IF($I264=MID(Q$1,3,20),0.4,0)))</f>
        <v>1</v>
      </c>
      <c r="R264" s="10" t="n">
        <f aca="false">IF($H264="숙박",0,IF($H264=MID(R$1,3,20),IF($I264="",1,0.6),IF($I264=MID(R$1,3,20),0.4,0)))</f>
        <v>0</v>
      </c>
      <c r="S264" s="10" t="n">
        <f aca="false">IF($H264="숙박",0,IF($H264=MID(S$1,3,20),IF($I264="",1,0.6),IF($I264=MID(S$1,3,20),0.4,0)))</f>
        <v>0</v>
      </c>
      <c r="T264" s="10" t="n">
        <f aca="false">IF($H264="숙박",0,IF($H264=MID(T$1,3,20),IF($I264="",1,0.6),IF($I264=MID(T$1,3,20),0.4,0)))</f>
        <v>0</v>
      </c>
      <c r="U264" s="10" t="n">
        <f aca="false">IF($H264="숙박",0,IF(ISNUMBER(SEARCH("야경",$J264)),1,0))</f>
        <v>0</v>
      </c>
      <c r="V264" s="10" t="n">
        <f aca="false">IF($H264="숙박",0,1)</f>
        <v>1</v>
      </c>
    </row>
    <row r="265" customFormat="false" ht="15" hidden="false" customHeight="false" outlineLevel="0" collapsed="false">
      <c r="A265" s="8" t="n">
        <v>264</v>
      </c>
      <c r="B265" s="8" t="s">
        <v>45</v>
      </c>
      <c r="C265" s="8"/>
      <c r="D265" s="8" t="s">
        <v>897</v>
      </c>
      <c r="E265" s="7" t="s">
        <v>898</v>
      </c>
      <c r="F265" s="8" t="s">
        <v>199</v>
      </c>
      <c r="G265" s="8" t="s">
        <v>190</v>
      </c>
      <c r="H265" s="9" t="s">
        <v>190</v>
      </c>
      <c r="I265" s="9"/>
      <c r="J265" s="9" t="s">
        <v>479</v>
      </c>
      <c r="K265" s="9" t="s">
        <v>191</v>
      </c>
      <c r="L265" s="8"/>
      <c r="M265" s="8"/>
      <c r="N265" s="8"/>
      <c r="O265" s="8" t="s">
        <v>899</v>
      </c>
      <c r="P265" s="10" t="n">
        <f aca="false">IF($H265="숙박",0,IF($H265=MID(P$1,3,20),IF($I265="",1,0.6),IF($I265=MID(P$1,3,20),0.4,0)))</f>
        <v>1</v>
      </c>
      <c r="Q265" s="10" t="n">
        <f aca="false">IF($H265="숙박",0,IF($H265=MID(Q$1,3,20),IF($I265="",1,0.6),IF($I265=MID(Q$1,3,20),0.4,0)))</f>
        <v>0</v>
      </c>
      <c r="R265" s="10" t="n">
        <f aca="false">IF($H265="숙박",0,IF($H265=MID(R$1,3,20),IF($I265="",1,0.6),IF($I265=MID(R$1,3,20),0.4,0)))</f>
        <v>0</v>
      </c>
      <c r="S265" s="10" t="n">
        <f aca="false">IF($H265="숙박",0,IF($H265=MID(S$1,3,20),IF($I265="",1,0.6),IF($I265=MID(S$1,3,20),0.4,0)))</f>
        <v>0</v>
      </c>
      <c r="T265" s="10" t="n">
        <f aca="false">IF($H265="숙박",0,IF($H265=MID(T$1,3,20),IF($I265="",1,0.6),IF($I265=MID(T$1,3,20),0.4,0)))</f>
        <v>0</v>
      </c>
      <c r="U265" s="10" t="n">
        <f aca="false">IF($H265="숙박",0,IF(ISNUMBER(SEARCH("야경",$J265)),1,0))</f>
        <v>0</v>
      </c>
      <c r="V265" s="10" t="n">
        <f aca="false">IF($H265="숙박",0,1)</f>
        <v>1</v>
      </c>
    </row>
    <row r="266" customFormat="false" ht="15" hidden="false" customHeight="false" outlineLevel="0" collapsed="false">
      <c r="A266" s="8" t="n">
        <v>265</v>
      </c>
      <c r="B266" s="8" t="s">
        <v>45</v>
      </c>
      <c r="C266" s="8"/>
      <c r="D266" s="8" t="s">
        <v>900</v>
      </c>
      <c r="E266" s="7" t="s">
        <v>901</v>
      </c>
      <c r="F266" s="8" t="s">
        <v>59</v>
      </c>
      <c r="G266" s="8" t="s">
        <v>216</v>
      </c>
      <c r="H266" s="9" t="s">
        <v>216</v>
      </c>
      <c r="I266" s="9"/>
      <c r="J266" s="9" t="s">
        <v>479</v>
      </c>
      <c r="K266" s="9" t="s">
        <v>52</v>
      </c>
      <c r="L266" s="8"/>
      <c r="M266" s="8"/>
      <c r="N266" s="8"/>
      <c r="O266" s="8" t="s">
        <v>902</v>
      </c>
      <c r="P266" s="10" t="n">
        <f aca="false">IF($H266="숙박",0,IF($H266=MID(P$1,3,20),IF($I266="",1,0.6),IF($I266=MID(P$1,3,20),0.4,0)))</f>
        <v>0</v>
      </c>
      <c r="Q266" s="10" t="n">
        <f aca="false">IF($H266="숙박",0,IF($H266=MID(Q$1,3,20),IF($I266="",1,0.6),IF($I266=MID(Q$1,3,20),0.4,0)))</f>
        <v>0</v>
      </c>
      <c r="R266" s="10" t="n">
        <f aca="false">IF($H266="숙박",0,IF($H266=MID(R$1,3,20),IF($I266="",1,0.6),IF($I266=MID(R$1,3,20),0.4,0)))</f>
        <v>0</v>
      </c>
      <c r="S266" s="10" t="n">
        <f aca="false">IF($H266="숙박",0,IF($H266=MID(S$1,3,20),IF($I266="",1,0.6),IF($I266=MID(S$1,3,20),0.4,0)))</f>
        <v>1</v>
      </c>
      <c r="T266" s="10" t="n">
        <f aca="false">IF($H266="숙박",0,IF($H266=MID(T$1,3,20),IF($I266="",1,0.6),IF($I266=MID(T$1,3,20),0.4,0)))</f>
        <v>0</v>
      </c>
      <c r="U266" s="10" t="n">
        <f aca="false">IF($H266="숙박",0,IF(ISNUMBER(SEARCH("야경",$J266)),1,0))</f>
        <v>0</v>
      </c>
      <c r="V266" s="10" t="n">
        <f aca="false">IF($H266="숙박",0,1)</f>
        <v>1</v>
      </c>
    </row>
    <row r="267" customFormat="false" ht="15" hidden="false" customHeight="false" outlineLevel="0" collapsed="false">
      <c r="A267" s="8" t="n">
        <v>266</v>
      </c>
      <c r="B267" s="8" t="s">
        <v>45</v>
      </c>
      <c r="C267" s="8"/>
      <c r="D267" s="8" t="s">
        <v>903</v>
      </c>
      <c r="E267" s="7" t="s">
        <v>904</v>
      </c>
      <c r="F267" s="8" t="s">
        <v>199</v>
      </c>
      <c r="G267" s="8" t="s">
        <v>184</v>
      </c>
      <c r="H267" s="9" t="s">
        <v>184</v>
      </c>
      <c r="I267" s="9"/>
      <c r="J267" s="9" t="s">
        <v>479</v>
      </c>
      <c r="K267" s="9" t="s">
        <v>191</v>
      </c>
      <c r="L267" s="8"/>
      <c r="M267" s="8"/>
      <c r="N267" s="8"/>
      <c r="O267" s="8" t="s">
        <v>905</v>
      </c>
      <c r="P267" s="10" t="n">
        <f aca="false">IF($H267="숙박",0,IF($H267=MID(P$1,3,20),IF($I267="",1,0.6),IF($I267=MID(P$1,3,20),0.4,0)))</f>
        <v>0</v>
      </c>
      <c r="Q267" s="10" t="n">
        <f aca="false">IF($H267="숙박",0,IF($H267=MID(Q$1,3,20),IF($I267="",1,0.6),IF($I267=MID(Q$1,3,20),0.4,0)))</f>
        <v>0</v>
      </c>
      <c r="R267" s="10" t="n">
        <f aca="false">IF($H267="숙박",0,IF($H267=MID(R$1,3,20),IF($I267="",1,0.6),IF($I267=MID(R$1,3,20),0.4,0)))</f>
        <v>1</v>
      </c>
      <c r="S267" s="10" t="n">
        <f aca="false">IF($H267="숙박",0,IF($H267=MID(S$1,3,20),IF($I267="",1,0.6),IF($I267=MID(S$1,3,20),0.4,0)))</f>
        <v>0</v>
      </c>
      <c r="T267" s="10" t="n">
        <f aca="false">IF($H267="숙박",0,IF($H267=MID(T$1,3,20),IF($I267="",1,0.6),IF($I267=MID(T$1,3,20),0.4,0)))</f>
        <v>0</v>
      </c>
      <c r="U267" s="10" t="n">
        <f aca="false">IF($H267="숙박",0,IF(ISNUMBER(SEARCH("야경",$J267)),1,0))</f>
        <v>0</v>
      </c>
      <c r="V267" s="10" t="n">
        <f aca="false">IF($H267="숙박",0,1)</f>
        <v>1</v>
      </c>
    </row>
    <row r="268" customFormat="false" ht="15" hidden="false" customHeight="false" outlineLevel="0" collapsed="false">
      <c r="A268" s="8" t="n">
        <v>267</v>
      </c>
      <c r="B268" s="8" t="s">
        <v>45</v>
      </c>
      <c r="C268" s="8"/>
      <c r="D268" s="8" t="s">
        <v>906</v>
      </c>
      <c r="E268" s="7" t="s">
        <v>907</v>
      </c>
      <c r="F268" s="8" t="s">
        <v>199</v>
      </c>
      <c r="G268" s="8" t="s">
        <v>49</v>
      </c>
      <c r="H268" s="9" t="s">
        <v>49</v>
      </c>
      <c r="I268" s="9"/>
      <c r="J268" s="9" t="s">
        <v>479</v>
      </c>
      <c r="K268" s="9" t="s">
        <v>52</v>
      </c>
      <c r="L268" s="8"/>
      <c r="M268" s="8"/>
      <c r="N268" s="8"/>
      <c r="O268" s="8" t="s">
        <v>908</v>
      </c>
      <c r="P268" s="10" t="n">
        <f aca="false">IF($H268="숙박",0,IF($H268=MID(P$1,3,20),IF($I268="",1,0.6),IF($I268=MID(P$1,3,20),0.4,0)))</f>
        <v>0</v>
      </c>
      <c r="Q268" s="10" t="n">
        <f aca="false">IF($H268="숙박",0,IF($H268=MID(Q$1,3,20),IF($I268="",1,0.6),IF($I268=MID(Q$1,3,20),0.4,0)))</f>
        <v>1</v>
      </c>
      <c r="R268" s="10" t="n">
        <f aca="false">IF($H268="숙박",0,IF($H268=MID(R$1,3,20),IF($I268="",1,0.6),IF($I268=MID(R$1,3,20),0.4,0)))</f>
        <v>0</v>
      </c>
      <c r="S268" s="10" t="n">
        <f aca="false">IF($H268="숙박",0,IF($H268=MID(S$1,3,20),IF($I268="",1,0.6),IF($I268=MID(S$1,3,20),0.4,0)))</f>
        <v>0</v>
      </c>
      <c r="T268" s="10" t="n">
        <f aca="false">IF($H268="숙박",0,IF($H268=MID(T$1,3,20),IF($I268="",1,0.6),IF($I268=MID(T$1,3,20),0.4,0)))</f>
        <v>0</v>
      </c>
      <c r="U268" s="10" t="n">
        <f aca="false">IF($H268="숙박",0,IF(ISNUMBER(SEARCH("야경",$J268)),1,0))</f>
        <v>0</v>
      </c>
      <c r="V268" s="10" t="n">
        <f aca="false">IF($H268="숙박",0,1)</f>
        <v>1</v>
      </c>
    </row>
    <row r="269" customFormat="false" ht="15" hidden="false" customHeight="false" outlineLevel="0" collapsed="false">
      <c r="A269" s="8" t="n">
        <v>268</v>
      </c>
      <c r="B269" s="8" t="s">
        <v>45</v>
      </c>
      <c r="C269" s="8" t="s">
        <v>380</v>
      </c>
      <c r="D269" s="8" t="s">
        <v>909</v>
      </c>
      <c r="E269" s="7" t="s">
        <v>910</v>
      </c>
      <c r="F269" s="8" t="s">
        <v>199</v>
      </c>
      <c r="G269" s="8" t="s">
        <v>49</v>
      </c>
      <c r="H269" s="9" t="s">
        <v>49</v>
      </c>
      <c r="I269" s="9"/>
      <c r="J269" s="9" t="s">
        <v>479</v>
      </c>
      <c r="K269" s="9" t="s">
        <v>52</v>
      </c>
      <c r="L269" s="8"/>
      <c r="M269" s="8"/>
      <c r="N269" s="8"/>
      <c r="O269" s="8" t="s">
        <v>911</v>
      </c>
      <c r="P269" s="10" t="n">
        <f aca="false">IF($H269="숙박",0,IF($H269=MID(P$1,3,20),IF($I269="",1,0.6),IF($I269=MID(P$1,3,20),0.4,0)))</f>
        <v>0</v>
      </c>
      <c r="Q269" s="10" t="n">
        <f aca="false">IF($H269="숙박",0,IF($H269=MID(Q$1,3,20),IF($I269="",1,0.6),IF($I269=MID(Q$1,3,20),0.4,0)))</f>
        <v>1</v>
      </c>
      <c r="R269" s="10" t="n">
        <f aca="false">IF($H269="숙박",0,IF($H269=MID(R$1,3,20),IF($I269="",1,0.6),IF($I269=MID(R$1,3,20),0.4,0)))</f>
        <v>0</v>
      </c>
      <c r="S269" s="10" t="n">
        <f aca="false">IF($H269="숙박",0,IF($H269=MID(S$1,3,20),IF($I269="",1,0.6),IF($I269=MID(S$1,3,20),0.4,0)))</f>
        <v>0</v>
      </c>
      <c r="T269" s="10" t="n">
        <f aca="false">IF($H269="숙박",0,IF($H269=MID(T$1,3,20),IF($I269="",1,0.6),IF($I269=MID(T$1,3,20),0.4,0)))</f>
        <v>0</v>
      </c>
      <c r="U269" s="10" t="n">
        <f aca="false">IF($H269="숙박",0,IF(ISNUMBER(SEARCH("야경",$J269)),1,0))</f>
        <v>0</v>
      </c>
      <c r="V269" s="10" t="n">
        <f aca="false">IF($H269="숙박",0,1)</f>
        <v>1</v>
      </c>
    </row>
    <row r="270" customFormat="false" ht="15" hidden="false" customHeight="false" outlineLevel="0" collapsed="false">
      <c r="A270" s="8" t="n">
        <v>269</v>
      </c>
      <c r="B270" s="8" t="s">
        <v>45</v>
      </c>
      <c r="C270" s="8"/>
      <c r="D270" s="8" t="s">
        <v>912</v>
      </c>
      <c r="E270" s="7" t="s">
        <v>913</v>
      </c>
      <c r="F270" s="8" t="s">
        <v>199</v>
      </c>
      <c r="G270" s="8" t="s">
        <v>184</v>
      </c>
      <c r="H270" s="9" t="s">
        <v>184</v>
      </c>
      <c r="I270" s="9" t="s">
        <v>190</v>
      </c>
      <c r="J270" s="9" t="s">
        <v>523</v>
      </c>
      <c r="K270" s="9" t="s">
        <v>52</v>
      </c>
      <c r="L270" s="8"/>
      <c r="M270" s="8"/>
      <c r="N270" s="8" t="s">
        <v>483</v>
      </c>
      <c r="O270" s="8" t="s">
        <v>914</v>
      </c>
      <c r="P270" s="10" t="n">
        <f aca="false">IF($H270="숙박",0,IF($H270=MID(P$1,3,20),IF($I270="",1,0.6),IF($I270=MID(P$1,3,20),0.4,0)))</f>
        <v>0.4</v>
      </c>
      <c r="Q270" s="10" t="n">
        <f aca="false">IF($H270="숙박",0,IF($H270=MID(Q$1,3,20),IF($I270="",1,0.6),IF($I270=MID(Q$1,3,20),0.4,0)))</f>
        <v>0</v>
      </c>
      <c r="R270" s="10" t="n">
        <f aca="false">IF($H270="숙박",0,IF($H270=MID(R$1,3,20),IF($I270="",1,0.6),IF($I270=MID(R$1,3,20),0.4,0)))</f>
        <v>0.6</v>
      </c>
      <c r="S270" s="10" t="n">
        <f aca="false">IF($H270="숙박",0,IF($H270=MID(S$1,3,20),IF($I270="",1,0.6),IF($I270=MID(S$1,3,20),0.4,0)))</f>
        <v>0</v>
      </c>
      <c r="T270" s="10" t="n">
        <f aca="false">IF($H270="숙박",0,IF($H270=MID(T$1,3,20),IF($I270="",1,0.6),IF($I270=MID(T$1,3,20),0.4,0)))</f>
        <v>0</v>
      </c>
      <c r="U270" s="10" t="n">
        <f aca="false">IF($H270="숙박",0,IF(ISNUMBER(SEARCH("야경",$J270)),1,0))</f>
        <v>0</v>
      </c>
      <c r="V270" s="10" t="n">
        <f aca="false">IF($H270="숙박",0,1)</f>
        <v>1</v>
      </c>
    </row>
    <row r="271" customFormat="false" ht="15" hidden="false" customHeight="false" outlineLevel="0" collapsed="false">
      <c r="A271" s="8" t="n">
        <v>270</v>
      </c>
      <c r="B271" s="8" t="s">
        <v>45</v>
      </c>
      <c r="C271" s="8"/>
      <c r="D271" s="8" t="s">
        <v>915</v>
      </c>
      <c r="E271" s="7" t="s">
        <v>916</v>
      </c>
      <c r="F271" s="8" t="s">
        <v>199</v>
      </c>
      <c r="G271" s="8" t="s">
        <v>49</v>
      </c>
      <c r="H271" s="9" t="s">
        <v>49</v>
      </c>
      <c r="I271" s="9"/>
      <c r="J271" s="9" t="s">
        <v>479</v>
      </c>
      <c r="K271" s="9" t="s">
        <v>52</v>
      </c>
      <c r="L271" s="8"/>
      <c r="M271" s="8"/>
      <c r="N271" s="8"/>
      <c r="O271" s="8" t="s">
        <v>917</v>
      </c>
      <c r="P271" s="10" t="n">
        <f aca="false">IF($H271="숙박",0,IF($H271=MID(P$1,3,20),IF($I271="",1,0.6),IF($I271=MID(P$1,3,20),0.4,0)))</f>
        <v>0</v>
      </c>
      <c r="Q271" s="10" t="n">
        <f aca="false">IF($H271="숙박",0,IF($H271=MID(Q$1,3,20),IF($I271="",1,0.6),IF($I271=MID(Q$1,3,20),0.4,0)))</f>
        <v>1</v>
      </c>
      <c r="R271" s="10" t="n">
        <f aca="false">IF($H271="숙박",0,IF($H271=MID(R$1,3,20),IF($I271="",1,0.6),IF($I271=MID(R$1,3,20),0.4,0)))</f>
        <v>0</v>
      </c>
      <c r="S271" s="10" t="n">
        <f aca="false">IF($H271="숙박",0,IF($H271=MID(S$1,3,20),IF($I271="",1,0.6),IF($I271=MID(S$1,3,20),0.4,0)))</f>
        <v>0</v>
      </c>
      <c r="T271" s="10" t="n">
        <f aca="false">IF($H271="숙박",0,IF($H271=MID(T$1,3,20),IF($I271="",1,0.6),IF($I271=MID(T$1,3,20),0.4,0)))</f>
        <v>0</v>
      </c>
      <c r="U271" s="10" t="n">
        <f aca="false">IF($H271="숙박",0,IF(ISNUMBER(SEARCH("야경",$J271)),1,0))</f>
        <v>0</v>
      </c>
      <c r="V271" s="10" t="n">
        <f aca="false">IF($H271="숙박",0,1)</f>
        <v>1</v>
      </c>
    </row>
    <row r="272" customFormat="false" ht="15" hidden="false" customHeight="false" outlineLevel="0" collapsed="false">
      <c r="A272" s="8" t="n">
        <v>271</v>
      </c>
      <c r="B272" s="8" t="s">
        <v>45</v>
      </c>
      <c r="C272" s="8"/>
      <c r="D272" s="8" t="s">
        <v>918</v>
      </c>
      <c r="E272" s="7" t="s">
        <v>919</v>
      </c>
      <c r="F272" s="8" t="s">
        <v>199</v>
      </c>
      <c r="G272" s="8" t="s">
        <v>49</v>
      </c>
      <c r="H272" s="9" t="s">
        <v>49</v>
      </c>
      <c r="I272" s="9" t="s">
        <v>190</v>
      </c>
      <c r="J272" s="9" t="s">
        <v>523</v>
      </c>
      <c r="K272" s="9" t="s">
        <v>52</v>
      </c>
      <c r="L272" s="8"/>
      <c r="M272" s="8"/>
      <c r="N272" s="8" t="s">
        <v>483</v>
      </c>
      <c r="O272" s="8" t="s">
        <v>920</v>
      </c>
      <c r="P272" s="10" t="n">
        <f aca="false">IF($H272="숙박",0,IF($H272=MID(P$1,3,20),IF($I272="",1,0.6),IF($I272=MID(P$1,3,20),0.4,0)))</f>
        <v>0.4</v>
      </c>
      <c r="Q272" s="10" t="n">
        <f aca="false">IF($H272="숙박",0,IF($H272=MID(Q$1,3,20),IF($I272="",1,0.6),IF($I272=MID(Q$1,3,20),0.4,0)))</f>
        <v>0.6</v>
      </c>
      <c r="R272" s="10" t="n">
        <f aca="false">IF($H272="숙박",0,IF($H272=MID(R$1,3,20),IF($I272="",1,0.6),IF($I272=MID(R$1,3,20),0.4,0)))</f>
        <v>0</v>
      </c>
      <c r="S272" s="10" t="n">
        <f aca="false">IF($H272="숙박",0,IF($H272=MID(S$1,3,20),IF($I272="",1,0.6),IF($I272=MID(S$1,3,20),0.4,0)))</f>
        <v>0</v>
      </c>
      <c r="T272" s="10" t="n">
        <f aca="false">IF($H272="숙박",0,IF($H272=MID(T$1,3,20),IF($I272="",1,0.6),IF($I272=MID(T$1,3,20),0.4,0)))</f>
        <v>0</v>
      </c>
      <c r="U272" s="10" t="n">
        <f aca="false">IF($H272="숙박",0,IF(ISNUMBER(SEARCH("야경",$J272)),1,0))</f>
        <v>0</v>
      </c>
      <c r="V272" s="10" t="n">
        <f aca="false">IF($H272="숙박",0,1)</f>
        <v>1</v>
      </c>
    </row>
    <row r="273" customFormat="false" ht="15" hidden="false" customHeight="false" outlineLevel="0" collapsed="false">
      <c r="A273" s="8" t="n">
        <v>272</v>
      </c>
      <c r="B273" s="8" t="s">
        <v>45</v>
      </c>
      <c r="C273" s="8"/>
      <c r="D273" s="8" t="s">
        <v>921</v>
      </c>
      <c r="E273" s="7" t="s">
        <v>922</v>
      </c>
      <c r="F273" s="8" t="s">
        <v>199</v>
      </c>
      <c r="G273" s="8" t="s">
        <v>190</v>
      </c>
      <c r="H273" s="9" t="s">
        <v>190</v>
      </c>
      <c r="I273" s="9"/>
      <c r="J273" s="9" t="s">
        <v>523</v>
      </c>
      <c r="K273" s="9" t="s">
        <v>191</v>
      </c>
      <c r="L273" s="8"/>
      <c r="M273" s="8"/>
      <c r="N273" s="8"/>
      <c r="O273" s="8" t="s">
        <v>923</v>
      </c>
      <c r="P273" s="10" t="n">
        <f aca="false">IF($H273="숙박",0,IF($H273=MID(P$1,3,20),IF($I273="",1,0.6),IF($I273=MID(P$1,3,20),0.4,0)))</f>
        <v>1</v>
      </c>
      <c r="Q273" s="10" t="n">
        <f aca="false">IF($H273="숙박",0,IF($H273=MID(Q$1,3,20),IF($I273="",1,0.6),IF($I273=MID(Q$1,3,20),0.4,0)))</f>
        <v>0</v>
      </c>
      <c r="R273" s="10" t="n">
        <f aca="false">IF($H273="숙박",0,IF($H273=MID(R$1,3,20),IF($I273="",1,0.6),IF($I273=MID(R$1,3,20),0.4,0)))</f>
        <v>0</v>
      </c>
      <c r="S273" s="10" t="n">
        <f aca="false">IF($H273="숙박",0,IF($H273=MID(S$1,3,20),IF($I273="",1,0.6),IF($I273=MID(S$1,3,20),0.4,0)))</f>
        <v>0</v>
      </c>
      <c r="T273" s="10" t="n">
        <f aca="false">IF($H273="숙박",0,IF($H273=MID(T$1,3,20),IF($I273="",1,0.6),IF($I273=MID(T$1,3,20),0.4,0)))</f>
        <v>0</v>
      </c>
      <c r="U273" s="10" t="n">
        <f aca="false">IF($H273="숙박",0,IF(ISNUMBER(SEARCH("야경",$J273)),1,0))</f>
        <v>0</v>
      </c>
      <c r="V273" s="10" t="n">
        <f aca="false">IF($H273="숙박",0,1)</f>
        <v>1</v>
      </c>
    </row>
    <row r="274" customFormat="false" ht="15" hidden="false" customHeight="false" outlineLevel="0" collapsed="false">
      <c r="A274" s="8" t="n">
        <v>273</v>
      </c>
      <c r="B274" s="8" t="s">
        <v>485</v>
      </c>
      <c r="C274" s="8"/>
      <c r="D274" s="8" t="s">
        <v>924</v>
      </c>
      <c r="E274" s="7" t="s">
        <v>925</v>
      </c>
      <c r="F274" s="8" t="s">
        <v>199</v>
      </c>
      <c r="G274" s="8" t="s">
        <v>184</v>
      </c>
      <c r="H274" s="9" t="s">
        <v>184</v>
      </c>
      <c r="I274" s="9"/>
      <c r="J274" s="9" t="s">
        <v>523</v>
      </c>
      <c r="K274" s="9" t="s">
        <v>191</v>
      </c>
      <c r="L274" s="8"/>
      <c r="M274" s="8"/>
      <c r="N274" s="8"/>
      <c r="O274" s="8" t="s">
        <v>926</v>
      </c>
      <c r="P274" s="10" t="n">
        <f aca="false">IF($H274="숙박",0,IF($H274=MID(P$1,3,20),IF($I274="",1,0.6),IF($I274=MID(P$1,3,20),0.4,0)))</f>
        <v>0</v>
      </c>
      <c r="Q274" s="10" t="n">
        <f aca="false">IF($H274="숙박",0,IF($H274=MID(Q$1,3,20),IF($I274="",1,0.6),IF($I274=MID(Q$1,3,20),0.4,0)))</f>
        <v>0</v>
      </c>
      <c r="R274" s="10" t="n">
        <f aca="false">IF($H274="숙박",0,IF($H274=MID(R$1,3,20),IF($I274="",1,0.6),IF($I274=MID(R$1,3,20),0.4,0)))</f>
        <v>1</v>
      </c>
      <c r="S274" s="10" t="n">
        <f aca="false">IF($H274="숙박",0,IF($H274=MID(S$1,3,20),IF($I274="",1,0.6),IF($I274=MID(S$1,3,20),0.4,0)))</f>
        <v>0</v>
      </c>
      <c r="T274" s="10" t="n">
        <f aca="false">IF($H274="숙박",0,IF($H274=MID(T$1,3,20),IF($I274="",1,0.6),IF($I274=MID(T$1,3,20),0.4,0)))</f>
        <v>0</v>
      </c>
      <c r="U274" s="10" t="n">
        <f aca="false">IF($H274="숙박",0,IF(ISNUMBER(SEARCH("야경",$J274)),1,0))</f>
        <v>0</v>
      </c>
      <c r="V274" s="10" t="n">
        <f aca="false">IF($H274="숙박",0,1)</f>
        <v>1</v>
      </c>
    </row>
    <row r="275" customFormat="false" ht="15" hidden="false" customHeight="false" outlineLevel="0" collapsed="false">
      <c r="A275" s="8" t="n">
        <v>274</v>
      </c>
      <c r="B275" s="8" t="s">
        <v>485</v>
      </c>
      <c r="C275" s="8"/>
      <c r="D275" s="8" t="s">
        <v>927</v>
      </c>
      <c r="E275" s="7" t="s">
        <v>928</v>
      </c>
      <c r="F275" s="8" t="s">
        <v>199</v>
      </c>
      <c r="G275" s="8" t="s">
        <v>49</v>
      </c>
      <c r="H275" s="9" t="s">
        <v>49</v>
      </c>
      <c r="I275" s="9" t="s">
        <v>184</v>
      </c>
      <c r="J275" s="9" t="s">
        <v>479</v>
      </c>
      <c r="K275" s="9" t="s">
        <v>52</v>
      </c>
      <c r="L275" s="8"/>
      <c r="M275" s="8"/>
      <c r="N275" s="8" t="s">
        <v>483</v>
      </c>
      <c r="O275" s="8" t="s">
        <v>929</v>
      </c>
      <c r="P275" s="10" t="n">
        <f aca="false">IF($H275="숙박",0,IF($H275=MID(P$1,3,20),IF($I275="",1,0.6),IF($I275=MID(P$1,3,20),0.4,0)))</f>
        <v>0</v>
      </c>
      <c r="Q275" s="10" t="n">
        <f aca="false">IF($H275="숙박",0,IF($H275=MID(Q$1,3,20),IF($I275="",1,0.6),IF($I275=MID(Q$1,3,20),0.4,0)))</f>
        <v>0.6</v>
      </c>
      <c r="R275" s="10" t="n">
        <f aca="false">IF($H275="숙박",0,IF($H275=MID(R$1,3,20),IF($I275="",1,0.6),IF($I275=MID(R$1,3,20),0.4,0)))</f>
        <v>0.4</v>
      </c>
      <c r="S275" s="10" t="n">
        <f aca="false">IF($H275="숙박",0,IF($H275=MID(S$1,3,20),IF($I275="",1,0.6),IF($I275=MID(S$1,3,20),0.4,0)))</f>
        <v>0</v>
      </c>
      <c r="T275" s="10" t="n">
        <f aca="false">IF($H275="숙박",0,IF($H275=MID(T$1,3,20),IF($I275="",1,0.6),IF($I275=MID(T$1,3,20),0.4,0)))</f>
        <v>0</v>
      </c>
      <c r="U275" s="10" t="n">
        <f aca="false">IF($H275="숙박",0,IF(ISNUMBER(SEARCH("야경",$J275)),1,0))</f>
        <v>0</v>
      </c>
      <c r="V275" s="10" t="n">
        <f aca="false">IF($H275="숙박",0,1)</f>
        <v>1</v>
      </c>
    </row>
    <row r="276" customFormat="false" ht="15" hidden="false" customHeight="false" outlineLevel="0" collapsed="false">
      <c r="A276" s="8" t="n">
        <v>275</v>
      </c>
      <c r="B276" s="8" t="s">
        <v>45</v>
      </c>
      <c r="C276" s="8"/>
      <c r="D276" s="8" t="s">
        <v>930</v>
      </c>
      <c r="E276" s="7" t="s">
        <v>931</v>
      </c>
      <c r="F276" s="8" t="s">
        <v>199</v>
      </c>
      <c r="G276" s="8" t="s">
        <v>216</v>
      </c>
      <c r="H276" s="9" t="s">
        <v>216</v>
      </c>
      <c r="I276" s="9" t="s">
        <v>190</v>
      </c>
      <c r="J276" s="9" t="s">
        <v>479</v>
      </c>
      <c r="K276" s="9" t="s">
        <v>52</v>
      </c>
      <c r="L276" s="8"/>
      <c r="M276" s="8"/>
      <c r="N276" s="8" t="s">
        <v>483</v>
      </c>
      <c r="O276" s="8" t="s">
        <v>932</v>
      </c>
      <c r="P276" s="10" t="n">
        <f aca="false">IF($H276="숙박",0,IF($H276=MID(P$1,3,20),IF($I276="",1,0.6),IF($I276=MID(P$1,3,20),0.4,0)))</f>
        <v>0.4</v>
      </c>
      <c r="Q276" s="10" t="n">
        <f aca="false">IF($H276="숙박",0,IF($H276=MID(Q$1,3,20),IF($I276="",1,0.6),IF($I276=MID(Q$1,3,20),0.4,0)))</f>
        <v>0</v>
      </c>
      <c r="R276" s="10" t="n">
        <f aca="false">IF($H276="숙박",0,IF($H276=MID(R$1,3,20),IF($I276="",1,0.6),IF($I276=MID(R$1,3,20),0.4,0)))</f>
        <v>0</v>
      </c>
      <c r="S276" s="10" t="n">
        <f aca="false">IF($H276="숙박",0,IF($H276=MID(S$1,3,20),IF($I276="",1,0.6),IF($I276=MID(S$1,3,20),0.4,0)))</f>
        <v>0.6</v>
      </c>
      <c r="T276" s="10" t="n">
        <f aca="false">IF($H276="숙박",0,IF($H276=MID(T$1,3,20),IF($I276="",1,0.6),IF($I276=MID(T$1,3,20),0.4,0)))</f>
        <v>0</v>
      </c>
      <c r="U276" s="10" t="n">
        <f aca="false">IF($H276="숙박",0,IF(ISNUMBER(SEARCH("야경",$J276)),1,0))</f>
        <v>0</v>
      </c>
      <c r="V276" s="10" t="n">
        <f aca="false">IF($H276="숙박",0,1)</f>
        <v>1</v>
      </c>
    </row>
    <row r="277" customFormat="false" ht="15" hidden="false" customHeight="false" outlineLevel="0" collapsed="false">
      <c r="A277" s="8" t="n">
        <v>276</v>
      </c>
      <c r="B277" s="8" t="s">
        <v>45</v>
      </c>
      <c r="C277" s="8"/>
      <c r="D277" s="8" t="s">
        <v>933</v>
      </c>
      <c r="E277" s="7" t="s">
        <v>934</v>
      </c>
      <c r="F277" s="7" t="s">
        <v>189</v>
      </c>
      <c r="G277" s="8" t="s">
        <v>49</v>
      </c>
      <c r="H277" s="9" t="s">
        <v>49</v>
      </c>
      <c r="I277" s="9"/>
      <c r="J277" s="9" t="s">
        <v>479</v>
      </c>
      <c r="K277" s="9" t="s">
        <v>52</v>
      </c>
      <c r="L277" s="8"/>
      <c r="M277" s="8"/>
      <c r="N277" s="8"/>
      <c r="O277" s="8" t="s">
        <v>935</v>
      </c>
      <c r="P277" s="10" t="n">
        <f aca="false">IF($H277="숙박",0,IF($H277=MID(P$1,3,20),IF($I277="",1,0.6),IF($I277=MID(P$1,3,20),0.4,0)))</f>
        <v>0</v>
      </c>
      <c r="Q277" s="10" t="n">
        <f aca="false">IF($H277="숙박",0,IF($H277=MID(Q$1,3,20),IF($I277="",1,0.6),IF($I277=MID(Q$1,3,20),0.4,0)))</f>
        <v>1</v>
      </c>
      <c r="R277" s="10" t="n">
        <f aca="false">IF($H277="숙박",0,IF($H277=MID(R$1,3,20),IF($I277="",1,0.6),IF($I277=MID(R$1,3,20),0.4,0)))</f>
        <v>0</v>
      </c>
      <c r="S277" s="10" t="n">
        <f aca="false">IF($H277="숙박",0,IF($H277=MID(S$1,3,20),IF($I277="",1,0.6),IF($I277=MID(S$1,3,20),0.4,0)))</f>
        <v>0</v>
      </c>
      <c r="T277" s="10" t="n">
        <f aca="false">IF($H277="숙박",0,IF($H277=MID(T$1,3,20),IF($I277="",1,0.6),IF($I277=MID(T$1,3,20),0.4,0)))</f>
        <v>0</v>
      </c>
      <c r="U277" s="10" t="n">
        <f aca="false">IF($H277="숙박",0,IF(ISNUMBER(SEARCH("야경",$J277)),1,0))</f>
        <v>0</v>
      </c>
      <c r="V277" s="10" t="n">
        <f aca="false">IF($H277="숙박",0,1)</f>
        <v>1</v>
      </c>
    </row>
    <row r="278" customFormat="false" ht="15" hidden="false" customHeight="false" outlineLevel="0" collapsed="false">
      <c r="A278" s="8" t="n">
        <v>277</v>
      </c>
      <c r="B278" s="8" t="s">
        <v>45</v>
      </c>
      <c r="C278" s="8"/>
      <c r="D278" s="8" t="s">
        <v>936</v>
      </c>
      <c r="E278" s="7" t="s">
        <v>937</v>
      </c>
      <c r="F278" s="7" t="s">
        <v>189</v>
      </c>
      <c r="G278" s="8" t="s">
        <v>190</v>
      </c>
      <c r="H278" s="9" t="s">
        <v>190</v>
      </c>
      <c r="I278" s="9"/>
      <c r="J278" s="9" t="s">
        <v>479</v>
      </c>
      <c r="K278" s="9" t="s">
        <v>191</v>
      </c>
      <c r="L278" s="8"/>
      <c r="M278" s="8"/>
      <c r="N278" s="8"/>
      <c r="O278" s="8" t="s">
        <v>938</v>
      </c>
      <c r="P278" s="10" t="n">
        <f aca="false">IF($H278="숙박",0,IF($H278=MID(P$1,3,20),IF($I278="",1,0.6),IF($I278=MID(P$1,3,20),0.4,0)))</f>
        <v>1</v>
      </c>
      <c r="Q278" s="10" t="n">
        <f aca="false">IF($H278="숙박",0,IF($H278=MID(Q$1,3,20),IF($I278="",1,0.6),IF($I278=MID(Q$1,3,20),0.4,0)))</f>
        <v>0</v>
      </c>
      <c r="R278" s="10" t="n">
        <f aca="false">IF($H278="숙박",0,IF($H278=MID(R$1,3,20),IF($I278="",1,0.6),IF($I278=MID(R$1,3,20),0.4,0)))</f>
        <v>0</v>
      </c>
      <c r="S278" s="10" t="n">
        <f aca="false">IF($H278="숙박",0,IF($H278=MID(S$1,3,20),IF($I278="",1,0.6),IF($I278=MID(S$1,3,20),0.4,0)))</f>
        <v>0</v>
      </c>
      <c r="T278" s="10" t="n">
        <f aca="false">IF($H278="숙박",0,IF($H278=MID(T$1,3,20),IF($I278="",1,0.6),IF($I278=MID(T$1,3,20),0.4,0)))</f>
        <v>0</v>
      </c>
      <c r="U278" s="10" t="n">
        <f aca="false">IF($H278="숙박",0,IF(ISNUMBER(SEARCH("야경",$J278)),1,0))</f>
        <v>0</v>
      </c>
      <c r="V278" s="10" t="n">
        <f aca="false">IF($H278="숙박",0,1)</f>
        <v>1</v>
      </c>
    </row>
    <row r="279" customFormat="false" ht="15" hidden="false" customHeight="false" outlineLevel="0" collapsed="false">
      <c r="A279" s="8" t="n">
        <v>278</v>
      </c>
      <c r="B279" s="8" t="s">
        <v>45</v>
      </c>
      <c r="C279" s="8"/>
      <c r="D279" s="8" t="s">
        <v>939</v>
      </c>
      <c r="E279" s="7" t="s">
        <v>940</v>
      </c>
      <c r="F279" s="8" t="s">
        <v>199</v>
      </c>
      <c r="G279" s="8" t="s">
        <v>49</v>
      </c>
      <c r="H279" s="9" t="s">
        <v>49</v>
      </c>
      <c r="I279" s="9" t="s">
        <v>184</v>
      </c>
      <c r="J279" s="9" t="s">
        <v>509</v>
      </c>
      <c r="K279" s="9" t="s">
        <v>52</v>
      </c>
      <c r="L279" s="8"/>
      <c r="M279" s="8"/>
      <c r="N279" s="8" t="s">
        <v>483</v>
      </c>
      <c r="O279" s="8" t="s">
        <v>941</v>
      </c>
      <c r="P279" s="10" t="n">
        <f aca="false">IF($H279="숙박",0,IF($H279=MID(P$1,3,20),IF($I279="",1,0.6),IF($I279=MID(P$1,3,20),0.4,0)))</f>
        <v>0</v>
      </c>
      <c r="Q279" s="10" t="n">
        <f aca="false">IF($H279="숙박",0,IF($H279=MID(Q$1,3,20),IF($I279="",1,0.6),IF($I279=MID(Q$1,3,20),0.4,0)))</f>
        <v>0.6</v>
      </c>
      <c r="R279" s="10" t="n">
        <f aca="false">IF($H279="숙박",0,IF($H279=MID(R$1,3,20),IF($I279="",1,0.6),IF($I279=MID(R$1,3,20),0.4,0)))</f>
        <v>0.4</v>
      </c>
      <c r="S279" s="10" t="n">
        <f aca="false">IF($H279="숙박",0,IF($H279=MID(S$1,3,20),IF($I279="",1,0.6),IF($I279=MID(S$1,3,20),0.4,0)))</f>
        <v>0</v>
      </c>
      <c r="T279" s="10" t="n">
        <f aca="false">IF($H279="숙박",0,IF($H279=MID(T$1,3,20),IF($I279="",1,0.6),IF($I279=MID(T$1,3,20),0.4,0)))</f>
        <v>0</v>
      </c>
      <c r="U279" s="10" t="n">
        <f aca="false">IF($H279="숙박",0,IF(ISNUMBER(SEARCH("야경",$J279)),1,0))</f>
        <v>1</v>
      </c>
      <c r="V279" s="10" t="n">
        <f aca="false">IF($H279="숙박",0,1)</f>
        <v>1</v>
      </c>
    </row>
    <row r="280" customFormat="false" ht="15" hidden="false" customHeight="false" outlineLevel="0" collapsed="false">
      <c r="A280" s="8" t="n">
        <v>279</v>
      </c>
      <c r="B280" s="8" t="s">
        <v>575</v>
      </c>
      <c r="C280" s="8"/>
      <c r="D280" s="8" t="s">
        <v>942</v>
      </c>
      <c r="E280" s="7" t="s">
        <v>943</v>
      </c>
      <c r="F280" s="8" t="s">
        <v>567</v>
      </c>
      <c r="G280" s="8" t="s">
        <v>49</v>
      </c>
      <c r="H280" s="9" t="s">
        <v>49</v>
      </c>
      <c r="I280" s="9" t="s">
        <v>184</v>
      </c>
      <c r="J280" s="9" t="s">
        <v>479</v>
      </c>
      <c r="K280" s="9" t="s">
        <v>52</v>
      </c>
      <c r="L280" s="8"/>
      <c r="M280" s="8"/>
      <c r="N280" s="8" t="s">
        <v>483</v>
      </c>
      <c r="O280" s="8" t="s">
        <v>944</v>
      </c>
      <c r="P280" s="10" t="n">
        <f aca="false">IF($H280="숙박",0,IF($H280=MID(P$1,3,20),IF($I280="",1,0.6),IF($I280=MID(P$1,3,20),0.4,0)))</f>
        <v>0</v>
      </c>
      <c r="Q280" s="10" t="n">
        <f aca="false">IF($H280="숙박",0,IF($H280=MID(Q$1,3,20),IF($I280="",1,0.6),IF($I280=MID(Q$1,3,20),0.4,0)))</f>
        <v>0.6</v>
      </c>
      <c r="R280" s="10" t="n">
        <f aca="false">IF($H280="숙박",0,IF($H280=MID(R$1,3,20),IF($I280="",1,0.6),IF($I280=MID(R$1,3,20),0.4,0)))</f>
        <v>0.4</v>
      </c>
      <c r="S280" s="10" t="n">
        <f aca="false">IF($H280="숙박",0,IF($H280=MID(S$1,3,20),IF($I280="",1,0.6),IF($I280=MID(S$1,3,20),0.4,0)))</f>
        <v>0</v>
      </c>
      <c r="T280" s="10" t="n">
        <f aca="false">IF($H280="숙박",0,IF($H280=MID(T$1,3,20),IF($I280="",1,0.6),IF($I280=MID(T$1,3,20),0.4,0)))</f>
        <v>0</v>
      </c>
      <c r="U280" s="10" t="n">
        <f aca="false">IF($H280="숙박",0,IF(ISNUMBER(SEARCH("야경",$J280)),1,0))</f>
        <v>0</v>
      </c>
      <c r="V280" s="10" t="n">
        <f aca="false">IF($H280="숙박",0,1)</f>
        <v>1</v>
      </c>
    </row>
    <row r="281" customFormat="false" ht="15" hidden="false" customHeight="false" outlineLevel="0" collapsed="false">
      <c r="A281" s="8" t="n">
        <v>280</v>
      </c>
      <c r="B281" s="8" t="s">
        <v>45</v>
      </c>
      <c r="C281" s="8"/>
      <c r="D281" s="8" t="s">
        <v>945</v>
      </c>
      <c r="E281" s="7" t="s">
        <v>946</v>
      </c>
      <c r="F281" s="8" t="s">
        <v>199</v>
      </c>
      <c r="G281" s="8" t="s">
        <v>190</v>
      </c>
      <c r="H281" s="9" t="s">
        <v>190</v>
      </c>
      <c r="I281" s="9"/>
      <c r="J281" s="9" t="s">
        <v>479</v>
      </c>
      <c r="K281" s="9" t="s">
        <v>191</v>
      </c>
      <c r="L281" s="8"/>
      <c r="M281" s="8"/>
      <c r="N281" s="8"/>
      <c r="O281" s="8" t="s">
        <v>947</v>
      </c>
      <c r="P281" s="10" t="n">
        <f aca="false">IF($H281="숙박",0,IF($H281=MID(P$1,3,20),IF($I281="",1,0.6),IF($I281=MID(P$1,3,20),0.4,0)))</f>
        <v>1</v>
      </c>
      <c r="Q281" s="10" t="n">
        <f aca="false">IF($H281="숙박",0,IF($H281=MID(Q$1,3,20),IF($I281="",1,0.6),IF($I281=MID(Q$1,3,20),0.4,0)))</f>
        <v>0</v>
      </c>
      <c r="R281" s="10" t="n">
        <f aca="false">IF($H281="숙박",0,IF($H281=MID(R$1,3,20),IF($I281="",1,0.6),IF($I281=MID(R$1,3,20),0.4,0)))</f>
        <v>0</v>
      </c>
      <c r="S281" s="10" t="n">
        <f aca="false">IF($H281="숙박",0,IF($H281=MID(S$1,3,20),IF($I281="",1,0.6),IF($I281=MID(S$1,3,20),0.4,0)))</f>
        <v>0</v>
      </c>
      <c r="T281" s="10" t="n">
        <f aca="false">IF($H281="숙박",0,IF($H281=MID(T$1,3,20),IF($I281="",1,0.6),IF($I281=MID(T$1,3,20),0.4,0)))</f>
        <v>0</v>
      </c>
      <c r="U281" s="10" t="n">
        <f aca="false">IF($H281="숙박",0,IF(ISNUMBER(SEARCH("야경",$J281)),1,0))</f>
        <v>0</v>
      </c>
      <c r="V281" s="10" t="n">
        <f aca="false">IF($H281="숙박",0,1)</f>
        <v>1</v>
      </c>
    </row>
    <row r="282" customFormat="false" ht="15" hidden="false" customHeight="false" outlineLevel="0" collapsed="false">
      <c r="A282" s="8" t="n">
        <v>281</v>
      </c>
      <c r="B282" s="8" t="s">
        <v>45</v>
      </c>
      <c r="C282" s="8"/>
      <c r="D282" s="8" t="s">
        <v>948</v>
      </c>
      <c r="E282" s="7" t="s">
        <v>949</v>
      </c>
      <c r="F282" s="7" t="s">
        <v>189</v>
      </c>
      <c r="G282" s="8" t="s">
        <v>216</v>
      </c>
      <c r="H282" s="9" t="s">
        <v>216</v>
      </c>
      <c r="I282" s="9"/>
      <c r="J282" s="9" t="s">
        <v>479</v>
      </c>
      <c r="K282" s="9" t="s">
        <v>191</v>
      </c>
      <c r="L282" s="8"/>
      <c r="M282" s="8"/>
      <c r="N282" s="8"/>
      <c r="O282" s="8" t="s">
        <v>950</v>
      </c>
      <c r="P282" s="10" t="n">
        <f aca="false">IF($H282="숙박",0,IF($H282=MID(P$1,3,20),IF($I282="",1,0.6),IF($I282=MID(P$1,3,20),0.4,0)))</f>
        <v>0</v>
      </c>
      <c r="Q282" s="10" t="n">
        <f aca="false">IF($H282="숙박",0,IF($H282=MID(Q$1,3,20),IF($I282="",1,0.6),IF($I282=MID(Q$1,3,20),0.4,0)))</f>
        <v>0</v>
      </c>
      <c r="R282" s="10" t="n">
        <f aca="false">IF($H282="숙박",0,IF($H282=MID(R$1,3,20),IF($I282="",1,0.6),IF($I282=MID(R$1,3,20),0.4,0)))</f>
        <v>0</v>
      </c>
      <c r="S282" s="10" t="n">
        <f aca="false">IF($H282="숙박",0,IF($H282=MID(S$1,3,20),IF($I282="",1,0.6),IF($I282=MID(S$1,3,20),0.4,0)))</f>
        <v>1</v>
      </c>
      <c r="T282" s="10" t="n">
        <f aca="false">IF($H282="숙박",0,IF($H282=MID(T$1,3,20),IF($I282="",1,0.6),IF($I282=MID(T$1,3,20),0.4,0)))</f>
        <v>0</v>
      </c>
      <c r="U282" s="10" t="n">
        <f aca="false">IF($H282="숙박",0,IF(ISNUMBER(SEARCH("야경",$J282)),1,0))</f>
        <v>0</v>
      </c>
      <c r="V282" s="10" t="n">
        <f aca="false">IF($H282="숙박",0,1)</f>
        <v>1</v>
      </c>
    </row>
    <row r="283" customFormat="false" ht="15" hidden="false" customHeight="false" outlineLevel="0" collapsed="false">
      <c r="A283" s="8" t="n">
        <v>282</v>
      </c>
      <c r="B283" s="8" t="s">
        <v>45</v>
      </c>
      <c r="C283" s="8"/>
      <c r="D283" s="8" t="s">
        <v>951</v>
      </c>
      <c r="E283" s="7" t="s">
        <v>952</v>
      </c>
      <c r="F283" s="8" t="s">
        <v>48</v>
      </c>
      <c r="G283" s="8" t="s">
        <v>184</v>
      </c>
      <c r="H283" s="9" t="s">
        <v>184</v>
      </c>
      <c r="I283" s="9" t="s">
        <v>50</v>
      </c>
      <c r="J283" s="9" t="s">
        <v>51</v>
      </c>
      <c r="K283" s="9" t="s">
        <v>191</v>
      </c>
      <c r="L283" s="8"/>
      <c r="M283" s="8"/>
      <c r="N283" s="8" t="s">
        <v>185</v>
      </c>
      <c r="O283" s="8" t="s">
        <v>953</v>
      </c>
      <c r="P283" s="10" t="n">
        <f aca="false">IF($H283="숙박",0,IF($H283=MID(P$1,3,20),IF($I283="",1,0.6),IF($I283=MID(P$1,3,20),0.4,0)))</f>
        <v>0</v>
      </c>
      <c r="Q283" s="10" t="n">
        <f aca="false">IF($H283="숙박",0,IF($H283=MID(Q$1,3,20),IF($I283="",1,0.6),IF($I283=MID(Q$1,3,20),0.4,0)))</f>
        <v>0</v>
      </c>
      <c r="R283" s="10" t="n">
        <f aca="false">IF($H283="숙박",0,IF($H283=MID(R$1,3,20),IF($I283="",1,0.6),IF($I283=MID(R$1,3,20),0.4,0)))</f>
        <v>0.6</v>
      </c>
      <c r="S283" s="10" t="n">
        <f aca="false">IF($H283="숙박",0,IF($H283=MID(S$1,3,20),IF($I283="",1,0.6),IF($I283=MID(S$1,3,20),0.4,0)))</f>
        <v>0</v>
      </c>
      <c r="T283" s="10" t="n">
        <f aca="false">IF($H283="숙박",0,IF($H283=MID(T$1,3,20),IF($I283="",1,0.6),IF($I283=MID(T$1,3,20),0.4,0)))</f>
        <v>0.4</v>
      </c>
      <c r="U283" s="10" t="n">
        <f aca="false">IF($H283="숙박",0,IF(ISNUMBER(SEARCH("야경",$J283)),1,0))</f>
        <v>0</v>
      </c>
      <c r="V283" s="10" t="n">
        <f aca="false">IF($H283="숙박",0,1)</f>
        <v>1</v>
      </c>
    </row>
    <row r="284" customFormat="false" ht="15" hidden="false" customHeight="false" outlineLevel="0" collapsed="false">
      <c r="A284" s="8" t="n">
        <v>283</v>
      </c>
      <c r="B284" s="8" t="s">
        <v>45</v>
      </c>
      <c r="C284" s="8"/>
      <c r="D284" s="8" t="s">
        <v>954</v>
      </c>
      <c r="E284" s="7" t="s">
        <v>955</v>
      </c>
      <c r="F284" s="8" t="s">
        <v>199</v>
      </c>
      <c r="G284" s="8" t="s">
        <v>216</v>
      </c>
      <c r="H284" s="9" t="s">
        <v>216</v>
      </c>
      <c r="I284" s="9"/>
      <c r="J284" s="9" t="s">
        <v>479</v>
      </c>
      <c r="K284" s="9" t="s">
        <v>191</v>
      </c>
      <c r="L284" s="8"/>
      <c r="M284" s="8"/>
      <c r="N284" s="8"/>
      <c r="O284" s="8" t="s">
        <v>956</v>
      </c>
      <c r="P284" s="10" t="n">
        <f aca="false">IF($H284="숙박",0,IF($H284=MID(P$1,3,20),IF($I284="",1,0.6),IF($I284=MID(P$1,3,20),0.4,0)))</f>
        <v>0</v>
      </c>
      <c r="Q284" s="10" t="n">
        <f aca="false">IF($H284="숙박",0,IF($H284=MID(Q$1,3,20),IF($I284="",1,0.6),IF($I284=MID(Q$1,3,20),0.4,0)))</f>
        <v>0</v>
      </c>
      <c r="R284" s="10" t="n">
        <f aca="false">IF($H284="숙박",0,IF($H284=MID(R$1,3,20),IF($I284="",1,0.6),IF($I284=MID(R$1,3,20),0.4,0)))</f>
        <v>0</v>
      </c>
      <c r="S284" s="10" t="n">
        <f aca="false">IF($H284="숙박",0,IF($H284=MID(S$1,3,20),IF($I284="",1,0.6),IF($I284=MID(S$1,3,20),0.4,0)))</f>
        <v>1</v>
      </c>
      <c r="T284" s="10" t="n">
        <f aca="false">IF($H284="숙박",0,IF($H284=MID(T$1,3,20),IF($I284="",1,0.6),IF($I284=MID(T$1,3,20),0.4,0)))</f>
        <v>0</v>
      </c>
      <c r="U284" s="10" t="n">
        <f aca="false">IF($H284="숙박",0,IF(ISNUMBER(SEARCH("야경",$J284)),1,0))</f>
        <v>0</v>
      </c>
      <c r="V284" s="10" t="n">
        <f aca="false">IF($H284="숙박",0,1)</f>
        <v>1</v>
      </c>
    </row>
    <row r="285" customFormat="false" ht="15" hidden="false" customHeight="false" outlineLevel="0" collapsed="false">
      <c r="A285" s="8" t="n">
        <v>284</v>
      </c>
      <c r="B285" s="8" t="s">
        <v>511</v>
      </c>
      <c r="C285" s="8"/>
      <c r="D285" s="8" t="s">
        <v>957</v>
      </c>
      <c r="E285" s="7" t="s">
        <v>958</v>
      </c>
      <c r="F285" s="7" t="s">
        <v>189</v>
      </c>
      <c r="G285" s="8" t="s">
        <v>216</v>
      </c>
      <c r="H285" s="9" t="s">
        <v>216</v>
      </c>
      <c r="I285" s="9"/>
      <c r="J285" s="9" t="s">
        <v>479</v>
      </c>
      <c r="K285" s="9" t="s">
        <v>191</v>
      </c>
      <c r="L285" s="8"/>
      <c r="M285" s="8"/>
      <c r="N285" s="8"/>
      <c r="O285" s="8" t="s">
        <v>959</v>
      </c>
      <c r="P285" s="10" t="n">
        <f aca="false">IF($H285="숙박",0,IF($H285=MID(P$1,3,20),IF($I285="",1,0.6),IF($I285=MID(P$1,3,20),0.4,0)))</f>
        <v>0</v>
      </c>
      <c r="Q285" s="10" t="n">
        <f aca="false">IF($H285="숙박",0,IF($H285=MID(Q$1,3,20),IF($I285="",1,0.6),IF($I285=MID(Q$1,3,20),0.4,0)))</f>
        <v>0</v>
      </c>
      <c r="R285" s="10" t="n">
        <f aca="false">IF($H285="숙박",0,IF($H285=MID(R$1,3,20),IF($I285="",1,0.6),IF($I285=MID(R$1,3,20),0.4,0)))</f>
        <v>0</v>
      </c>
      <c r="S285" s="10" t="n">
        <f aca="false">IF($H285="숙박",0,IF($H285=MID(S$1,3,20),IF($I285="",1,0.6),IF($I285=MID(S$1,3,20),0.4,0)))</f>
        <v>1</v>
      </c>
      <c r="T285" s="10" t="n">
        <f aca="false">IF($H285="숙박",0,IF($H285=MID(T$1,3,20),IF($I285="",1,0.6),IF($I285=MID(T$1,3,20),0.4,0)))</f>
        <v>0</v>
      </c>
      <c r="U285" s="10" t="n">
        <f aca="false">IF($H285="숙박",0,IF(ISNUMBER(SEARCH("야경",$J285)),1,0))</f>
        <v>0</v>
      </c>
      <c r="V285" s="10" t="n">
        <f aca="false">IF($H285="숙박",0,1)</f>
        <v>1</v>
      </c>
    </row>
    <row r="286" customFormat="false" ht="15" hidden="false" customHeight="false" outlineLevel="0" collapsed="false">
      <c r="A286" s="8" t="n">
        <v>285</v>
      </c>
      <c r="B286" s="8" t="s">
        <v>45</v>
      </c>
      <c r="C286" s="8"/>
      <c r="D286" s="8" t="s">
        <v>960</v>
      </c>
      <c r="E286" s="7" t="s">
        <v>961</v>
      </c>
      <c r="F286" s="8" t="s">
        <v>48</v>
      </c>
      <c r="G286" s="8" t="s">
        <v>190</v>
      </c>
      <c r="H286" s="9" t="s">
        <v>190</v>
      </c>
      <c r="I286" s="9"/>
      <c r="J286" s="9" t="s">
        <v>479</v>
      </c>
      <c r="K286" s="9" t="s">
        <v>52</v>
      </c>
      <c r="L286" s="8"/>
      <c r="M286" s="8"/>
      <c r="N286" s="8"/>
      <c r="O286" s="8" t="s">
        <v>962</v>
      </c>
      <c r="P286" s="10" t="n">
        <f aca="false">IF($H286="숙박",0,IF($H286=MID(P$1,3,20),IF($I286="",1,0.6),IF($I286=MID(P$1,3,20),0.4,0)))</f>
        <v>1</v>
      </c>
      <c r="Q286" s="10" t="n">
        <f aca="false">IF($H286="숙박",0,IF($H286=MID(Q$1,3,20),IF($I286="",1,0.6),IF($I286=MID(Q$1,3,20),0.4,0)))</f>
        <v>0</v>
      </c>
      <c r="R286" s="10" t="n">
        <f aca="false">IF($H286="숙박",0,IF($H286=MID(R$1,3,20),IF($I286="",1,0.6),IF($I286=MID(R$1,3,20),0.4,0)))</f>
        <v>0</v>
      </c>
      <c r="S286" s="10" t="n">
        <f aca="false">IF($H286="숙박",0,IF($H286=MID(S$1,3,20),IF($I286="",1,0.6),IF($I286=MID(S$1,3,20),0.4,0)))</f>
        <v>0</v>
      </c>
      <c r="T286" s="10" t="n">
        <f aca="false">IF($H286="숙박",0,IF($H286=MID(T$1,3,20),IF($I286="",1,0.6),IF($I286=MID(T$1,3,20),0.4,0)))</f>
        <v>0</v>
      </c>
      <c r="U286" s="10" t="n">
        <f aca="false">IF($H286="숙박",0,IF(ISNUMBER(SEARCH("야경",$J286)),1,0))</f>
        <v>0</v>
      </c>
      <c r="V286" s="10" t="n">
        <f aca="false">IF($H286="숙박",0,1)</f>
        <v>1</v>
      </c>
    </row>
    <row r="287" customFormat="false" ht="15" hidden="false" customHeight="false" outlineLevel="0" collapsed="false">
      <c r="A287" s="8" t="n">
        <v>286</v>
      </c>
      <c r="B287" s="8" t="s">
        <v>45</v>
      </c>
      <c r="C287" s="8"/>
      <c r="D287" s="8" t="s">
        <v>963</v>
      </c>
      <c r="E287" s="7" t="s">
        <v>964</v>
      </c>
      <c r="F287" s="8" t="s">
        <v>199</v>
      </c>
      <c r="G287" s="8" t="s">
        <v>184</v>
      </c>
      <c r="H287" s="9" t="s">
        <v>184</v>
      </c>
      <c r="I287" s="9"/>
      <c r="J287" s="9" t="s">
        <v>523</v>
      </c>
      <c r="K287" s="9" t="s">
        <v>191</v>
      </c>
      <c r="L287" s="8"/>
      <c r="M287" s="8"/>
      <c r="N287" s="8"/>
      <c r="O287" s="8" t="s">
        <v>965</v>
      </c>
      <c r="P287" s="10" t="n">
        <f aca="false">IF($H287="숙박",0,IF($H287=MID(P$1,3,20),IF($I287="",1,0.6),IF($I287=MID(P$1,3,20),0.4,0)))</f>
        <v>0</v>
      </c>
      <c r="Q287" s="10" t="n">
        <f aca="false">IF($H287="숙박",0,IF($H287=MID(Q$1,3,20),IF($I287="",1,0.6),IF($I287=MID(Q$1,3,20),0.4,0)))</f>
        <v>0</v>
      </c>
      <c r="R287" s="10" t="n">
        <f aca="false">IF($H287="숙박",0,IF($H287=MID(R$1,3,20),IF($I287="",1,0.6),IF($I287=MID(R$1,3,20),0.4,0)))</f>
        <v>1</v>
      </c>
      <c r="S287" s="10" t="n">
        <f aca="false">IF($H287="숙박",0,IF($H287=MID(S$1,3,20),IF($I287="",1,0.6),IF($I287=MID(S$1,3,20),0.4,0)))</f>
        <v>0</v>
      </c>
      <c r="T287" s="10" t="n">
        <f aca="false">IF($H287="숙박",0,IF($H287=MID(T$1,3,20),IF($I287="",1,0.6),IF($I287=MID(T$1,3,20),0.4,0)))</f>
        <v>0</v>
      </c>
      <c r="U287" s="10" t="n">
        <f aca="false">IF($H287="숙박",0,IF(ISNUMBER(SEARCH("야경",$J287)),1,0))</f>
        <v>0</v>
      </c>
      <c r="V287" s="10" t="n">
        <f aca="false">IF($H287="숙박",0,1)</f>
        <v>1</v>
      </c>
    </row>
    <row r="288" customFormat="false" ht="15" hidden="false" customHeight="false" outlineLevel="0" collapsed="false">
      <c r="A288" s="8" t="n">
        <v>287</v>
      </c>
      <c r="B288" s="8" t="s">
        <v>45</v>
      </c>
      <c r="C288" s="8" t="s">
        <v>966</v>
      </c>
      <c r="D288" s="8" t="s">
        <v>967</v>
      </c>
      <c r="E288" s="7" t="s">
        <v>968</v>
      </c>
      <c r="F288" s="7" t="s">
        <v>189</v>
      </c>
      <c r="G288" s="8" t="s">
        <v>49</v>
      </c>
      <c r="H288" s="9" t="s">
        <v>49</v>
      </c>
      <c r="I288" s="9" t="s">
        <v>190</v>
      </c>
      <c r="J288" s="9" t="s">
        <v>479</v>
      </c>
      <c r="K288" s="9" t="s">
        <v>52</v>
      </c>
      <c r="L288" s="8"/>
      <c r="M288" s="8"/>
      <c r="N288" s="8" t="s">
        <v>483</v>
      </c>
      <c r="O288" s="8" t="s">
        <v>969</v>
      </c>
      <c r="P288" s="10" t="n">
        <f aca="false">IF($H288="숙박",0,IF($H288=MID(P$1,3,20),IF($I288="",1,0.6),IF($I288=MID(P$1,3,20),0.4,0)))</f>
        <v>0.4</v>
      </c>
      <c r="Q288" s="10" t="n">
        <f aca="false">IF($H288="숙박",0,IF($H288=MID(Q$1,3,20),IF($I288="",1,0.6),IF($I288=MID(Q$1,3,20),0.4,0)))</f>
        <v>0.6</v>
      </c>
      <c r="R288" s="10" t="n">
        <f aca="false">IF($H288="숙박",0,IF($H288=MID(R$1,3,20),IF($I288="",1,0.6),IF($I288=MID(R$1,3,20),0.4,0)))</f>
        <v>0</v>
      </c>
      <c r="S288" s="10" t="n">
        <f aca="false">IF($H288="숙박",0,IF($H288=MID(S$1,3,20),IF($I288="",1,0.6),IF($I288=MID(S$1,3,20),0.4,0)))</f>
        <v>0</v>
      </c>
      <c r="T288" s="10" t="n">
        <f aca="false">IF($H288="숙박",0,IF($H288=MID(T$1,3,20),IF($I288="",1,0.6),IF($I288=MID(T$1,3,20),0.4,0)))</f>
        <v>0</v>
      </c>
      <c r="U288" s="10" t="n">
        <f aca="false">IF($H288="숙박",0,IF(ISNUMBER(SEARCH("야경",$J288)),1,0))</f>
        <v>0</v>
      </c>
      <c r="V288" s="10" t="n">
        <f aca="false">IF($H288="숙박",0,1)</f>
        <v>1</v>
      </c>
    </row>
    <row r="289" customFormat="false" ht="15" hidden="false" customHeight="false" outlineLevel="0" collapsed="false">
      <c r="A289" s="8" t="n">
        <v>288</v>
      </c>
      <c r="B289" s="8" t="s">
        <v>511</v>
      </c>
      <c r="C289" s="8"/>
      <c r="D289" s="8" t="s">
        <v>970</v>
      </c>
      <c r="E289" s="7" t="s">
        <v>971</v>
      </c>
      <c r="F289" s="7" t="s">
        <v>189</v>
      </c>
      <c r="G289" s="8" t="s">
        <v>190</v>
      </c>
      <c r="H289" s="9" t="s">
        <v>190</v>
      </c>
      <c r="I289" s="9" t="s">
        <v>184</v>
      </c>
      <c r="J289" s="9" t="s">
        <v>479</v>
      </c>
      <c r="K289" s="9" t="s">
        <v>191</v>
      </c>
      <c r="L289" s="8"/>
      <c r="M289" s="8"/>
      <c r="N289" s="8" t="s">
        <v>483</v>
      </c>
      <c r="O289" s="8" t="s">
        <v>972</v>
      </c>
      <c r="P289" s="10" t="n">
        <f aca="false">IF($H289="숙박",0,IF($H289=MID(P$1,3,20),IF($I289="",1,0.6),IF($I289=MID(P$1,3,20),0.4,0)))</f>
        <v>0.6</v>
      </c>
      <c r="Q289" s="10" t="n">
        <f aca="false">IF($H289="숙박",0,IF($H289=MID(Q$1,3,20),IF($I289="",1,0.6),IF($I289=MID(Q$1,3,20),0.4,0)))</f>
        <v>0</v>
      </c>
      <c r="R289" s="10" t="n">
        <f aca="false">IF($H289="숙박",0,IF($H289=MID(R$1,3,20),IF($I289="",1,0.6),IF($I289=MID(R$1,3,20),0.4,0)))</f>
        <v>0.4</v>
      </c>
      <c r="S289" s="10" t="n">
        <f aca="false">IF($H289="숙박",0,IF($H289=MID(S$1,3,20),IF($I289="",1,0.6),IF($I289=MID(S$1,3,20),0.4,0)))</f>
        <v>0</v>
      </c>
      <c r="T289" s="10" t="n">
        <f aca="false">IF($H289="숙박",0,IF($H289=MID(T$1,3,20),IF($I289="",1,0.6),IF($I289=MID(T$1,3,20),0.4,0)))</f>
        <v>0</v>
      </c>
      <c r="U289" s="10" t="n">
        <f aca="false">IF($H289="숙박",0,IF(ISNUMBER(SEARCH("야경",$J289)),1,0))</f>
        <v>0</v>
      </c>
      <c r="V289" s="10" t="n">
        <f aca="false">IF($H289="숙박",0,1)</f>
        <v>1</v>
      </c>
    </row>
    <row r="290" customFormat="false" ht="15" hidden="false" customHeight="false" outlineLevel="0" collapsed="false">
      <c r="A290" s="8" t="n">
        <v>289</v>
      </c>
      <c r="B290" s="8" t="s">
        <v>511</v>
      </c>
      <c r="C290" s="8"/>
      <c r="D290" s="8" t="s">
        <v>973</v>
      </c>
      <c r="E290" s="7" t="s">
        <v>974</v>
      </c>
      <c r="F290" s="7" t="s">
        <v>189</v>
      </c>
      <c r="G290" s="8" t="s">
        <v>190</v>
      </c>
      <c r="H290" s="9" t="s">
        <v>190</v>
      </c>
      <c r="I290" s="9"/>
      <c r="J290" s="9" t="s">
        <v>479</v>
      </c>
      <c r="K290" s="9" t="s">
        <v>52</v>
      </c>
      <c r="L290" s="8"/>
      <c r="M290" s="8"/>
      <c r="N290" s="8"/>
      <c r="O290" s="8" t="s">
        <v>975</v>
      </c>
      <c r="P290" s="10" t="n">
        <f aca="false">IF($H290="숙박",0,IF($H290=MID(P$1,3,20),IF($I290="",1,0.6),IF($I290=MID(P$1,3,20),0.4,0)))</f>
        <v>1</v>
      </c>
      <c r="Q290" s="10" t="n">
        <f aca="false">IF($H290="숙박",0,IF($H290=MID(Q$1,3,20),IF($I290="",1,0.6),IF($I290=MID(Q$1,3,20),0.4,0)))</f>
        <v>0</v>
      </c>
      <c r="R290" s="10" t="n">
        <f aca="false">IF($H290="숙박",0,IF($H290=MID(R$1,3,20),IF($I290="",1,0.6),IF($I290=MID(R$1,3,20),0.4,0)))</f>
        <v>0</v>
      </c>
      <c r="S290" s="10" t="n">
        <f aca="false">IF($H290="숙박",0,IF($H290=MID(S$1,3,20),IF($I290="",1,0.6),IF($I290=MID(S$1,3,20),0.4,0)))</f>
        <v>0</v>
      </c>
      <c r="T290" s="10" t="n">
        <f aca="false">IF($H290="숙박",0,IF($H290=MID(T$1,3,20),IF($I290="",1,0.6),IF($I290=MID(T$1,3,20),0.4,0)))</f>
        <v>0</v>
      </c>
      <c r="U290" s="10" t="n">
        <f aca="false">IF($H290="숙박",0,IF(ISNUMBER(SEARCH("야경",$J290)),1,0))</f>
        <v>0</v>
      </c>
      <c r="V290" s="10" t="n">
        <f aca="false">IF($H290="숙박",0,1)</f>
        <v>1</v>
      </c>
    </row>
    <row r="291" customFormat="false" ht="15" hidden="false" customHeight="false" outlineLevel="0" collapsed="false">
      <c r="A291" s="8" t="n">
        <v>290</v>
      </c>
      <c r="B291" s="8" t="s">
        <v>511</v>
      </c>
      <c r="C291" s="8"/>
      <c r="D291" s="8" t="s">
        <v>976</v>
      </c>
      <c r="E291" s="7" t="s">
        <v>977</v>
      </c>
      <c r="F291" s="7" t="s">
        <v>189</v>
      </c>
      <c r="G291" s="8" t="s">
        <v>190</v>
      </c>
      <c r="H291" s="9" t="s">
        <v>190</v>
      </c>
      <c r="I291" s="9" t="s">
        <v>184</v>
      </c>
      <c r="J291" s="9" t="s">
        <v>479</v>
      </c>
      <c r="K291" s="9" t="s">
        <v>191</v>
      </c>
      <c r="L291" s="8"/>
      <c r="M291" s="8"/>
      <c r="N291" s="8" t="s">
        <v>483</v>
      </c>
      <c r="O291" s="8" t="s">
        <v>978</v>
      </c>
      <c r="P291" s="10" t="n">
        <f aca="false">IF($H291="숙박",0,IF($H291=MID(P$1,3,20),IF($I291="",1,0.6),IF($I291=MID(P$1,3,20),0.4,0)))</f>
        <v>0.6</v>
      </c>
      <c r="Q291" s="10" t="n">
        <f aca="false">IF($H291="숙박",0,IF($H291=MID(Q$1,3,20),IF($I291="",1,0.6),IF($I291=MID(Q$1,3,20),0.4,0)))</f>
        <v>0</v>
      </c>
      <c r="R291" s="10" t="n">
        <f aca="false">IF($H291="숙박",0,IF($H291=MID(R$1,3,20),IF($I291="",1,0.6),IF($I291=MID(R$1,3,20),0.4,0)))</f>
        <v>0.4</v>
      </c>
      <c r="S291" s="10" t="n">
        <f aca="false">IF($H291="숙박",0,IF($H291=MID(S$1,3,20),IF($I291="",1,0.6),IF($I291=MID(S$1,3,20),0.4,0)))</f>
        <v>0</v>
      </c>
      <c r="T291" s="10" t="n">
        <f aca="false">IF($H291="숙박",0,IF($H291=MID(T$1,3,20),IF($I291="",1,0.6),IF($I291=MID(T$1,3,20),0.4,0)))</f>
        <v>0</v>
      </c>
      <c r="U291" s="10" t="n">
        <f aca="false">IF($H291="숙박",0,IF(ISNUMBER(SEARCH("야경",$J291)),1,0))</f>
        <v>0</v>
      </c>
      <c r="V291" s="10" t="n">
        <f aca="false">IF($H291="숙박",0,1)</f>
        <v>1</v>
      </c>
    </row>
    <row r="292" customFormat="false" ht="15" hidden="false" customHeight="false" outlineLevel="0" collapsed="false">
      <c r="A292" s="8" t="n">
        <v>291</v>
      </c>
      <c r="B292" s="8" t="s">
        <v>45</v>
      </c>
      <c r="C292" s="8"/>
      <c r="D292" s="8" t="s">
        <v>979</v>
      </c>
      <c r="E292" s="7" t="s">
        <v>980</v>
      </c>
      <c r="F292" s="8" t="s">
        <v>59</v>
      </c>
      <c r="G292" s="8" t="s">
        <v>216</v>
      </c>
      <c r="H292" s="9" t="s">
        <v>216</v>
      </c>
      <c r="I292" s="9"/>
      <c r="J292" s="9" t="s">
        <v>479</v>
      </c>
      <c r="K292" s="9" t="s">
        <v>191</v>
      </c>
      <c r="L292" s="8"/>
      <c r="M292" s="8"/>
      <c r="N292" s="8"/>
      <c r="O292" s="8" t="s">
        <v>981</v>
      </c>
      <c r="P292" s="10" t="n">
        <f aca="false">IF($H292="숙박",0,IF($H292=MID(P$1,3,20),IF($I292="",1,0.6),IF($I292=MID(P$1,3,20),0.4,0)))</f>
        <v>0</v>
      </c>
      <c r="Q292" s="10" t="n">
        <f aca="false">IF($H292="숙박",0,IF($H292=MID(Q$1,3,20),IF($I292="",1,0.6),IF($I292=MID(Q$1,3,20),0.4,0)))</f>
        <v>0</v>
      </c>
      <c r="R292" s="10" t="n">
        <f aca="false">IF($H292="숙박",0,IF($H292=MID(R$1,3,20),IF($I292="",1,0.6),IF($I292=MID(R$1,3,20),0.4,0)))</f>
        <v>0</v>
      </c>
      <c r="S292" s="10" t="n">
        <f aca="false">IF($H292="숙박",0,IF($H292=MID(S$1,3,20),IF($I292="",1,0.6),IF($I292=MID(S$1,3,20),0.4,0)))</f>
        <v>1</v>
      </c>
      <c r="T292" s="10" t="n">
        <f aca="false">IF($H292="숙박",0,IF($H292=MID(T$1,3,20),IF($I292="",1,0.6),IF($I292=MID(T$1,3,20),0.4,0)))</f>
        <v>0</v>
      </c>
      <c r="U292" s="10" t="n">
        <f aca="false">IF($H292="숙박",0,IF(ISNUMBER(SEARCH("야경",$J292)),1,0))</f>
        <v>0</v>
      </c>
      <c r="V292" s="10" t="n">
        <f aca="false">IF($H292="숙박",0,1)</f>
        <v>1</v>
      </c>
    </row>
    <row r="293" customFormat="false" ht="15" hidden="false" customHeight="false" outlineLevel="0" collapsed="false">
      <c r="A293" s="8" t="n">
        <v>292</v>
      </c>
      <c r="B293" s="8" t="s">
        <v>45</v>
      </c>
      <c r="C293" s="8"/>
      <c r="D293" s="8" t="s">
        <v>982</v>
      </c>
      <c r="E293" s="7" t="s">
        <v>983</v>
      </c>
      <c r="F293" s="7" t="s">
        <v>189</v>
      </c>
      <c r="G293" s="8" t="s">
        <v>184</v>
      </c>
      <c r="H293" s="9" t="s">
        <v>184</v>
      </c>
      <c r="I293" s="9" t="s">
        <v>190</v>
      </c>
      <c r="J293" s="9" t="s">
        <v>479</v>
      </c>
      <c r="K293" s="9" t="s">
        <v>191</v>
      </c>
      <c r="L293" s="8"/>
      <c r="M293" s="8"/>
      <c r="N293" s="8" t="s">
        <v>483</v>
      </c>
      <c r="O293" s="8" t="s">
        <v>984</v>
      </c>
      <c r="P293" s="10" t="n">
        <f aca="false">IF($H293="숙박",0,IF($H293=MID(P$1,3,20),IF($I293="",1,0.6),IF($I293=MID(P$1,3,20),0.4,0)))</f>
        <v>0.4</v>
      </c>
      <c r="Q293" s="10" t="n">
        <f aca="false">IF($H293="숙박",0,IF($H293=MID(Q$1,3,20),IF($I293="",1,0.6),IF($I293=MID(Q$1,3,20),0.4,0)))</f>
        <v>0</v>
      </c>
      <c r="R293" s="10" t="n">
        <f aca="false">IF($H293="숙박",0,IF($H293=MID(R$1,3,20),IF($I293="",1,0.6),IF($I293=MID(R$1,3,20),0.4,0)))</f>
        <v>0.6</v>
      </c>
      <c r="S293" s="10" t="n">
        <f aca="false">IF($H293="숙박",0,IF($H293=MID(S$1,3,20),IF($I293="",1,0.6),IF($I293=MID(S$1,3,20),0.4,0)))</f>
        <v>0</v>
      </c>
      <c r="T293" s="10" t="n">
        <f aca="false">IF($H293="숙박",0,IF($H293=MID(T$1,3,20),IF($I293="",1,0.6),IF($I293=MID(T$1,3,20),0.4,0)))</f>
        <v>0</v>
      </c>
      <c r="U293" s="10" t="n">
        <f aca="false">IF($H293="숙박",0,IF(ISNUMBER(SEARCH("야경",$J293)),1,0))</f>
        <v>0</v>
      </c>
      <c r="V293" s="10" t="n">
        <f aca="false">IF($H293="숙박",0,1)</f>
        <v>1</v>
      </c>
    </row>
    <row r="294" customFormat="false" ht="15" hidden="false" customHeight="false" outlineLevel="0" collapsed="false">
      <c r="A294" s="8" t="n">
        <v>293</v>
      </c>
      <c r="B294" s="8" t="s">
        <v>45</v>
      </c>
      <c r="C294" s="8"/>
      <c r="D294" s="8" t="s">
        <v>985</v>
      </c>
      <c r="E294" s="7" t="s">
        <v>986</v>
      </c>
      <c r="F294" s="7" t="s">
        <v>189</v>
      </c>
      <c r="G294" s="8" t="s">
        <v>50</v>
      </c>
      <c r="H294" s="9" t="s">
        <v>50</v>
      </c>
      <c r="I294" s="9" t="s">
        <v>184</v>
      </c>
      <c r="J294" s="9" t="s">
        <v>51</v>
      </c>
      <c r="K294" s="9" t="s">
        <v>52</v>
      </c>
      <c r="L294" s="8"/>
      <c r="M294" s="8"/>
      <c r="N294" s="8" t="s">
        <v>483</v>
      </c>
      <c r="O294" s="8" t="s">
        <v>987</v>
      </c>
      <c r="P294" s="10" t="n">
        <f aca="false">IF($H294="숙박",0,IF($H294=MID(P$1,3,20),IF($I294="",1,0.6),IF($I294=MID(P$1,3,20),0.4,0)))</f>
        <v>0</v>
      </c>
      <c r="Q294" s="10" t="n">
        <f aca="false">IF($H294="숙박",0,IF($H294=MID(Q$1,3,20),IF($I294="",1,0.6),IF($I294=MID(Q$1,3,20),0.4,0)))</f>
        <v>0</v>
      </c>
      <c r="R294" s="10" t="n">
        <f aca="false">IF($H294="숙박",0,IF($H294=MID(R$1,3,20),IF($I294="",1,0.6),IF($I294=MID(R$1,3,20),0.4,0)))</f>
        <v>0.4</v>
      </c>
      <c r="S294" s="10" t="n">
        <f aca="false">IF($H294="숙박",0,IF($H294=MID(S$1,3,20),IF($I294="",1,0.6),IF($I294=MID(S$1,3,20),0.4,0)))</f>
        <v>0</v>
      </c>
      <c r="T294" s="10" t="n">
        <f aca="false">IF($H294="숙박",0,IF($H294=MID(T$1,3,20),IF($I294="",1,0.6),IF($I294=MID(T$1,3,20),0.4,0)))</f>
        <v>0.6</v>
      </c>
      <c r="U294" s="10" t="n">
        <f aca="false">IF($H294="숙박",0,IF(ISNUMBER(SEARCH("야경",$J294)),1,0))</f>
        <v>0</v>
      </c>
      <c r="V294" s="10" t="n">
        <f aca="false">IF($H294="숙박",0,1)</f>
        <v>1</v>
      </c>
    </row>
    <row r="295" customFormat="false" ht="15" hidden="false" customHeight="false" outlineLevel="0" collapsed="false">
      <c r="A295" s="8" t="n">
        <v>294</v>
      </c>
      <c r="B295" s="8" t="s">
        <v>45</v>
      </c>
      <c r="C295" s="8"/>
      <c r="D295" s="8" t="s">
        <v>988</v>
      </c>
      <c r="E295" s="7" t="s">
        <v>989</v>
      </c>
      <c r="F295" s="8" t="s">
        <v>59</v>
      </c>
      <c r="G295" s="8" t="s">
        <v>49</v>
      </c>
      <c r="H295" s="9" t="s">
        <v>49</v>
      </c>
      <c r="I295" s="9" t="s">
        <v>184</v>
      </c>
      <c r="J295" s="9" t="s">
        <v>479</v>
      </c>
      <c r="K295" s="9" t="s">
        <v>52</v>
      </c>
      <c r="L295" s="8"/>
      <c r="M295" s="8"/>
      <c r="N295" s="8" t="s">
        <v>483</v>
      </c>
      <c r="O295" s="8" t="s">
        <v>990</v>
      </c>
      <c r="P295" s="10" t="n">
        <f aca="false">IF($H295="숙박",0,IF($H295=MID(P$1,3,20),IF($I295="",1,0.6),IF($I295=MID(P$1,3,20),0.4,0)))</f>
        <v>0</v>
      </c>
      <c r="Q295" s="10" t="n">
        <f aca="false">IF($H295="숙박",0,IF($H295=MID(Q$1,3,20),IF($I295="",1,0.6),IF($I295=MID(Q$1,3,20),0.4,0)))</f>
        <v>0.6</v>
      </c>
      <c r="R295" s="10" t="n">
        <f aca="false">IF($H295="숙박",0,IF($H295=MID(R$1,3,20),IF($I295="",1,0.6),IF($I295=MID(R$1,3,20),0.4,0)))</f>
        <v>0.4</v>
      </c>
      <c r="S295" s="10" t="n">
        <f aca="false">IF($H295="숙박",0,IF($H295=MID(S$1,3,20),IF($I295="",1,0.6),IF($I295=MID(S$1,3,20),0.4,0)))</f>
        <v>0</v>
      </c>
      <c r="T295" s="10" t="n">
        <f aca="false">IF($H295="숙박",0,IF($H295=MID(T$1,3,20),IF($I295="",1,0.6),IF($I295=MID(T$1,3,20),0.4,0)))</f>
        <v>0</v>
      </c>
      <c r="U295" s="10" t="n">
        <f aca="false">IF($H295="숙박",0,IF(ISNUMBER(SEARCH("야경",$J295)),1,0))</f>
        <v>0</v>
      </c>
      <c r="V295" s="10" t="n">
        <f aca="false">IF($H295="숙박",0,1)</f>
        <v>1</v>
      </c>
    </row>
    <row r="296" customFormat="false" ht="15" hidden="false" customHeight="false" outlineLevel="0" collapsed="false">
      <c r="A296" s="8" t="n">
        <v>295</v>
      </c>
      <c r="B296" s="8" t="s">
        <v>45</v>
      </c>
      <c r="C296" s="8"/>
      <c r="D296" s="8" t="s">
        <v>991</v>
      </c>
      <c r="E296" s="7" t="s">
        <v>992</v>
      </c>
      <c r="F296" s="8" t="s">
        <v>59</v>
      </c>
      <c r="G296" s="8" t="s">
        <v>216</v>
      </c>
      <c r="H296" s="9" t="s">
        <v>216</v>
      </c>
      <c r="I296" s="9" t="s">
        <v>49</v>
      </c>
      <c r="J296" s="9" t="s">
        <v>523</v>
      </c>
      <c r="K296" s="9" t="s">
        <v>191</v>
      </c>
      <c r="L296" s="8"/>
      <c r="M296" s="8"/>
      <c r="N296" s="8" t="s">
        <v>483</v>
      </c>
      <c r="O296" s="8" t="s">
        <v>993</v>
      </c>
      <c r="P296" s="10" t="n">
        <f aca="false">IF($H296="숙박",0,IF($H296=MID(P$1,3,20),IF($I296="",1,0.6),IF($I296=MID(P$1,3,20),0.4,0)))</f>
        <v>0</v>
      </c>
      <c r="Q296" s="10" t="n">
        <f aca="false">IF($H296="숙박",0,IF($H296=MID(Q$1,3,20),IF($I296="",1,0.6),IF($I296=MID(Q$1,3,20),0.4,0)))</f>
        <v>0.4</v>
      </c>
      <c r="R296" s="10" t="n">
        <f aca="false">IF($H296="숙박",0,IF($H296=MID(R$1,3,20),IF($I296="",1,0.6),IF($I296=MID(R$1,3,20),0.4,0)))</f>
        <v>0</v>
      </c>
      <c r="S296" s="10" t="n">
        <f aca="false">IF($H296="숙박",0,IF($H296=MID(S$1,3,20),IF($I296="",1,0.6),IF($I296=MID(S$1,3,20),0.4,0)))</f>
        <v>0.6</v>
      </c>
      <c r="T296" s="10" t="n">
        <f aca="false">IF($H296="숙박",0,IF($H296=MID(T$1,3,20),IF($I296="",1,0.6),IF($I296=MID(T$1,3,20),0.4,0)))</f>
        <v>0</v>
      </c>
      <c r="U296" s="10" t="n">
        <f aca="false">IF($H296="숙박",0,IF(ISNUMBER(SEARCH("야경",$J296)),1,0))</f>
        <v>0</v>
      </c>
      <c r="V296" s="10" t="n">
        <f aca="false">IF($H296="숙박",0,1)</f>
        <v>1</v>
      </c>
    </row>
    <row r="297" customFormat="false" ht="15" hidden="false" customHeight="false" outlineLevel="0" collapsed="false">
      <c r="A297" s="8" t="n">
        <v>296</v>
      </c>
      <c r="B297" s="8" t="s">
        <v>45</v>
      </c>
      <c r="C297" s="8"/>
      <c r="D297" s="8" t="s">
        <v>994</v>
      </c>
      <c r="E297" s="7" t="s">
        <v>995</v>
      </c>
      <c r="F297" s="8" t="s">
        <v>199</v>
      </c>
      <c r="G297" s="8" t="s">
        <v>216</v>
      </c>
      <c r="H297" s="9" t="s">
        <v>216</v>
      </c>
      <c r="I297" s="9"/>
      <c r="J297" s="9" t="s">
        <v>479</v>
      </c>
      <c r="K297" s="9" t="s">
        <v>191</v>
      </c>
      <c r="L297" s="8"/>
      <c r="M297" s="8"/>
      <c r="N297" s="8"/>
      <c r="O297" s="8" t="s">
        <v>996</v>
      </c>
      <c r="P297" s="10" t="n">
        <f aca="false">IF($H297="숙박",0,IF($H297=MID(P$1,3,20),IF($I297="",1,0.6),IF($I297=MID(P$1,3,20),0.4,0)))</f>
        <v>0</v>
      </c>
      <c r="Q297" s="10" t="n">
        <f aca="false">IF($H297="숙박",0,IF($H297=MID(Q$1,3,20),IF($I297="",1,0.6),IF($I297=MID(Q$1,3,20),0.4,0)))</f>
        <v>0</v>
      </c>
      <c r="R297" s="10" t="n">
        <f aca="false">IF($H297="숙박",0,IF($H297=MID(R$1,3,20),IF($I297="",1,0.6),IF($I297=MID(R$1,3,20),0.4,0)))</f>
        <v>0</v>
      </c>
      <c r="S297" s="10" t="n">
        <f aca="false">IF($H297="숙박",0,IF($H297=MID(S$1,3,20),IF($I297="",1,0.6),IF($I297=MID(S$1,3,20),0.4,0)))</f>
        <v>1</v>
      </c>
      <c r="T297" s="10" t="n">
        <f aca="false">IF($H297="숙박",0,IF($H297=MID(T$1,3,20),IF($I297="",1,0.6),IF($I297=MID(T$1,3,20),0.4,0)))</f>
        <v>0</v>
      </c>
      <c r="U297" s="10" t="n">
        <f aca="false">IF($H297="숙박",0,IF(ISNUMBER(SEARCH("야경",$J297)),1,0))</f>
        <v>0</v>
      </c>
      <c r="V297" s="10" t="n">
        <f aca="false">IF($H297="숙박",0,1)</f>
        <v>1</v>
      </c>
    </row>
    <row r="298" customFormat="false" ht="15" hidden="false" customHeight="false" outlineLevel="0" collapsed="false">
      <c r="A298" s="8" t="n">
        <v>297</v>
      </c>
      <c r="B298" s="8" t="s">
        <v>45</v>
      </c>
      <c r="C298" s="8"/>
      <c r="D298" s="8" t="s">
        <v>997</v>
      </c>
      <c r="E298" s="7" t="s">
        <v>998</v>
      </c>
      <c r="F298" s="8" t="s">
        <v>48</v>
      </c>
      <c r="G298" s="8" t="s">
        <v>49</v>
      </c>
      <c r="H298" s="9" t="s">
        <v>49</v>
      </c>
      <c r="I298" s="9"/>
      <c r="J298" s="9" t="s">
        <v>479</v>
      </c>
      <c r="K298" s="9" t="s">
        <v>209</v>
      </c>
      <c r="L298" s="8"/>
      <c r="M298" s="8"/>
      <c r="N298" s="8"/>
      <c r="O298" s="7" t="s">
        <v>999</v>
      </c>
      <c r="P298" s="10" t="n">
        <f aca="false">IF($H298="숙박",0,IF($H298=MID(P$1,3,20),IF($I298="",1,0.6),IF($I298=MID(P$1,3,20),0.4,0)))</f>
        <v>0</v>
      </c>
      <c r="Q298" s="10" t="n">
        <f aca="false">IF($H298="숙박",0,IF($H298=MID(Q$1,3,20),IF($I298="",1,0.6),IF($I298=MID(Q$1,3,20),0.4,0)))</f>
        <v>1</v>
      </c>
      <c r="R298" s="10" t="n">
        <f aca="false">IF($H298="숙박",0,IF($H298=MID(R$1,3,20),IF($I298="",1,0.6),IF($I298=MID(R$1,3,20),0.4,0)))</f>
        <v>0</v>
      </c>
      <c r="S298" s="10" t="n">
        <f aca="false">IF($H298="숙박",0,IF($H298=MID(S$1,3,20),IF($I298="",1,0.6),IF($I298=MID(S$1,3,20),0.4,0)))</f>
        <v>0</v>
      </c>
      <c r="T298" s="10" t="n">
        <f aca="false">IF($H298="숙박",0,IF($H298=MID(T$1,3,20),IF($I298="",1,0.6),IF($I298=MID(T$1,3,20),0.4,0)))</f>
        <v>0</v>
      </c>
      <c r="U298" s="10" t="n">
        <f aca="false">IF($H298="숙박",0,IF(ISNUMBER(SEARCH("야경",$J298)),1,0))</f>
        <v>0</v>
      </c>
      <c r="V298" s="10" t="n">
        <f aca="false">IF($H298="숙박",0,1)</f>
        <v>1</v>
      </c>
    </row>
    <row r="299" customFormat="false" ht="15" hidden="false" customHeight="false" outlineLevel="0" collapsed="false">
      <c r="A299" s="8" t="n">
        <v>298</v>
      </c>
      <c r="B299" s="8" t="s">
        <v>45</v>
      </c>
      <c r="C299" s="8"/>
      <c r="D299" s="8" t="s">
        <v>1000</v>
      </c>
      <c r="E299" s="7" t="s">
        <v>1001</v>
      </c>
      <c r="F299" s="8" t="s">
        <v>199</v>
      </c>
      <c r="G299" s="8" t="s">
        <v>190</v>
      </c>
      <c r="H299" s="9" t="s">
        <v>190</v>
      </c>
      <c r="I299" s="9"/>
      <c r="J299" s="9" t="s">
        <v>479</v>
      </c>
      <c r="K299" s="9" t="s">
        <v>191</v>
      </c>
      <c r="L299" s="8"/>
      <c r="M299" s="8"/>
      <c r="N299" s="8"/>
      <c r="O299" s="8" t="s">
        <v>1002</v>
      </c>
      <c r="P299" s="10" t="n">
        <f aca="false">IF($H299="숙박",0,IF($H299=MID(P$1,3,20),IF($I299="",1,0.6),IF($I299=MID(P$1,3,20),0.4,0)))</f>
        <v>1</v>
      </c>
      <c r="Q299" s="10" t="n">
        <f aca="false">IF($H299="숙박",0,IF($H299=MID(Q$1,3,20),IF($I299="",1,0.6),IF($I299=MID(Q$1,3,20),0.4,0)))</f>
        <v>0</v>
      </c>
      <c r="R299" s="10" t="n">
        <f aca="false">IF($H299="숙박",0,IF($H299=MID(R$1,3,20),IF($I299="",1,0.6),IF($I299=MID(R$1,3,20),0.4,0)))</f>
        <v>0</v>
      </c>
      <c r="S299" s="10" t="n">
        <f aca="false">IF($H299="숙박",0,IF($H299=MID(S$1,3,20),IF($I299="",1,0.6),IF($I299=MID(S$1,3,20),0.4,0)))</f>
        <v>0</v>
      </c>
      <c r="T299" s="10" t="n">
        <f aca="false">IF($H299="숙박",0,IF($H299=MID(T$1,3,20),IF($I299="",1,0.6),IF($I299=MID(T$1,3,20),0.4,0)))</f>
        <v>0</v>
      </c>
      <c r="U299" s="10" t="n">
        <f aca="false">IF($H299="숙박",0,IF(ISNUMBER(SEARCH("야경",$J299)),1,0))</f>
        <v>0</v>
      </c>
      <c r="V299" s="10" t="n">
        <f aca="false">IF($H299="숙박",0,1)</f>
        <v>1</v>
      </c>
    </row>
    <row r="300" customFormat="false" ht="15" hidden="false" customHeight="false" outlineLevel="0" collapsed="false">
      <c r="A300" s="8" t="n">
        <v>299</v>
      </c>
      <c r="B300" s="8" t="s">
        <v>45</v>
      </c>
      <c r="C300" s="8"/>
      <c r="D300" s="8" t="s">
        <v>1003</v>
      </c>
      <c r="E300" s="7" t="s">
        <v>1004</v>
      </c>
      <c r="F300" s="8" t="s">
        <v>199</v>
      </c>
      <c r="G300" s="8" t="s">
        <v>216</v>
      </c>
      <c r="H300" s="9" t="s">
        <v>216</v>
      </c>
      <c r="I300" s="9"/>
      <c r="J300" s="9" t="s">
        <v>479</v>
      </c>
      <c r="K300" s="9" t="s">
        <v>191</v>
      </c>
      <c r="L300" s="8"/>
      <c r="M300" s="8"/>
      <c r="N300" s="8"/>
      <c r="O300" s="8" t="s">
        <v>1005</v>
      </c>
      <c r="P300" s="10" t="n">
        <f aca="false">IF($H300="숙박",0,IF($H300=MID(P$1,3,20),IF($I300="",1,0.6),IF($I300=MID(P$1,3,20),0.4,0)))</f>
        <v>0</v>
      </c>
      <c r="Q300" s="10" t="n">
        <f aca="false">IF($H300="숙박",0,IF($H300=MID(Q$1,3,20),IF($I300="",1,0.6),IF($I300=MID(Q$1,3,20),0.4,0)))</f>
        <v>0</v>
      </c>
      <c r="R300" s="10" t="n">
        <f aca="false">IF($H300="숙박",0,IF($H300=MID(R$1,3,20),IF($I300="",1,0.6),IF($I300=MID(R$1,3,20),0.4,0)))</f>
        <v>0</v>
      </c>
      <c r="S300" s="10" t="n">
        <f aca="false">IF($H300="숙박",0,IF($H300=MID(S$1,3,20),IF($I300="",1,0.6),IF($I300=MID(S$1,3,20),0.4,0)))</f>
        <v>1</v>
      </c>
      <c r="T300" s="10" t="n">
        <f aca="false">IF($H300="숙박",0,IF($H300=MID(T$1,3,20),IF($I300="",1,0.6),IF($I300=MID(T$1,3,20),0.4,0)))</f>
        <v>0</v>
      </c>
      <c r="U300" s="10" t="n">
        <f aca="false">IF($H300="숙박",0,IF(ISNUMBER(SEARCH("야경",$J300)),1,0))</f>
        <v>0</v>
      </c>
      <c r="V300" s="10" t="n">
        <f aca="false">IF($H300="숙박",0,1)</f>
        <v>1</v>
      </c>
    </row>
    <row r="301" customFormat="false" ht="15" hidden="false" customHeight="false" outlineLevel="0" collapsed="false">
      <c r="A301" s="8" t="n">
        <v>300</v>
      </c>
      <c r="B301" s="8" t="s">
        <v>45</v>
      </c>
      <c r="C301" s="8"/>
      <c r="D301" s="8" t="s">
        <v>1006</v>
      </c>
      <c r="E301" s="7" t="s">
        <v>1007</v>
      </c>
      <c r="F301" s="7" t="s">
        <v>189</v>
      </c>
      <c r="G301" s="8" t="s">
        <v>594</v>
      </c>
      <c r="H301" s="9" t="s">
        <v>594</v>
      </c>
      <c r="I301" s="9"/>
      <c r="J301" s="9"/>
      <c r="K301" s="9"/>
      <c r="L301" s="8"/>
      <c r="M301" s="8"/>
      <c r="N301" s="8" t="s">
        <v>595</v>
      </c>
      <c r="O301" s="8" t="s">
        <v>1008</v>
      </c>
      <c r="P301" s="10" t="n">
        <f aca="false">IF($H301="숙박",0,IF($H301=MID(P$1,3,20),IF($I301="",1,0.6),IF($I301=MID(P$1,3,20),0.4,0)))</f>
        <v>0</v>
      </c>
      <c r="Q301" s="10" t="n">
        <f aca="false">IF($H301="숙박",0,IF($H301=MID(Q$1,3,20),IF($I301="",1,0.6),IF($I301=MID(Q$1,3,20),0.4,0)))</f>
        <v>0</v>
      </c>
      <c r="R301" s="10" t="n">
        <f aca="false">IF($H301="숙박",0,IF($H301=MID(R$1,3,20),IF($I301="",1,0.6),IF($I301=MID(R$1,3,20),0.4,0)))</f>
        <v>0</v>
      </c>
      <c r="S301" s="10" t="n">
        <f aca="false">IF($H301="숙박",0,IF($H301=MID(S$1,3,20),IF($I301="",1,0.6),IF($I301=MID(S$1,3,20),0.4,0)))</f>
        <v>0</v>
      </c>
      <c r="T301" s="10" t="n">
        <f aca="false">IF($H301="숙박",0,IF($H301=MID(T$1,3,20),IF($I301="",1,0.6),IF($I301=MID(T$1,3,20),0.4,0)))</f>
        <v>0</v>
      </c>
      <c r="U301" s="10" t="n">
        <f aca="false">IF($H301="숙박",0,IF(ISNUMBER(SEARCH("야경",$J301)),1,0))</f>
        <v>0</v>
      </c>
      <c r="V301" s="10" t="n">
        <f aca="false">IF($H301="숙박",0,1)</f>
        <v>0</v>
      </c>
    </row>
    <row r="302" customFormat="false" ht="15" hidden="false" customHeight="false" outlineLevel="0" collapsed="false">
      <c r="A302" s="8" t="n">
        <v>301</v>
      </c>
      <c r="B302" s="8" t="s">
        <v>575</v>
      </c>
      <c r="C302" s="8"/>
      <c r="D302" s="8" t="s">
        <v>1009</v>
      </c>
      <c r="E302" s="7" t="s">
        <v>1010</v>
      </c>
      <c r="F302" s="8" t="s">
        <v>567</v>
      </c>
      <c r="G302" s="8" t="s">
        <v>49</v>
      </c>
      <c r="H302" s="9" t="s">
        <v>49</v>
      </c>
      <c r="I302" s="9" t="s">
        <v>190</v>
      </c>
      <c r="J302" s="9" t="s">
        <v>479</v>
      </c>
      <c r="K302" s="9" t="s">
        <v>52</v>
      </c>
      <c r="L302" s="8"/>
      <c r="M302" s="8"/>
      <c r="N302" s="8" t="s">
        <v>483</v>
      </c>
      <c r="O302" s="8" t="s">
        <v>1011</v>
      </c>
      <c r="P302" s="10" t="n">
        <f aca="false">IF($H302="숙박",0,IF($H302=MID(P$1,3,20),IF($I302="",1,0.6),IF($I302=MID(P$1,3,20),0.4,0)))</f>
        <v>0.4</v>
      </c>
      <c r="Q302" s="10" t="n">
        <f aca="false">IF($H302="숙박",0,IF($H302=MID(Q$1,3,20),IF($I302="",1,0.6),IF($I302=MID(Q$1,3,20),0.4,0)))</f>
        <v>0.6</v>
      </c>
      <c r="R302" s="10" t="n">
        <f aca="false">IF($H302="숙박",0,IF($H302=MID(R$1,3,20),IF($I302="",1,0.6),IF($I302=MID(R$1,3,20),0.4,0)))</f>
        <v>0</v>
      </c>
      <c r="S302" s="10" t="n">
        <f aca="false">IF($H302="숙박",0,IF($H302=MID(S$1,3,20),IF($I302="",1,0.6),IF($I302=MID(S$1,3,20),0.4,0)))</f>
        <v>0</v>
      </c>
      <c r="T302" s="10" t="n">
        <f aca="false">IF($H302="숙박",0,IF($H302=MID(T$1,3,20),IF($I302="",1,0.6),IF($I302=MID(T$1,3,20),0.4,0)))</f>
        <v>0</v>
      </c>
      <c r="U302" s="10" t="n">
        <f aca="false">IF($H302="숙박",0,IF(ISNUMBER(SEARCH("야경",$J302)),1,0))</f>
        <v>0</v>
      </c>
      <c r="V302" s="10" t="n">
        <f aca="false">IF($H302="숙박",0,1)</f>
        <v>1</v>
      </c>
    </row>
    <row r="303" customFormat="false" ht="15" hidden="false" customHeight="false" outlineLevel="0" collapsed="false">
      <c r="A303" s="8" t="n">
        <v>302</v>
      </c>
      <c r="B303" s="8" t="s">
        <v>45</v>
      </c>
      <c r="C303" s="8"/>
      <c r="D303" s="8" t="s">
        <v>1012</v>
      </c>
      <c r="E303" s="7" t="s">
        <v>1013</v>
      </c>
      <c r="F303" s="8" t="s">
        <v>48</v>
      </c>
      <c r="G303" s="8" t="s">
        <v>49</v>
      </c>
      <c r="H303" s="9" t="s">
        <v>49</v>
      </c>
      <c r="I303" s="9"/>
      <c r="J303" s="9" t="s">
        <v>479</v>
      </c>
      <c r="K303" s="9" t="s">
        <v>52</v>
      </c>
      <c r="L303" s="8"/>
      <c r="M303" s="8"/>
      <c r="N303" s="8"/>
      <c r="O303" s="8" t="s">
        <v>1014</v>
      </c>
      <c r="P303" s="10" t="n">
        <f aca="false">IF($H303="숙박",0,IF($H303=MID(P$1,3,20),IF($I303="",1,0.6),IF($I303=MID(P$1,3,20),0.4,0)))</f>
        <v>0</v>
      </c>
      <c r="Q303" s="10" t="n">
        <f aca="false">IF($H303="숙박",0,IF($H303=MID(Q$1,3,20),IF($I303="",1,0.6),IF($I303=MID(Q$1,3,20),0.4,0)))</f>
        <v>1</v>
      </c>
      <c r="R303" s="10" t="n">
        <f aca="false">IF($H303="숙박",0,IF($H303=MID(R$1,3,20),IF($I303="",1,0.6),IF($I303=MID(R$1,3,20),0.4,0)))</f>
        <v>0</v>
      </c>
      <c r="S303" s="10" t="n">
        <f aca="false">IF($H303="숙박",0,IF($H303=MID(S$1,3,20),IF($I303="",1,0.6),IF($I303=MID(S$1,3,20),0.4,0)))</f>
        <v>0</v>
      </c>
      <c r="T303" s="10" t="n">
        <f aca="false">IF($H303="숙박",0,IF($H303=MID(T$1,3,20),IF($I303="",1,0.6),IF($I303=MID(T$1,3,20),0.4,0)))</f>
        <v>0</v>
      </c>
      <c r="U303" s="10" t="n">
        <f aca="false">IF($H303="숙박",0,IF(ISNUMBER(SEARCH("야경",$J303)),1,0))</f>
        <v>0</v>
      </c>
      <c r="V303" s="10" t="n">
        <f aca="false">IF($H303="숙박",0,1)</f>
        <v>1</v>
      </c>
    </row>
    <row r="304" customFormat="false" ht="15" hidden="false" customHeight="false" outlineLevel="0" collapsed="false">
      <c r="A304" s="8" t="n">
        <v>303</v>
      </c>
      <c r="B304" s="8" t="s">
        <v>45</v>
      </c>
      <c r="C304" s="8"/>
      <c r="D304" s="8" t="s">
        <v>1015</v>
      </c>
      <c r="E304" s="7" t="s">
        <v>1016</v>
      </c>
      <c r="F304" s="8" t="s">
        <v>199</v>
      </c>
      <c r="G304" s="8" t="s">
        <v>49</v>
      </c>
      <c r="H304" s="9" t="s">
        <v>49</v>
      </c>
      <c r="I304" s="9"/>
      <c r="J304" s="9" t="s">
        <v>479</v>
      </c>
      <c r="K304" s="9" t="s">
        <v>52</v>
      </c>
      <c r="L304" s="8"/>
      <c r="M304" s="8"/>
      <c r="N304" s="8"/>
      <c r="O304" s="8" t="s">
        <v>1017</v>
      </c>
      <c r="P304" s="10" t="n">
        <f aca="false">IF($H304="숙박",0,IF($H304=MID(P$1,3,20),IF($I304="",1,0.6),IF($I304=MID(P$1,3,20),0.4,0)))</f>
        <v>0</v>
      </c>
      <c r="Q304" s="10" t="n">
        <f aca="false">IF($H304="숙박",0,IF($H304=MID(Q$1,3,20),IF($I304="",1,0.6),IF($I304=MID(Q$1,3,20),0.4,0)))</f>
        <v>1</v>
      </c>
      <c r="R304" s="10" t="n">
        <f aca="false">IF($H304="숙박",0,IF($H304=MID(R$1,3,20),IF($I304="",1,0.6),IF($I304=MID(R$1,3,20),0.4,0)))</f>
        <v>0</v>
      </c>
      <c r="S304" s="10" t="n">
        <f aca="false">IF($H304="숙박",0,IF($H304=MID(S$1,3,20),IF($I304="",1,0.6),IF($I304=MID(S$1,3,20),0.4,0)))</f>
        <v>0</v>
      </c>
      <c r="T304" s="10" t="n">
        <f aca="false">IF($H304="숙박",0,IF($H304=MID(T$1,3,20),IF($I304="",1,0.6),IF($I304=MID(T$1,3,20),0.4,0)))</f>
        <v>0</v>
      </c>
      <c r="U304" s="10" t="n">
        <f aca="false">IF($H304="숙박",0,IF(ISNUMBER(SEARCH("야경",$J304)),1,0))</f>
        <v>0</v>
      </c>
      <c r="V304" s="10" t="n">
        <f aca="false">IF($H304="숙박",0,1)</f>
        <v>1</v>
      </c>
    </row>
    <row r="305" customFormat="false" ht="15" hidden="false" customHeight="false" outlineLevel="0" collapsed="false">
      <c r="A305" s="8" t="n">
        <v>304</v>
      </c>
      <c r="B305" s="8" t="s">
        <v>45</v>
      </c>
      <c r="C305" s="8"/>
      <c r="D305" s="8" t="s">
        <v>1018</v>
      </c>
      <c r="E305" s="7" t="s">
        <v>1019</v>
      </c>
      <c r="F305" s="8" t="s">
        <v>199</v>
      </c>
      <c r="G305" s="8" t="s">
        <v>49</v>
      </c>
      <c r="H305" s="9" t="s">
        <v>49</v>
      </c>
      <c r="I305" s="9"/>
      <c r="J305" s="9" t="s">
        <v>479</v>
      </c>
      <c r="K305" s="9" t="s">
        <v>52</v>
      </c>
      <c r="L305" s="8"/>
      <c r="M305" s="8"/>
      <c r="N305" s="8"/>
      <c r="O305" s="8" t="s">
        <v>1020</v>
      </c>
      <c r="P305" s="10" t="n">
        <f aca="false">IF($H305="숙박",0,IF($H305=MID(P$1,3,20),IF($I305="",1,0.6),IF($I305=MID(P$1,3,20),0.4,0)))</f>
        <v>0</v>
      </c>
      <c r="Q305" s="10" t="n">
        <f aca="false">IF($H305="숙박",0,IF($H305=MID(Q$1,3,20),IF($I305="",1,0.6),IF($I305=MID(Q$1,3,20),0.4,0)))</f>
        <v>1</v>
      </c>
      <c r="R305" s="10" t="n">
        <f aca="false">IF($H305="숙박",0,IF($H305=MID(R$1,3,20),IF($I305="",1,0.6),IF($I305=MID(R$1,3,20),0.4,0)))</f>
        <v>0</v>
      </c>
      <c r="S305" s="10" t="n">
        <f aca="false">IF($H305="숙박",0,IF($H305=MID(S$1,3,20),IF($I305="",1,0.6),IF($I305=MID(S$1,3,20),0.4,0)))</f>
        <v>0</v>
      </c>
      <c r="T305" s="10" t="n">
        <f aca="false">IF($H305="숙박",0,IF($H305=MID(T$1,3,20),IF($I305="",1,0.6),IF($I305=MID(T$1,3,20),0.4,0)))</f>
        <v>0</v>
      </c>
      <c r="U305" s="10" t="n">
        <f aca="false">IF($H305="숙박",0,IF(ISNUMBER(SEARCH("야경",$J305)),1,0))</f>
        <v>0</v>
      </c>
      <c r="V305" s="10" t="n">
        <f aca="false">IF($H305="숙박",0,1)</f>
        <v>1</v>
      </c>
    </row>
    <row r="306" customFormat="false" ht="15" hidden="false" customHeight="false" outlineLevel="0" collapsed="false">
      <c r="A306" s="8" t="n">
        <v>305</v>
      </c>
      <c r="B306" s="8" t="s">
        <v>45</v>
      </c>
      <c r="C306" s="8"/>
      <c r="D306" s="8" t="s">
        <v>1021</v>
      </c>
      <c r="E306" s="7" t="s">
        <v>1022</v>
      </c>
      <c r="F306" s="7" t="s">
        <v>189</v>
      </c>
      <c r="G306" s="8" t="s">
        <v>50</v>
      </c>
      <c r="H306" s="9" t="s">
        <v>50</v>
      </c>
      <c r="I306" s="9" t="s">
        <v>184</v>
      </c>
      <c r="J306" s="9" t="s">
        <v>51</v>
      </c>
      <c r="K306" s="9" t="s">
        <v>52</v>
      </c>
      <c r="L306" s="8"/>
      <c r="M306" s="8"/>
      <c r="N306" s="8" t="s">
        <v>483</v>
      </c>
      <c r="O306" s="8" t="s">
        <v>1023</v>
      </c>
      <c r="P306" s="10" t="n">
        <f aca="false">IF($H306="숙박",0,IF($H306=MID(P$1,3,20),IF($I306="",1,0.6),IF($I306=MID(P$1,3,20),0.4,0)))</f>
        <v>0</v>
      </c>
      <c r="Q306" s="10" t="n">
        <f aca="false">IF($H306="숙박",0,IF($H306=MID(Q$1,3,20),IF($I306="",1,0.6),IF($I306=MID(Q$1,3,20),0.4,0)))</f>
        <v>0</v>
      </c>
      <c r="R306" s="10" t="n">
        <f aca="false">IF($H306="숙박",0,IF($H306=MID(R$1,3,20),IF($I306="",1,0.6),IF($I306=MID(R$1,3,20),0.4,0)))</f>
        <v>0.4</v>
      </c>
      <c r="S306" s="10" t="n">
        <f aca="false">IF($H306="숙박",0,IF($H306=MID(S$1,3,20),IF($I306="",1,0.6),IF($I306=MID(S$1,3,20),0.4,0)))</f>
        <v>0</v>
      </c>
      <c r="T306" s="10" t="n">
        <f aca="false">IF($H306="숙박",0,IF($H306=MID(T$1,3,20),IF($I306="",1,0.6),IF($I306=MID(T$1,3,20),0.4,0)))</f>
        <v>0.6</v>
      </c>
      <c r="U306" s="10" t="n">
        <f aca="false">IF($H306="숙박",0,IF(ISNUMBER(SEARCH("야경",$J306)),1,0))</f>
        <v>0</v>
      </c>
      <c r="V306" s="10" t="n">
        <f aca="false">IF($H306="숙박",0,1)</f>
        <v>1</v>
      </c>
    </row>
    <row r="307" customFormat="false" ht="15" hidden="false" customHeight="false" outlineLevel="0" collapsed="false">
      <c r="A307" s="8" t="n">
        <v>306</v>
      </c>
      <c r="B307" s="8" t="s">
        <v>45</v>
      </c>
      <c r="C307" s="8"/>
      <c r="D307" s="8" t="s">
        <v>1024</v>
      </c>
      <c r="E307" s="7" t="s">
        <v>1025</v>
      </c>
      <c r="F307" s="8" t="s">
        <v>199</v>
      </c>
      <c r="G307" s="8" t="s">
        <v>49</v>
      </c>
      <c r="H307" s="9" t="s">
        <v>49</v>
      </c>
      <c r="I307" s="9"/>
      <c r="J307" s="9" t="s">
        <v>479</v>
      </c>
      <c r="K307" s="9" t="s">
        <v>52</v>
      </c>
      <c r="L307" s="8"/>
      <c r="M307" s="8"/>
      <c r="N307" s="8"/>
      <c r="O307" s="8" t="s">
        <v>1026</v>
      </c>
      <c r="P307" s="10" t="n">
        <f aca="false">IF($H307="숙박",0,IF($H307=MID(P$1,3,20),IF($I307="",1,0.6),IF($I307=MID(P$1,3,20),0.4,0)))</f>
        <v>0</v>
      </c>
      <c r="Q307" s="10" t="n">
        <f aca="false">IF($H307="숙박",0,IF($H307=MID(Q$1,3,20),IF($I307="",1,0.6),IF($I307=MID(Q$1,3,20),0.4,0)))</f>
        <v>1</v>
      </c>
      <c r="R307" s="10" t="n">
        <f aca="false">IF($H307="숙박",0,IF($H307=MID(R$1,3,20),IF($I307="",1,0.6),IF($I307=MID(R$1,3,20),0.4,0)))</f>
        <v>0</v>
      </c>
      <c r="S307" s="10" t="n">
        <f aca="false">IF($H307="숙박",0,IF($H307=MID(S$1,3,20),IF($I307="",1,0.6),IF($I307=MID(S$1,3,20),0.4,0)))</f>
        <v>0</v>
      </c>
      <c r="T307" s="10" t="n">
        <f aca="false">IF($H307="숙박",0,IF($H307=MID(T$1,3,20),IF($I307="",1,0.6),IF($I307=MID(T$1,3,20),0.4,0)))</f>
        <v>0</v>
      </c>
      <c r="U307" s="10" t="n">
        <f aca="false">IF($H307="숙박",0,IF(ISNUMBER(SEARCH("야경",$J307)),1,0))</f>
        <v>0</v>
      </c>
      <c r="V307" s="10" t="n">
        <f aca="false">IF($H307="숙박",0,1)</f>
        <v>1</v>
      </c>
    </row>
    <row r="308" customFormat="false" ht="15" hidden="false" customHeight="false" outlineLevel="0" collapsed="false">
      <c r="A308" s="8" t="n">
        <v>307</v>
      </c>
      <c r="B308" s="8" t="s">
        <v>45</v>
      </c>
      <c r="C308" s="8"/>
      <c r="D308" s="8" t="s">
        <v>1027</v>
      </c>
      <c r="E308" s="7" t="s">
        <v>1028</v>
      </c>
      <c r="F308" s="8" t="s">
        <v>59</v>
      </c>
      <c r="G308" s="8" t="s">
        <v>216</v>
      </c>
      <c r="H308" s="9" t="s">
        <v>216</v>
      </c>
      <c r="I308" s="9"/>
      <c r="J308" s="9" t="s">
        <v>509</v>
      </c>
      <c r="K308" s="9" t="s">
        <v>52</v>
      </c>
      <c r="L308" s="8"/>
      <c r="M308" s="8"/>
      <c r="N308" s="8"/>
      <c r="O308" s="8" t="s">
        <v>1029</v>
      </c>
      <c r="P308" s="10" t="n">
        <f aca="false">IF($H308="숙박",0,IF($H308=MID(P$1,3,20),IF($I308="",1,0.6),IF($I308=MID(P$1,3,20),0.4,0)))</f>
        <v>0</v>
      </c>
      <c r="Q308" s="10" t="n">
        <f aca="false">IF($H308="숙박",0,IF($H308=MID(Q$1,3,20),IF($I308="",1,0.6),IF($I308=MID(Q$1,3,20),0.4,0)))</f>
        <v>0</v>
      </c>
      <c r="R308" s="10" t="n">
        <f aca="false">IF($H308="숙박",0,IF($H308=MID(R$1,3,20),IF($I308="",1,0.6),IF($I308=MID(R$1,3,20),0.4,0)))</f>
        <v>0</v>
      </c>
      <c r="S308" s="10" t="n">
        <f aca="false">IF($H308="숙박",0,IF($H308=MID(S$1,3,20),IF($I308="",1,0.6),IF($I308=MID(S$1,3,20),0.4,0)))</f>
        <v>1</v>
      </c>
      <c r="T308" s="10" t="n">
        <f aca="false">IF($H308="숙박",0,IF($H308=MID(T$1,3,20),IF($I308="",1,0.6),IF($I308=MID(T$1,3,20),0.4,0)))</f>
        <v>0</v>
      </c>
      <c r="U308" s="10" t="n">
        <f aca="false">IF($H308="숙박",0,IF(ISNUMBER(SEARCH("야경",$J308)),1,0))</f>
        <v>1</v>
      </c>
      <c r="V308" s="10" t="n">
        <f aca="false">IF($H308="숙박",0,1)</f>
        <v>1</v>
      </c>
    </row>
    <row r="309" customFormat="false" ht="15" hidden="false" customHeight="false" outlineLevel="0" collapsed="false">
      <c r="A309" s="8" t="n">
        <v>308</v>
      </c>
      <c r="B309" s="8" t="s">
        <v>56</v>
      </c>
      <c r="C309" s="8"/>
      <c r="D309" s="8" t="s">
        <v>1030</v>
      </c>
      <c r="E309" s="7" t="s">
        <v>1031</v>
      </c>
      <c r="F309" s="8" t="s">
        <v>59</v>
      </c>
      <c r="G309" s="8" t="s">
        <v>190</v>
      </c>
      <c r="H309" s="9" t="s">
        <v>190</v>
      </c>
      <c r="I309" s="9"/>
      <c r="J309" s="9" t="s">
        <v>509</v>
      </c>
      <c r="K309" s="9" t="s">
        <v>191</v>
      </c>
      <c r="L309" s="8"/>
      <c r="M309" s="8"/>
      <c r="N309" s="8"/>
      <c r="O309" s="8" t="s">
        <v>1032</v>
      </c>
      <c r="P309" s="10" t="n">
        <f aca="false">IF($H309="숙박",0,IF($H309=MID(P$1,3,20),IF($I309="",1,0.6),IF($I309=MID(P$1,3,20),0.4,0)))</f>
        <v>1</v>
      </c>
      <c r="Q309" s="10" t="n">
        <f aca="false">IF($H309="숙박",0,IF($H309=MID(Q$1,3,20),IF($I309="",1,0.6),IF($I309=MID(Q$1,3,20),0.4,0)))</f>
        <v>0</v>
      </c>
      <c r="R309" s="10" t="n">
        <f aca="false">IF($H309="숙박",0,IF($H309=MID(R$1,3,20),IF($I309="",1,0.6),IF($I309=MID(R$1,3,20),0.4,0)))</f>
        <v>0</v>
      </c>
      <c r="S309" s="10" t="n">
        <f aca="false">IF($H309="숙박",0,IF($H309=MID(S$1,3,20),IF($I309="",1,0.6),IF($I309=MID(S$1,3,20),0.4,0)))</f>
        <v>0</v>
      </c>
      <c r="T309" s="10" t="n">
        <f aca="false">IF($H309="숙박",0,IF($H309=MID(T$1,3,20),IF($I309="",1,0.6),IF($I309=MID(T$1,3,20),0.4,0)))</f>
        <v>0</v>
      </c>
      <c r="U309" s="10" t="n">
        <f aca="false">IF($H309="숙박",0,IF(ISNUMBER(SEARCH("야경",$J309)),1,0))</f>
        <v>1</v>
      </c>
      <c r="V309" s="10" t="n">
        <f aca="false">IF($H309="숙박",0,1)</f>
        <v>1</v>
      </c>
    </row>
    <row r="310" customFormat="false" ht="15" hidden="false" customHeight="false" outlineLevel="0" collapsed="false">
      <c r="A310" s="8" t="n">
        <v>309</v>
      </c>
      <c r="B310" s="8" t="s">
        <v>45</v>
      </c>
      <c r="C310" s="8"/>
      <c r="D310" s="8" t="s">
        <v>1033</v>
      </c>
      <c r="E310" s="7" t="s">
        <v>1034</v>
      </c>
      <c r="F310" s="8" t="s">
        <v>567</v>
      </c>
      <c r="G310" s="8" t="s">
        <v>216</v>
      </c>
      <c r="H310" s="9" t="s">
        <v>216</v>
      </c>
      <c r="I310" s="9"/>
      <c r="J310" s="9" t="s">
        <v>479</v>
      </c>
      <c r="K310" s="9" t="s">
        <v>191</v>
      </c>
      <c r="L310" s="8"/>
      <c r="M310" s="8"/>
      <c r="N310" s="8"/>
      <c r="O310" s="8" t="s">
        <v>1035</v>
      </c>
      <c r="P310" s="10" t="n">
        <f aca="false">IF($H310="숙박",0,IF($H310=MID(P$1,3,20),IF($I310="",1,0.6),IF($I310=MID(P$1,3,20),0.4,0)))</f>
        <v>0</v>
      </c>
      <c r="Q310" s="10" t="n">
        <f aca="false">IF($H310="숙박",0,IF($H310=MID(Q$1,3,20),IF($I310="",1,0.6),IF($I310=MID(Q$1,3,20),0.4,0)))</f>
        <v>0</v>
      </c>
      <c r="R310" s="10" t="n">
        <f aca="false">IF($H310="숙박",0,IF($H310=MID(R$1,3,20),IF($I310="",1,0.6),IF($I310=MID(R$1,3,20),0.4,0)))</f>
        <v>0</v>
      </c>
      <c r="S310" s="10" t="n">
        <f aca="false">IF($H310="숙박",0,IF($H310=MID(S$1,3,20),IF($I310="",1,0.6),IF($I310=MID(S$1,3,20),0.4,0)))</f>
        <v>1</v>
      </c>
      <c r="T310" s="10" t="n">
        <f aca="false">IF($H310="숙박",0,IF($H310=MID(T$1,3,20),IF($I310="",1,0.6),IF($I310=MID(T$1,3,20),0.4,0)))</f>
        <v>0</v>
      </c>
      <c r="U310" s="10" t="n">
        <f aca="false">IF($H310="숙박",0,IF(ISNUMBER(SEARCH("야경",$J310)),1,0))</f>
        <v>0</v>
      </c>
      <c r="V310" s="10" t="n">
        <f aca="false">IF($H310="숙박",0,1)</f>
        <v>1</v>
      </c>
    </row>
    <row r="311" customFormat="false" ht="15" hidden="false" customHeight="false" outlineLevel="0" collapsed="false">
      <c r="A311" s="8" t="n">
        <v>310</v>
      </c>
      <c r="B311" s="8" t="s">
        <v>575</v>
      </c>
      <c r="C311" s="8"/>
      <c r="D311" s="8" t="s">
        <v>1036</v>
      </c>
      <c r="E311" s="7" t="s">
        <v>1037</v>
      </c>
      <c r="F311" s="8" t="s">
        <v>567</v>
      </c>
      <c r="G311" s="8" t="s">
        <v>190</v>
      </c>
      <c r="H311" s="9" t="s">
        <v>190</v>
      </c>
      <c r="I311" s="9"/>
      <c r="J311" s="9" t="s">
        <v>479</v>
      </c>
      <c r="K311" s="9" t="s">
        <v>191</v>
      </c>
      <c r="L311" s="8"/>
      <c r="M311" s="8"/>
      <c r="N311" s="8"/>
      <c r="O311" s="8" t="s">
        <v>1038</v>
      </c>
      <c r="P311" s="10" t="n">
        <f aca="false">IF($H311="숙박",0,IF($H311=MID(P$1,3,20),IF($I311="",1,0.6),IF($I311=MID(P$1,3,20),0.4,0)))</f>
        <v>1</v>
      </c>
      <c r="Q311" s="10" t="n">
        <f aca="false">IF($H311="숙박",0,IF($H311=MID(Q$1,3,20),IF($I311="",1,0.6),IF($I311=MID(Q$1,3,20),0.4,0)))</f>
        <v>0</v>
      </c>
      <c r="R311" s="10" t="n">
        <f aca="false">IF($H311="숙박",0,IF($H311=MID(R$1,3,20),IF($I311="",1,0.6),IF($I311=MID(R$1,3,20),0.4,0)))</f>
        <v>0</v>
      </c>
      <c r="S311" s="10" t="n">
        <f aca="false">IF($H311="숙박",0,IF($H311=MID(S$1,3,20),IF($I311="",1,0.6),IF($I311=MID(S$1,3,20),0.4,0)))</f>
        <v>0</v>
      </c>
      <c r="T311" s="10" t="n">
        <f aca="false">IF($H311="숙박",0,IF($H311=MID(T$1,3,20),IF($I311="",1,0.6),IF($I311=MID(T$1,3,20),0.4,0)))</f>
        <v>0</v>
      </c>
      <c r="U311" s="10" t="n">
        <f aca="false">IF($H311="숙박",0,IF(ISNUMBER(SEARCH("야경",$J311)),1,0))</f>
        <v>0</v>
      </c>
      <c r="V311" s="10" t="n">
        <f aca="false">IF($H311="숙박",0,1)</f>
        <v>1</v>
      </c>
    </row>
    <row r="312" customFormat="false" ht="15" hidden="false" customHeight="false" outlineLevel="0" collapsed="false">
      <c r="A312" s="8" t="n">
        <v>311</v>
      </c>
      <c r="B312" s="8" t="s">
        <v>45</v>
      </c>
      <c r="C312" s="8"/>
      <c r="D312" s="8" t="s">
        <v>1039</v>
      </c>
      <c r="E312" s="7" t="s">
        <v>1040</v>
      </c>
      <c r="F312" s="8" t="s">
        <v>567</v>
      </c>
      <c r="G312" s="8" t="s">
        <v>184</v>
      </c>
      <c r="H312" s="9" t="s">
        <v>184</v>
      </c>
      <c r="I312" s="9" t="s">
        <v>190</v>
      </c>
      <c r="J312" s="9" t="s">
        <v>523</v>
      </c>
      <c r="K312" s="9" t="s">
        <v>191</v>
      </c>
      <c r="L312" s="8"/>
      <c r="M312" s="8"/>
      <c r="N312" s="8" t="s">
        <v>483</v>
      </c>
      <c r="O312" s="8" t="s">
        <v>1041</v>
      </c>
      <c r="P312" s="10" t="n">
        <f aca="false">IF($H312="숙박",0,IF($H312=MID(P$1,3,20),IF($I312="",1,0.6),IF($I312=MID(P$1,3,20),0.4,0)))</f>
        <v>0.4</v>
      </c>
      <c r="Q312" s="10" t="n">
        <f aca="false">IF($H312="숙박",0,IF($H312=MID(Q$1,3,20),IF($I312="",1,0.6),IF($I312=MID(Q$1,3,20),0.4,0)))</f>
        <v>0</v>
      </c>
      <c r="R312" s="10" t="n">
        <f aca="false">IF($H312="숙박",0,IF($H312=MID(R$1,3,20),IF($I312="",1,0.6),IF($I312=MID(R$1,3,20),0.4,0)))</f>
        <v>0.6</v>
      </c>
      <c r="S312" s="10" t="n">
        <f aca="false">IF($H312="숙박",0,IF($H312=MID(S$1,3,20),IF($I312="",1,0.6),IF($I312=MID(S$1,3,20),0.4,0)))</f>
        <v>0</v>
      </c>
      <c r="T312" s="10" t="n">
        <f aca="false">IF($H312="숙박",0,IF($H312=MID(T$1,3,20),IF($I312="",1,0.6),IF($I312=MID(T$1,3,20),0.4,0)))</f>
        <v>0</v>
      </c>
      <c r="U312" s="10" t="n">
        <f aca="false">IF($H312="숙박",0,IF(ISNUMBER(SEARCH("야경",$J312)),1,0))</f>
        <v>0</v>
      </c>
      <c r="V312" s="10" t="n">
        <f aca="false">IF($H312="숙박",0,1)</f>
        <v>1</v>
      </c>
    </row>
    <row r="313" customFormat="false" ht="15" hidden="false" customHeight="false" outlineLevel="0" collapsed="false">
      <c r="A313" s="8" t="n">
        <v>312</v>
      </c>
      <c r="B313" s="8" t="s">
        <v>56</v>
      </c>
      <c r="C313" s="8"/>
      <c r="D313" s="8" t="s">
        <v>1042</v>
      </c>
      <c r="E313" s="7" t="s">
        <v>1043</v>
      </c>
      <c r="F313" s="8" t="s">
        <v>59</v>
      </c>
      <c r="G313" s="8" t="s">
        <v>184</v>
      </c>
      <c r="H313" s="9" t="s">
        <v>184</v>
      </c>
      <c r="I313" s="9"/>
      <c r="J313" s="9" t="s">
        <v>523</v>
      </c>
      <c r="K313" s="9" t="s">
        <v>191</v>
      </c>
      <c r="L313" s="8"/>
      <c r="M313" s="8"/>
      <c r="N313" s="8"/>
      <c r="O313" s="8" t="s">
        <v>1044</v>
      </c>
      <c r="P313" s="10" t="n">
        <f aca="false">IF($H313="숙박",0,IF($H313=MID(P$1,3,20),IF($I313="",1,0.6),IF($I313=MID(P$1,3,20),0.4,0)))</f>
        <v>0</v>
      </c>
      <c r="Q313" s="10" t="n">
        <f aca="false">IF($H313="숙박",0,IF($H313=MID(Q$1,3,20),IF($I313="",1,0.6),IF($I313=MID(Q$1,3,20),0.4,0)))</f>
        <v>0</v>
      </c>
      <c r="R313" s="10" t="n">
        <f aca="false">IF($H313="숙박",0,IF($H313=MID(R$1,3,20),IF($I313="",1,0.6),IF($I313=MID(R$1,3,20),0.4,0)))</f>
        <v>1</v>
      </c>
      <c r="S313" s="10" t="n">
        <f aca="false">IF($H313="숙박",0,IF($H313=MID(S$1,3,20),IF($I313="",1,0.6),IF($I313=MID(S$1,3,20),0.4,0)))</f>
        <v>0</v>
      </c>
      <c r="T313" s="10" t="n">
        <f aca="false">IF($H313="숙박",0,IF($H313=MID(T$1,3,20),IF($I313="",1,0.6),IF($I313=MID(T$1,3,20),0.4,0)))</f>
        <v>0</v>
      </c>
      <c r="U313" s="10" t="n">
        <f aca="false">IF($H313="숙박",0,IF(ISNUMBER(SEARCH("야경",$J313)),1,0))</f>
        <v>0</v>
      </c>
      <c r="V313" s="10" t="n">
        <f aca="false">IF($H313="숙박",0,1)</f>
        <v>1</v>
      </c>
    </row>
    <row r="314" customFormat="false" ht="15" hidden="false" customHeight="false" outlineLevel="0" collapsed="false">
      <c r="A314" s="8" t="n">
        <v>313</v>
      </c>
      <c r="B314" s="8" t="s">
        <v>45</v>
      </c>
      <c r="C314" s="8"/>
      <c r="D314" s="8" t="s">
        <v>1045</v>
      </c>
      <c r="E314" s="7" t="s">
        <v>1046</v>
      </c>
      <c r="F314" s="8" t="s">
        <v>199</v>
      </c>
      <c r="G314" s="8" t="s">
        <v>184</v>
      </c>
      <c r="H314" s="9" t="s">
        <v>184</v>
      </c>
      <c r="I314" s="9"/>
      <c r="J314" s="9" t="s">
        <v>523</v>
      </c>
      <c r="K314" s="9" t="s">
        <v>191</v>
      </c>
      <c r="L314" s="8"/>
      <c r="M314" s="8"/>
      <c r="N314" s="8"/>
      <c r="O314" s="8" t="s">
        <v>1047</v>
      </c>
      <c r="P314" s="10" t="n">
        <f aca="false">IF($H314="숙박",0,IF($H314=MID(P$1,3,20),IF($I314="",1,0.6),IF($I314=MID(P$1,3,20),0.4,0)))</f>
        <v>0</v>
      </c>
      <c r="Q314" s="10" t="n">
        <f aca="false">IF($H314="숙박",0,IF($H314=MID(Q$1,3,20),IF($I314="",1,0.6),IF($I314=MID(Q$1,3,20),0.4,0)))</f>
        <v>0</v>
      </c>
      <c r="R314" s="10" t="n">
        <f aca="false">IF($H314="숙박",0,IF($H314=MID(R$1,3,20),IF($I314="",1,0.6),IF($I314=MID(R$1,3,20),0.4,0)))</f>
        <v>1</v>
      </c>
      <c r="S314" s="10" t="n">
        <f aca="false">IF($H314="숙박",0,IF($H314=MID(S$1,3,20),IF($I314="",1,0.6),IF($I314=MID(S$1,3,20),0.4,0)))</f>
        <v>0</v>
      </c>
      <c r="T314" s="10" t="n">
        <f aca="false">IF($H314="숙박",0,IF($H314=MID(T$1,3,20),IF($I314="",1,0.6),IF($I314=MID(T$1,3,20),0.4,0)))</f>
        <v>0</v>
      </c>
      <c r="U314" s="10" t="n">
        <f aca="false">IF($H314="숙박",0,IF(ISNUMBER(SEARCH("야경",$J314)),1,0))</f>
        <v>0</v>
      </c>
      <c r="V314" s="10" t="n">
        <f aca="false">IF($H314="숙박",0,1)</f>
        <v>1</v>
      </c>
    </row>
    <row r="315" customFormat="false" ht="15" hidden="false" customHeight="false" outlineLevel="0" collapsed="false">
      <c r="A315" s="8" t="n">
        <v>314</v>
      </c>
      <c r="B315" s="8" t="s">
        <v>62</v>
      </c>
      <c r="C315" s="8"/>
      <c r="D315" s="8" t="s">
        <v>1048</v>
      </c>
      <c r="E315" s="7" t="s">
        <v>1049</v>
      </c>
      <c r="F315" s="8" t="s">
        <v>48</v>
      </c>
      <c r="G315" s="8" t="s">
        <v>49</v>
      </c>
      <c r="H315" s="9" t="s">
        <v>49</v>
      </c>
      <c r="I315" s="9"/>
      <c r="J315" s="9" t="s">
        <v>479</v>
      </c>
      <c r="K315" s="9" t="s">
        <v>52</v>
      </c>
      <c r="L315" s="8"/>
      <c r="M315" s="8"/>
      <c r="N315" s="8"/>
      <c r="O315" s="8" t="s">
        <v>1050</v>
      </c>
      <c r="P315" s="10" t="n">
        <f aca="false">IF($H315="숙박",0,IF($H315=MID(P$1,3,20),IF($I315="",1,0.6),IF($I315=MID(P$1,3,20),0.4,0)))</f>
        <v>0</v>
      </c>
      <c r="Q315" s="10" t="n">
        <f aca="false">IF($H315="숙박",0,IF($H315=MID(Q$1,3,20),IF($I315="",1,0.6),IF($I315=MID(Q$1,3,20),0.4,0)))</f>
        <v>1</v>
      </c>
      <c r="R315" s="10" t="n">
        <f aca="false">IF($H315="숙박",0,IF($H315=MID(R$1,3,20),IF($I315="",1,0.6),IF($I315=MID(R$1,3,20),0.4,0)))</f>
        <v>0</v>
      </c>
      <c r="S315" s="10" t="n">
        <f aca="false">IF($H315="숙박",0,IF($H315=MID(S$1,3,20),IF($I315="",1,0.6),IF($I315=MID(S$1,3,20),0.4,0)))</f>
        <v>0</v>
      </c>
      <c r="T315" s="10" t="n">
        <f aca="false">IF($H315="숙박",0,IF($H315=MID(T$1,3,20),IF($I315="",1,0.6),IF($I315=MID(T$1,3,20),0.4,0)))</f>
        <v>0</v>
      </c>
      <c r="U315" s="10" t="n">
        <f aca="false">IF($H315="숙박",0,IF(ISNUMBER(SEARCH("야경",$J315)),1,0))</f>
        <v>0</v>
      </c>
      <c r="V315" s="10" t="n">
        <f aca="false">IF($H315="숙박",0,1)</f>
        <v>1</v>
      </c>
    </row>
    <row r="316" customFormat="false" ht="15" hidden="false" customHeight="false" outlineLevel="0" collapsed="false">
      <c r="A316" s="8" t="n">
        <v>315</v>
      </c>
      <c r="B316" s="8" t="s">
        <v>45</v>
      </c>
      <c r="C316" s="8"/>
      <c r="D316" s="8" t="s">
        <v>1051</v>
      </c>
      <c r="E316" s="7" t="s">
        <v>1052</v>
      </c>
      <c r="F316" s="7" t="s">
        <v>189</v>
      </c>
      <c r="G316" s="8" t="s">
        <v>190</v>
      </c>
      <c r="H316" s="9" t="s">
        <v>190</v>
      </c>
      <c r="I316" s="9"/>
      <c r="J316" s="9" t="s">
        <v>479</v>
      </c>
      <c r="K316" s="9" t="s">
        <v>191</v>
      </c>
      <c r="L316" s="8"/>
      <c r="M316" s="8"/>
      <c r="N316" s="8"/>
      <c r="O316" s="8" t="s">
        <v>1053</v>
      </c>
      <c r="P316" s="10" t="n">
        <f aca="false">IF($H316="숙박",0,IF($H316=MID(P$1,3,20),IF($I316="",1,0.6),IF($I316=MID(P$1,3,20),0.4,0)))</f>
        <v>1</v>
      </c>
      <c r="Q316" s="10" t="n">
        <f aca="false">IF($H316="숙박",0,IF($H316=MID(Q$1,3,20),IF($I316="",1,0.6),IF($I316=MID(Q$1,3,20),0.4,0)))</f>
        <v>0</v>
      </c>
      <c r="R316" s="10" t="n">
        <f aca="false">IF($H316="숙박",0,IF($H316=MID(R$1,3,20),IF($I316="",1,0.6),IF($I316=MID(R$1,3,20),0.4,0)))</f>
        <v>0</v>
      </c>
      <c r="S316" s="10" t="n">
        <f aca="false">IF($H316="숙박",0,IF($H316=MID(S$1,3,20),IF($I316="",1,0.6),IF($I316=MID(S$1,3,20),0.4,0)))</f>
        <v>0</v>
      </c>
      <c r="T316" s="10" t="n">
        <f aca="false">IF($H316="숙박",0,IF($H316=MID(T$1,3,20),IF($I316="",1,0.6),IF($I316=MID(T$1,3,20),0.4,0)))</f>
        <v>0</v>
      </c>
      <c r="U316" s="10" t="n">
        <f aca="false">IF($H316="숙박",0,IF(ISNUMBER(SEARCH("야경",$J316)),1,0))</f>
        <v>0</v>
      </c>
      <c r="V316" s="10" t="n">
        <f aca="false">IF($H316="숙박",0,1)</f>
        <v>1</v>
      </c>
    </row>
    <row r="317" customFormat="false" ht="15" hidden="false" customHeight="false" outlineLevel="0" collapsed="false">
      <c r="A317" s="8" t="n">
        <v>316</v>
      </c>
      <c r="B317" s="8" t="s">
        <v>45</v>
      </c>
      <c r="C317" s="8"/>
      <c r="D317" s="8" t="s">
        <v>1054</v>
      </c>
      <c r="E317" s="7" t="s">
        <v>1055</v>
      </c>
      <c r="F317" s="8" t="s">
        <v>48</v>
      </c>
      <c r="G317" s="8" t="s">
        <v>216</v>
      </c>
      <c r="H317" s="9" t="s">
        <v>216</v>
      </c>
      <c r="I317" s="9" t="s">
        <v>190</v>
      </c>
      <c r="J317" s="9" t="s">
        <v>523</v>
      </c>
      <c r="K317" s="9" t="s">
        <v>52</v>
      </c>
      <c r="L317" s="8"/>
      <c r="M317" s="8"/>
      <c r="N317" s="8" t="s">
        <v>483</v>
      </c>
      <c r="O317" s="8" t="s">
        <v>1056</v>
      </c>
      <c r="P317" s="10" t="n">
        <f aca="false">IF($H317="숙박",0,IF($H317=MID(P$1,3,20),IF($I317="",1,0.6),IF($I317=MID(P$1,3,20),0.4,0)))</f>
        <v>0.4</v>
      </c>
      <c r="Q317" s="10" t="n">
        <f aca="false">IF($H317="숙박",0,IF($H317=MID(Q$1,3,20),IF($I317="",1,0.6),IF($I317=MID(Q$1,3,20),0.4,0)))</f>
        <v>0</v>
      </c>
      <c r="R317" s="10" t="n">
        <f aca="false">IF($H317="숙박",0,IF($H317=MID(R$1,3,20),IF($I317="",1,0.6),IF($I317=MID(R$1,3,20),0.4,0)))</f>
        <v>0</v>
      </c>
      <c r="S317" s="10" t="n">
        <f aca="false">IF($H317="숙박",0,IF($H317=MID(S$1,3,20),IF($I317="",1,0.6),IF($I317=MID(S$1,3,20),0.4,0)))</f>
        <v>0.6</v>
      </c>
      <c r="T317" s="10" t="n">
        <f aca="false">IF($H317="숙박",0,IF($H317=MID(T$1,3,20),IF($I317="",1,0.6),IF($I317=MID(T$1,3,20),0.4,0)))</f>
        <v>0</v>
      </c>
      <c r="U317" s="10" t="n">
        <f aca="false">IF($H317="숙박",0,IF(ISNUMBER(SEARCH("야경",$J317)),1,0))</f>
        <v>0</v>
      </c>
      <c r="V317" s="10" t="n">
        <f aca="false">IF($H317="숙박",0,1)</f>
        <v>1</v>
      </c>
    </row>
    <row r="318" customFormat="false" ht="15" hidden="false" customHeight="false" outlineLevel="0" collapsed="false">
      <c r="A318" s="8" t="n">
        <v>317</v>
      </c>
      <c r="B318" s="8" t="s">
        <v>511</v>
      </c>
      <c r="C318" s="8"/>
      <c r="D318" s="8" t="s">
        <v>1057</v>
      </c>
      <c r="E318" s="7" t="s">
        <v>1058</v>
      </c>
      <c r="F318" s="7" t="s">
        <v>189</v>
      </c>
      <c r="G318" s="8" t="s">
        <v>50</v>
      </c>
      <c r="H318" s="9" t="s">
        <v>50</v>
      </c>
      <c r="I318" s="9" t="s">
        <v>216</v>
      </c>
      <c r="J318" s="9" t="s">
        <v>51</v>
      </c>
      <c r="K318" s="9" t="s">
        <v>52</v>
      </c>
      <c r="L318" s="8"/>
      <c r="M318" s="8"/>
      <c r="N318" s="8" t="s">
        <v>483</v>
      </c>
      <c r="O318" s="8" t="s">
        <v>1059</v>
      </c>
      <c r="P318" s="10" t="n">
        <f aca="false">IF($H318="숙박",0,IF($H318=MID(P$1,3,20),IF($I318="",1,0.6),IF($I318=MID(P$1,3,20),0.4,0)))</f>
        <v>0</v>
      </c>
      <c r="Q318" s="10" t="n">
        <f aca="false">IF($H318="숙박",0,IF($H318=MID(Q$1,3,20),IF($I318="",1,0.6),IF($I318=MID(Q$1,3,20),0.4,0)))</f>
        <v>0</v>
      </c>
      <c r="R318" s="10" t="n">
        <f aca="false">IF($H318="숙박",0,IF($H318=MID(R$1,3,20),IF($I318="",1,0.6),IF($I318=MID(R$1,3,20),0.4,0)))</f>
        <v>0</v>
      </c>
      <c r="S318" s="10" t="n">
        <f aca="false">IF($H318="숙박",0,IF($H318=MID(S$1,3,20),IF($I318="",1,0.6),IF($I318=MID(S$1,3,20),0.4,0)))</f>
        <v>0.4</v>
      </c>
      <c r="T318" s="10" t="n">
        <f aca="false">IF($H318="숙박",0,IF($H318=MID(T$1,3,20),IF($I318="",1,0.6),IF($I318=MID(T$1,3,20),0.4,0)))</f>
        <v>0.6</v>
      </c>
      <c r="U318" s="10" t="n">
        <f aca="false">IF($H318="숙박",0,IF(ISNUMBER(SEARCH("야경",$J318)),1,0))</f>
        <v>0</v>
      </c>
      <c r="V318" s="10" t="n">
        <f aca="false">IF($H318="숙박",0,1)</f>
        <v>1</v>
      </c>
    </row>
    <row r="319" customFormat="false" ht="15" hidden="false" customHeight="false" outlineLevel="0" collapsed="false">
      <c r="A319" s="8" t="n">
        <v>318</v>
      </c>
      <c r="B319" s="8" t="s">
        <v>45</v>
      </c>
      <c r="C319" s="8"/>
      <c r="D319" s="8" t="s">
        <v>1060</v>
      </c>
      <c r="E319" s="7" t="s">
        <v>1061</v>
      </c>
      <c r="F319" s="7" t="s">
        <v>189</v>
      </c>
      <c r="G319" s="8" t="s">
        <v>190</v>
      </c>
      <c r="H319" s="9" t="s">
        <v>190</v>
      </c>
      <c r="I319" s="9" t="s">
        <v>49</v>
      </c>
      <c r="J319" s="9" t="s">
        <v>479</v>
      </c>
      <c r="K319" s="9" t="s">
        <v>191</v>
      </c>
      <c r="L319" s="8"/>
      <c r="M319" s="8"/>
      <c r="N319" s="8" t="s">
        <v>483</v>
      </c>
      <c r="O319" s="8" t="s">
        <v>1062</v>
      </c>
      <c r="P319" s="10" t="n">
        <f aca="false">IF($H319="숙박",0,IF($H319=MID(P$1,3,20),IF($I319="",1,0.6),IF($I319=MID(P$1,3,20),0.4,0)))</f>
        <v>0.6</v>
      </c>
      <c r="Q319" s="10" t="n">
        <f aca="false">IF($H319="숙박",0,IF($H319=MID(Q$1,3,20),IF($I319="",1,0.6),IF($I319=MID(Q$1,3,20),0.4,0)))</f>
        <v>0.4</v>
      </c>
      <c r="R319" s="10" t="n">
        <f aca="false">IF($H319="숙박",0,IF($H319=MID(R$1,3,20),IF($I319="",1,0.6),IF($I319=MID(R$1,3,20),0.4,0)))</f>
        <v>0</v>
      </c>
      <c r="S319" s="10" t="n">
        <f aca="false">IF($H319="숙박",0,IF($H319=MID(S$1,3,20),IF($I319="",1,0.6),IF($I319=MID(S$1,3,20),0.4,0)))</f>
        <v>0</v>
      </c>
      <c r="T319" s="10" t="n">
        <f aca="false">IF($H319="숙박",0,IF($H319=MID(T$1,3,20),IF($I319="",1,0.6),IF($I319=MID(T$1,3,20),0.4,0)))</f>
        <v>0</v>
      </c>
      <c r="U319" s="10" t="n">
        <f aca="false">IF($H319="숙박",0,IF(ISNUMBER(SEARCH("야경",$J319)),1,0))</f>
        <v>0</v>
      </c>
      <c r="V319" s="10" t="n">
        <f aca="false">IF($H319="숙박",0,1)</f>
        <v>1</v>
      </c>
    </row>
    <row r="320" customFormat="false" ht="15" hidden="false" customHeight="false" outlineLevel="0" collapsed="false">
      <c r="A320" s="8" t="n">
        <v>319</v>
      </c>
      <c r="B320" s="8" t="s">
        <v>45</v>
      </c>
      <c r="C320" s="8"/>
      <c r="D320" s="8" t="s">
        <v>1063</v>
      </c>
      <c r="E320" s="7" t="s">
        <v>1064</v>
      </c>
      <c r="F320" s="8" t="s">
        <v>59</v>
      </c>
      <c r="G320" s="8" t="s">
        <v>216</v>
      </c>
      <c r="H320" s="9" t="s">
        <v>216</v>
      </c>
      <c r="I320" s="9" t="s">
        <v>49</v>
      </c>
      <c r="J320" s="9" t="s">
        <v>479</v>
      </c>
      <c r="K320" s="9" t="s">
        <v>52</v>
      </c>
      <c r="L320" s="8"/>
      <c r="M320" s="8"/>
      <c r="N320" s="8" t="s">
        <v>483</v>
      </c>
      <c r="O320" s="8" t="s">
        <v>1065</v>
      </c>
      <c r="P320" s="10" t="n">
        <f aca="false">IF($H320="숙박",0,IF($H320=MID(P$1,3,20),IF($I320="",1,0.6),IF($I320=MID(P$1,3,20),0.4,0)))</f>
        <v>0</v>
      </c>
      <c r="Q320" s="10" t="n">
        <f aca="false">IF($H320="숙박",0,IF($H320=MID(Q$1,3,20),IF($I320="",1,0.6),IF($I320=MID(Q$1,3,20),0.4,0)))</f>
        <v>0.4</v>
      </c>
      <c r="R320" s="10" t="n">
        <f aca="false">IF($H320="숙박",0,IF($H320=MID(R$1,3,20),IF($I320="",1,0.6),IF($I320=MID(R$1,3,20),0.4,0)))</f>
        <v>0</v>
      </c>
      <c r="S320" s="10" t="n">
        <f aca="false">IF($H320="숙박",0,IF($H320=MID(S$1,3,20),IF($I320="",1,0.6),IF($I320=MID(S$1,3,20),0.4,0)))</f>
        <v>0.6</v>
      </c>
      <c r="T320" s="10" t="n">
        <f aca="false">IF($H320="숙박",0,IF($H320=MID(T$1,3,20),IF($I320="",1,0.6),IF($I320=MID(T$1,3,20),0.4,0)))</f>
        <v>0</v>
      </c>
      <c r="U320" s="10" t="n">
        <f aca="false">IF($H320="숙박",0,IF(ISNUMBER(SEARCH("야경",$J320)),1,0))</f>
        <v>0</v>
      </c>
      <c r="V320" s="10" t="n">
        <f aca="false">IF($H320="숙박",0,1)</f>
        <v>1</v>
      </c>
    </row>
    <row r="321" customFormat="false" ht="15" hidden="false" customHeight="false" outlineLevel="0" collapsed="false">
      <c r="A321" s="8" t="n">
        <v>320</v>
      </c>
      <c r="B321" s="8" t="s">
        <v>45</v>
      </c>
      <c r="C321" s="8"/>
      <c r="D321" s="8" t="s">
        <v>1066</v>
      </c>
      <c r="E321" s="7" t="s">
        <v>1067</v>
      </c>
      <c r="F321" s="8" t="s">
        <v>199</v>
      </c>
      <c r="G321" s="8" t="s">
        <v>49</v>
      </c>
      <c r="H321" s="9" t="s">
        <v>49</v>
      </c>
      <c r="I321" s="9" t="s">
        <v>184</v>
      </c>
      <c r="J321" s="9" t="s">
        <v>479</v>
      </c>
      <c r="K321" s="9" t="s">
        <v>52</v>
      </c>
      <c r="L321" s="8"/>
      <c r="M321" s="8"/>
      <c r="N321" s="8" t="s">
        <v>483</v>
      </c>
      <c r="O321" s="8" t="s">
        <v>1068</v>
      </c>
      <c r="P321" s="10" t="n">
        <f aca="false">IF($H321="숙박",0,IF($H321=MID(P$1,3,20),IF($I321="",1,0.6),IF($I321=MID(P$1,3,20),0.4,0)))</f>
        <v>0</v>
      </c>
      <c r="Q321" s="10" t="n">
        <f aca="false">IF($H321="숙박",0,IF($H321=MID(Q$1,3,20),IF($I321="",1,0.6),IF($I321=MID(Q$1,3,20),0.4,0)))</f>
        <v>0.6</v>
      </c>
      <c r="R321" s="10" t="n">
        <f aca="false">IF($H321="숙박",0,IF($H321=MID(R$1,3,20),IF($I321="",1,0.6),IF($I321=MID(R$1,3,20),0.4,0)))</f>
        <v>0.4</v>
      </c>
      <c r="S321" s="10" t="n">
        <f aca="false">IF($H321="숙박",0,IF($H321=MID(S$1,3,20),IF($I321="",1,0.6),IF($I321=MID(S$1,3,20),0.4,0)))</f>
        <v>0</v>
      </c>
      <c r="T321" s="10" t="n">
        <f aca="false">IF($H321="숙박",0,IF($H321=MID(T$1,3,20),IF($I321="",1,0.6),IF($I321=MID(T$1,3,20),0.4,0)))</f>
        <v>0</v>
      </c>
      <c r="U321" s="10" t="n">
        <f aca="false">IF($H321="숙박",0,IF(ISNUMBER(SEARCH("야경",$J321)),1,0))</f>
        <v>0</v>
      </c>
      <c r="V321" s="10" t="n">
        <f aca="false">IF($H321="숙박",0,1)</f>
        <v>1</v>
      </c>
    </row>
    <row r="322" customFormat="false" ht="15" hidden="false" customHeight="false" outlineLevel="0" collapsed="false">
      <c r="A322" s="8" t="n">
        <v>321</v>
      </c>
      <c r="B322" s="8" t="s">
        <v>45</v>
      </c>
      <c r="C322" s="8"/>
      <c r="D322" s="8" t="s">
        <v>1069</v>
      </c>
      <c r="E322" s="7" t="s">
        <v>1070</v>
      </c>
      <c r="F322" s="8" t="s">
        <v>199</v>
      </c>
      <c r="G322" s="8" t="s">
        <v>184</v>
      </c>
      <c r="H322" s="9" t="s">
        <v>184</v>
      </c>
      <c r="I322" s="9" t="s">
        <v>49</v>
      </c>
      <c r="J322" s="9" t="s">
        <v>523</v>
      </c>
      <c r="K322" s="9" t="s">
        <v>52</v>
      </c>
      <c r="L322" s="8"/>
      <c r="M322" s="8"/>
      <c r="N322" s="8" t="s">
        <v>483</v>
      </c>
      <c r="O322" s="8" t="s">
        <v>1071</v>
      </c>
      <c r="P322" s="10" t="n">
        <f aca="false">IF($H322="숙박",0,IF($H322=MID(P$1,3,20),IF($I322="",1,0.6),IF($I322=MID(P$1,3,20),0.4,0)))</f>
        <v>0</v>
      </c>
      <c r="Q322" s="10" t="n">
        <f aca="false">IF($H322="숙박",0,IF($H322=MID(Q$1,3,20),IF($I322="",1,0.6),IF($I322=MID(Q$1,3,20),0.4,0)))</f>
        <v>0.4</v>
      </c>
      <c r="R322" s="10" t="n">
        <f aca="false">IF($H322="숙박",0,IF($H322=MID(R$1,3,20),IF($I322="",1,0.6),IF($I322=MID(R$1,3,20),0.4,0)))</f>
        <v>0.6</v>
      </c>
      <c r="S322" s="10" t="n">
        <f aca="false">IF($H322="숙박",0,IF($H322=MID(S$1,3,20),IF($I322="",1,0.6),IF($I322=MID(S$1,3,20),0.4,0)))</f>
        <v>0</v>
      </c>
      <c r="T322" s="10" t="n">
        <f aca="false">IF($H322="숙박",0,IF($H322=MID(T$1,3,20),IF($I322="",1,0.6),IF($I322=MID(T$1,3,20),0.4,0)))</f>
        <v>0</v>
      </c>
      <c r="U322" s="10" t="n">
        <f aca="false">IF($H322="숙박",0,IF(ISNUMBER(SEARCH("야경",$J322)),1,0))</f>
        <v>0</v>
      </c>
      <c r="V322" s="10" t="n">
        <f aca="false">IF($H322="숙박",0,1)</f>
        <v>1</v>
      </c>
    </row>
    <row r="323" customFormat="false" ht="15" hidden="false" customHeight="false" outlineLevel="0" collapsed="false">
      <c r="A323" s="8" t="n">
        <v>322</v>
      </c>
      <c r="B323" s="8" t="s">
        <v>45</v>
      </c>
      <c r="C323" s="8"/>
      <c r="D323" s="8" t="s">
        <v>1072</v>
      </c>
      <c r="E323" s="7" t="s">
        <v>1073</v>
      </c>
      <c r="F323" s="8" t="s">
        <v>567</v>
      </c>
      <c r="G323" s="8" t="s">
        <v>49</v>
      </c>
      <c r="H323" s="9" t="s">
        <v>49</v>
      </c>
      <c r="I323" s="9"/>
      <c r="J323" s="9" t="s">
        <v>479</v>
      </c>
      <c r="K323" s="9" t="s">
        <v>52</v>
      </c>
      <c r="L323" s="8"/>
      <c r="M323" s="8"/>
      <c r="N323" s="8"/>
      <c r="O323" s="8" t="s">
        <v>1074</v>
      </c>
      <c r="P323" s="10" t="n">
        <f aca="false">IF($H323="숙박",0,IF($H323=MID(P$1,3,20),IF($I323="",1,0.6),IF($I323=MID(P$1,3,20),0.4,0)))</f>
        <v>0</v>
      </c>
      <c r="Q323" s="10" t="n">
        <f aca="false">IF($H323="숙박",0,IF($H323=MID(Q$1,3,20),IF($I323="",1,0.6),IF($I323=MID(Q$1,3,20),0.4,0)))</f>
        <v>1</v>
      </c>
      <c r="R323" s="10" t="n">
        <f aca="false">IF($H323="숙박",0,IF($H323=MID(R$1,3,20),IF($I323="",1,0.6),IF($I323=MID(R$1,3,20),0.4,0)))</f>
        <v>0</v>
      </c>
      <c r="S323" s="10" t="n">
        <f aca="false">IF($H323="숙박",0,IF($H323=MID(S$1,3,20),IF($I323="",1,0.6),IF($I323=MID(S$1,3,20),0.4,0)))</f>
        <v>0</v>
      </c>
      <c r="T323" s="10" t="n">
        <f aca="false">IF($H323="숙박",0,IF($H323=MID(T$1,3,20),IF($I323="",1,0.6),IF($I323=MID(T$1,3,20),0.4,0)))</f>
        <v>0</v>
      </c>
      <c r="U323" s="10" t="n">
        <f aca="false">IF($H323="숙박",0,IF(ISNUMBER(SEARCH("야경",$J323)),1,0))</f>
        <v>0</v>
      </c>
      <c r="V323" s="10" t="n">
        <f aca="false">IF($H323="숙박",0,1)</f>
        <v>1</v>
      </c>
    </row>
    <row r="324" customFormat="false" ht="15" hidden="false" customHeight="false" outlineLevel="0" collapsed="false">
      <c r="A324" s="8" t="n">
        <v>323</v>
      </c>
      <c r="B324" s="8" t="s">
        <v>45</v>
      </c>
      <c r="C324" s="8"/>
      <c r="D324" s="8" t="s">
        <v>1075</v>
      </c>
      <c r="E324" s="7" t="s">
        <v>1076</v>
      </c>
      <c r="F324" s="8" t="s">
        <v>48</v>
      </c>
      <c r="G324" s="8" t="s">
        <v>49</v>
      </c>
      <c r="H324" s="9" t="s">
        <v>49</v>
      </c>
      <c r="I324" s="9"/>
      <c r="J324" s="9" t="s">
        <v>479</v>
      </c>
      <c r="K324" s="9" t="s">
        <v>209</v>
      </c>
      <c r="L324" s="8"/>
      <c r="M324" s="8"/>
      <c r="N324" s="8"/>
      <c r="O324" s="8" t="s">
        <v>1077</v>
      </c>
      <c r="P324" s="10" t="n">
        <f aca="false">IF($H324="숙박",0,IF($H324=MID(P$1,3,20),IF($I324="",1,0.6),IF($I324=MID(P$1,3,20),0.4,0)))</f>
        <v>0</v>
      </c>
      <c r="Q324" s="10" t="n">
        <f aca="false">IF($H324="숙박",0,IF($H324=MID(Q$1,3,20),IF($I324="",1,0.6),IF($I324=MID(Q$1,3,20),0.4,0)))</f>
        <v>1</v>
      </c>
      <c r="R324" s="10" t="n">
        <f aca="false">IF($H324="숙박",0,IF($H324=MID(R$1,3,20),IF($I324="",1,0.6),IF($I324=MID(R$1,3,20),0.4,0)))</f>
        <v>0</v>
      </c>
      <c r="S324" s="10" t="n">
        <f aca="false">IF($H324="숙박",0,IF($H324=MID(S$1,3,20),IF($I324="",1,0.6),IF($I324=MID(S$1,3,20),0.4,0)))</f>
        <v>0</v>
      </c>
      <c r="T324" s="10" t="n">
        <f aca="false">IF($H324="숙박",0,IF($H324=MID(T$1,3,20),IF($I324="",1,0.6),IF($I324=MID(T$1,3,20),0.4,0)))</f>
        <v>0</v>
      </c>
      <c r="U324" s="10" t="n">
        <f aca="false">IF($H324="숙박",0,IF(ISNUMBER(SEARCH("야경",$J324)),1,0))</f>
        <v>0</v>
      </c>
      <c r="V324" s="10" t="n">
        <f aca="false">IF($H324="숙박",0,1)</f>
        <v>1</v>
      </c>
    </row>
    <row r="325" customFormat="false" ht="15" hidden="false" customHeight="false" outlineLevel="0" collapsed="false">
      <c r="A325" s="8" t="n">
        <v>324</v>
      </c>
      <c r="B325" s="8" t="s">
        <v>45</v>
      </c>
      <c r="C325" s="8"/>
      <c r="D325" s="8" t="s">
        <v>1078</v>
      </c>
      <c r="E325" s="7" t="s">
        <v>1079</v>
      </c>
      <c r="F325" s="8" t="s">
        <v>199</v>
      </c>
      <c r="G325" s="8" t="s">
        <v>190</v>
      </c>
      <c r="H325" s="9" t="s">
        <v>190</v>
      </c>
      <c r="I325" s="9"/>
      <c r="J325" s="9" t="s">
        <v>479</v>
      </c>
      <c r="K325" s="9" t="s">
        <v>191</v>
      </c>
      <c r="L325" s="8"/>
      <c r="M325" s="8"/>
      <c r="N325" s="8"/>
      <c r="O325" s="8" t="s">
        <v>1080</v>
      </c>
      <c r="P325" s="10" t="n">
        <f aca="false">IF($H325="숙박",0,IF($H325=MID(P$1,3,20),IF($I325="",1,0.6),IF($I325=MID(P$1,3,20),0.4,0)))</f>
        <v>1</v>
      </c>
      <c r="Q325" s="10" t="n">
        <f aca="false">IF($H325="숙박",0,IF($H325=MID(Q$1,3,20),IF($I325="",1,0.6),IF($I325=MID(Q$1,3,20),0.4,0)))</f>
        <v>0</v>
      </c>
      <c r="R325" s="10" t="n">
        <f aca="false">IF($H325="숙박",0,IF($H325=MID(R$1,3,20),IF($I325="",1,0.6),IF($I325=MID(R$1,3,20),0.4,0)))</f>
        <v>0</v>
      </c>
      <c r="S325" s="10" t="n">
        <f aca="false">IF($H325="숙박",0,IF($H325=MID(S$1,3,20),IF($I325="",1,0.6),IF($I325=MID(S$1,3,20),0.4,0)))</f>
        <v>0</v>
      </c>
      <c r="T325" s="10" t="n">
        <f aca="false">IF($H325="숙박",0,IF($H325=MID(T$1,3,20),IF($I325="",1,0.6),IF($I325=MID(T$1,3,20),0.4,0)))</f>
        <v>0</v>
      </c>
      <c r="U325" s="10" t="n">
        <f aca="false">IF($H325="숙박",0,IF(ISNUMBER(SEARCH("야경",$J325)),1,0))</f>
        <v>0</v>
      </c>
      <c r="V325" s="10" t="n">
        <f aca="false">IF($H325="숙박",0,1)</f>
        <v>1</v>
      </c>
    </row>
    <row r="326" customFormat="false" ht="15" hidden="false" customHeight="false" outlineLevel="0" collapsed="false">
      <c r="A326" s="8" t="n">
        <v>325</v>
      </c>
      <c r="B326" s="8" t="s">
        <v>511</v>
      </c>
      <c r="C326" s="8"/>
      <c r="D326" s="8" t="s">
        <v>1081</v>
      </c>
      <c r="E326" s="7" t="s">
        <v>1082</v>
      </c>
      <c r="F326" s="7" t="s">
        <v>189</v>
      </c>
      <c r="G326" s="8" t="s">
        <v>216</v>
      </c>
      <c r="H326" s="9" t="s">
        <v>216</v>
      </c>
      <c r="I326" s="9"/>
      <c r="J326" s="9" t="s">
        <v>479</v>
      </c>
      <c r="K326" s="9" t="s">
        <v>191</v>
      </c>
      <c r="L326" s="8"/>
      <c r="M326" s="8"/>
      <c r="N326" s="8"/>
      <c r="O326" s="8" t="s">
        <v>1083</v>
      </c>
      <c r="P326" s="10" t="n">
        <f aca="false">IF($H326="숙박",0,IF($H326=MID(P$1,3,20),IF($I326="",1,0.6),IF($I326=MID(P$1,3,20),0.4,0)))</f>
        <v>0</v>
      </c>
      <c r="Q326" s="10" t="n">
        <f aca="false">IF($H326="숙박",0,IF($H326=MID(Q$1,3,20),IF($I326="",1,0.6),IF($I326=MID(Q$1,3,20),0.4,0)))</f>
        <v>0</v>
      </c>
      <c r="R326" s="10" t="n">
        <f aca="false">IF($H326="숙박",0,IF($H326=MID(R$1,3,20),IF($I326="",1,0.6),IF($I326=MID(R$1,3,20),0.4,0)))</f>
        <v>0</v>
      </c>
      <c r="S326" s="10" t="n">
        <f aca="false">IF($H326="숙박",0,IF($H326=MID(S$1,3,20),IF($I326="",1,0.6),IF($I326=MID(S$1,3,20),0.4,0)))</f>
        <v>1</v>
      </c>
      <c r="T326" s="10" t="n">
        <f aca="false">IF($H326="숙박",0,IF($H326=MID(T$1,3,20),IF($I326="",1,0.6),IF($I326=MID(T$1,3,20),0.4,0)))</f>
        <v>0</v>
      </c>
      <c r="U326" s="10" t="n">
        <f aca="false">IF($H326="숙박",0,IF(ISNUMBER(SEARCH("야경",$J326)),1,0))</f>
        <v>0</v>
      </c>
      <c r="V326" s="10" t="n">
        <f aca="false">IF($H326="숙박",0,1)</f>
        <v>1</v>
      </c>
    </row>
    <row r="327" customFormat="false" ht="15" hidden="false" customHeight="false" outlineLevel="0" collapsed="false">
      <c r="A327" s="8" t="n">
        <v>326</v>
      </c>
      <c r="B327" s="8" t="s">
        <v>45</v>
      </c>
      <c r="C327" s="8"/>
      <c r="D327" s="8" t="s">
        <v>1084</v>
      </c>
      <c r="E327" s="7" t="s">
        <v>1085</v>
      </c>
      <c r="F327" s="8" t="s">
        <v>199</v>
      </c>
      <c r="G327" s="8" t="s">
        <v>49</v>
      </c>
      <c r="H327" s="9" t="s">
        <v>49</v>
      </c>
      <c r="I327" s="9" t="s">
        <v>184</v>
      </c>
      <c r="J327" s="9" t="s">
        <v>479</v>
      </c>
      <c r="K327" s="9" t="s">
        <v>52</v>
      </c>
      <c r="L327" s="8"/>
      <c r="M327" s="8"/>
      <c r="N327" s="8" t="s">
        <v>483</v>
      </c>
      <c r="O327" s="8" t="s">
        <v>1086</v>
      </c>
      <c r="P327" s="10" t="n">
        <f aca="false">IF($H327="숙박",0,IF($H327=MID(P$1,3,20),IF($I327="",1,0.6),IF($I327=MID(P$1,3,20),0.4,0)))</f>
        <v>0</v>
      </c>
      <c r="Q327" s="10" t="n">
        <f aca="false">IF($H327="숙박",0,IF($H327=MID(Q$1,3,20),IF($I327="",1,0.6),IF($I327=MID(Q$1,3,20),0.4,0)))</f>
        <v>0.6</v>
      </c>
      <c r="R327" s="10" t="n">
        <f aca="false">IF($H327="숙박",0,IF($H327=MID(R$1,3,20),IF($I327="",1,0.6),IF($I327=MID(R$1,3,20),0.4,0)))</f>
        <v>0.4</v>
      </c>
      <c r="S327" s="10" t="n">
        <f aca="false">IF($H327="숙박",0,IF($H327=MID(S$1,3,20),IF($I327="",1,0.6),IF($I327=MID(S$1,3,20),0.4,0)))</f>
        <v>0</v>
      </c>
      <c r="T327" s="10" t="n">
        <f aca="false">IF($H327="숙박",0,IF($H327=MID(T$1,3,20),IF($I327="",1,0.6),IF($I327=MID(T$1,3,20),0.4,0)))</f>
        <v>0</v>
      </c>
      <c r="U327" s="10" t="n">
        <f aca="false">IF($H327="숙박",0,IF(ISNUMBER(SEARCH("야경",$J327)),1,0))</f>
        <v>0</v>
      </c>
      <c r="V327" s="10" t="n">
        <f aca="false">IF($H327="숙박",0,1)</f>
        <v>1</v>
      </c>
    </row>
    <row r="328" customFormat="false" ht="15" hidden="false" customHeight="false" outlineLevel="0" collapsed="false">
      <c r="A328" s="8" t="n">
        <v>327</v>
      </c>
      <c r="B328" s="8" t="s">
        <v>45</v>
      </c>
      <c r="C328" s="8"/>
      <c r="D328" s="8" t="s">
        <v>1087</v>
      </c>
      <c r="E328" s="7" t="s">
        <v>1088</v>
      </c>
      <c r="F328" s="7" t="s">
        <v>189</v>
      </c>
      <c r="G328" s="8" t="s">
        <v>190</v>
      </c>
      <c r="H328" s="9" t="s">
        <v>190</v>
      </c>
      <c r="I328" s="9"/>
      <c r="J328" s="9" t="s">
        <v>479</v>
      </c>
      <c r="K328" s="9" t="s">
        <v>191</v>
      </c>
      <c r="L328" s="8"/>
      <c r="M328" s="8"/>
      <c r="N328" s="8"/>
      <c r="O328" s="8" t="s">
        <v>1089</v>
      </c>
      <c r="P328" s="10" t="n">
        <f aca="false">IF($H328="숙박",0,IF($H328=MID(P$1,3,20),IF($I328="",1,0.6),IF($I328=MID(P$1,3,20),0.4,0)))</f>
        <v>1</v>
      </c>
      <c r="Q328" s="10" t="n">
        <f aca="false">IF($H328="숙박",0,IF($H328=MID(Q$1,3,20),IF($I328="",1,0.6),IF($I328=MID(Q$1,3,20),0.4,0)))</f>
        <v>0</v>
      </c>
      <c r="R328" s="10" t="n">
        <f aca="false">IF($H328="숙박",0,IF($H328=MID(R$1,3,20),IF($I328="",1,0.6),IF($I328=MID(R$1,3,20),0.4,0)))</f>
        <v>0</v>
      </c>
      <c r="S328" s="10" t="n">
        <f aca="false">IF($H328="숙박",0,IF($H328=MID(S$1,3,20),IF($I328="",1,0.6),IF($I328=MID(S$1,3,20),0.4,0)))</f>
        <v>0</v>
      </c>
      <c r="T328" s="10" t="n">
        <f aca="false">IF($H328="숙박",0,IF($H328=MID(T$1,3,20),IF($I328="",1,0.6),IF($I328=MID(T$1,3,20),0.4,0)))</f>
        <v>0</v>
      </c>
      <c r="U328" s="10" t="n">
        <f aca="false">IF($H328="숙박",0,IF(ISNUMBER(SEARCH("야경",$J328)),1,0))</f>
        <v>0</v>
      </c>
      <c r="V328" s="10" t="n">
        <f aca="false">IF($H328="숙박",0,1)</f>
        <v>1</v>
      </c>
    </row>
    <row r="329" customFormat="false" ht="15" hidden="false" customHeight="false" outlineLevel="0" collapsed="false">
      <c r="A329" s="8" t="n">
        <v>328</v>
      </c>
      <c r="B329" s="8" t="s">
        <v>45</v>
      </c>
      <c r="C329" s="8"/>
      <c r="D329" s="8" t="s">
        <v>1090</v>
      </c>
      <c r="E329" s="7" t="s">
        <v>1091</v>
      </c>
      <c r="F329" s="7" t="s">
        <v>189</v>
      </c>
      <c r="G329" s="8" t="s">
        <v>190</v>
      </c>
      <c r="H329" s="9" t="s">
        <v>190</v>
      </c>
      <c r="I329" s="9"/>
      <c r="J329" s="9" t="s">
        <v>509</v>
      </c>
      <c r="K329" s="9" t="s">
        <v>191</v>
      </c>
      <c r="L329" s="8"/>
      <c r="M329" s="8"/>
      <c r="N329" s="8"/>
      <c r="O329" s="8" t="s">
        <v>1092</v>
      </c>
      <c r="P329" s="10" t="n">
        <f aca="false">IF($H329="숙박",0,IF($H329=MID(P$1,3,20),IF($I329="",1,0.6),IF($I329=MID(P$1,3,20),0.4,0)))</f>
        <v>1</v>
      </c>
      <c r="Q329" s="10" t="n">
        <f aca="false">IF($H329="숙박",0,IF($H329=MID(Q$1,3,20),IF($I329="",1,0.6),IF($I329=MID(Q$1,3,20),0.4,0)))</f>
        <v>0</v>
      </c>
      <c r="R329" s="10" t="n">
        <f aca="false">IF($H329="숙박",0,IF($H329=MID(R$1,3,20),IF($I329="",1,0.6),IF($I329=MID(R$1,3,20),0.4,0)))</f>
        <v>0</v>
      </c>
      <c r="S329" s="10" t="n">
        <f aca="false">IF($H329="숙박",0,IF($H329=MID(S$1,3,20),IF($I329="",1,0.6),IF($I329=MID(S$1,3,20),0.4,0)))</f>
        <v>0</v>
      </c>
      <c r="T329" s="10" t="n">
        <f aca="false">IF($H329="숙박",0,IF($H329=MID(T$1,3,20),IF($I329="",1,0.6),IF($I329=MID(T$1,3,20),0.4,0)))</f>
        <v>0</v>
      </c>
      <c r="U329" s="10" t="n">
        <f aca="false">IF($H329="숙박",0,IF(ISNUMBER(SEARCH("야경",$J329)),1,0))</f>
        <v>1</v>
      </c>
      <c r="V329" s="10" t="n">
        <f aca="false">IF($H329="숙박",0,1)</f>
        <v>1</v>
      </c>
    </row>
    <row r="330" customFormat="false" ht="15" hidden="false" customHeight="false" outlineLevel="0" collapsed="false">
      <c r="A330" s="8" t="n">
        <v>329</v>
      </c>
      <c r="B330" s="8" t="s">
        <v>45</v>
      </c>
      <c r="C330" s="8"/>
      <c r="D330" s="8" t="s">
        <v>1093</v>
      </c>
      <c r="E330" s="7" t="s">
        <v>1094</v>
      </c>
      <c r="F330" s="8" t="s">
        <v>48</v>
      </c>
      <c r="G330" s="8" t="s">
        <v>216</v>
      </c>
      <c r="H330" s="9" t="s">
        <v>216</v>
      </c>
      <c r="I330" s="9" t="s">
        <v>50</v>
      </c>
      <c r="J330" s="9" t="s">
        <v>51</v>
      </c>
      <c r="K330" s="9" t="s">
        <v>52</v>
      </c>
      <c r="L330" s="8"/>
      <c r="M330" s="8"/>
      <c r="N330" s="8" t="s">
        <v>185</v>
      </c>
      <c r="O330" s="8" t="s">
        <v>1095</v>
      </c>
      <c r="P330" s="10" t="n">
        <f aca="false">IF($H330="숙박",0,IF($H330=MID(P$1,3,20),IF($I330="",1,0.6),IF($I330=MID(P$1,3,20),0.4,0)))</f>
        <v>0</v>
      </c>
      <c r="Q330" s="10" t="n">
        <f aca="false">IF($H330="숙박",0,IF($H330=MID(Q$1,3,20),IF($I330="",1,0.6),IF($I330=MID(Q$1,3,20),0.4,0)))</f>
        <v>0</v>
      </c>
      <c r="R330" s="10" t="n">
        <f aca="false">IF($H330="숙박",0,IF($H330=MID(R$1,3,20),IF($I330="",1,0.6),IF($I330=MID(R$1,3,20),0.4,0)))</f>
        <v>0</v>
      </c>
      <c r="S330" s="10" t="n">
        <f aca="false">IF($H330="숙박",0,IF($H330=MID(S$1,3,20),IF($I330="",1,0.6),IF($I330=MID(S$1,3,20),0.4,0)))</f>
        <v>0.6</v>
      </c>
      <c r="T330" s="10" t="n">
        <f aca="false">IF($H330="숙박",0,IF($H330=MID(T$1,3,20),IF($I330="",1,0.6),IF($I330=MID(T$1,3,20),0.4,0)))</f>
        <v>0.4</v>
      </c>
      <c r="U330" s="10" t="n">
        <f aca="false">IF($H330="숙박",0,IF(ISNUMBER(SEARCH("야경",$J330)),1,0))</f>
        <v>0</v>
      </c>
      <c r="V330" s="10" t="n">
        <f aca="false">IF($H330="숙박",0,1)</f>
        <v>1</v>
      </c>
    </row>
    <row r="331" customFormat="false" ht="15" hidden="false" customHeight="false" outlineLevel="0" collapsed="false">
      <c r="A331" s="8" t="n">
        <v>330</v>
      </c>
      <c r="B331" s="8" t="s">
        <v>45</v>
      </c>
      <c r="C331" s="8"/>
      <c r="D331" s="8" t="s">
        <v>1096</v>
      </c>
      <c r="E331" s="7" t="s">
        <v>1097</v>
      </c>
      <c r="F331" s="8" t="s">
        <v>59</v>
      </c>
      <c r="G331" s="8" t="s">
        <v>190</v>
      </c>
      <c r="H331" s="9" t="s">
        <v>190</v>
      </c>
      <c r="I331" s="9" t="s">
        <v>49</v>
      </c>
      <c r="J331" s="9" t="s">
        <v>479</v>
      </c>
      <c r="K331" s="9" t="s">
        <v>52</v>
      </c>
      <c r="L331" s="8"/>
      <c r="M331" s="8"/>
      <c r="N331" s="8" t="s">
        <v>483</v>
      </c>
      <c r="O331" s="8" t="s">
        <v>1098</v>
      </c>
      <c r="P331" s="10" t="n">
        <f aca="false">IF($H331="숙박",0,IF($H331=MID(P$1,3,20),IF($I331="",1,0.6),IF($I331=MID(P$1,3,20),0.4,0)))</f>
        <v>0.6</v>
      </c>
      <c r="Q331" s="10" t="n">
        <f aca="false">IF($H331="숙박",0,IF($H331=MID(Q$1,3,20),IF($I331="",1,0.6),IF($I331=MID(Q$1,3,20),0.4,0)))</f>
        <v>0.4</v>
      </c>
      <c r="R331" s="10" t="n">
        <f aca="false">IF($H331="숙박",0,IF($H331=MID(R$1,3,20),IF($I331="",1,0.6),IF($I331=MID(R$1,3,20),0.4,0)))</f>
        <v>0</v>
      </c>
      <c r="S331" s="10" t="n">
        <f aca="false">IF($H331="숙박",0,IF($H331=MID(S$1,3,20),IF($I331="",1,0.6),IF($I331=MID(S$1,3,20),0.4,0)))</f>
        <v>0</v>
      </c>
      <c r="T331" s="10" t="n">
        <f aca="false">IF($H331="숙박",0,IF($H331=MID(T$1,3,20),IF($I331="",1,0.6),IF($I331=MID(T$1,3,20),0.4,0)))</f>
        <v>0</v>
      </c>
      <c r="U331" s="10" t="n">
        <f aca="false">IF($H331="숙박",0,IF(ISNUMBER(SEARCH("야경",$J331)),1,0))</f>
        <v>0</v>
      </c>
      <c r="V331" s="10" t="n">
        <f aca="false">IF($H331="숙박",0,1)</f>
        <v>1</v>
      </c>
    </row>
    <row r="332" customFormat="false" ht="15" hidden="false" customHeight="false" outlineLevel="0" collapsed="false">
      <c r="A332" s="8" t="n">
        <v>331</v>
      </c>
      <c r="B332" s="8" t="s">
        <v>45</v>
      </c>
      <c r="C332" s="8"/>
      <c r="D332" s="8" t="s">
        <v>1099</v>
      </c>
      <c r="E332" s="7" t="s">
        <v>1100</v>
      </c>
      <c r="F332" s="8" t="s">
        <v>59</v>
      </c>
      <c r="G332" s="8" t="s">
        <v>49</v>
      </c>
      <c r="H332" s="9" t="s">
        <v>49</v>
      </c>
      <c r="I332" s="9"/>
      <c r="J332" s="9" t="s">
        <v>479</v>
      </c>
      <c r="K332" s="9" t="s">
        <v>52</v>
      </c>
      <c r="L332" s="8"/>
      <c r="M332" s="8"/>
      <c r="N332" s="8"/>
      <c r="O332" s="8" t="s">
        <v>1101</v>
      </c>
      <c r="P332" s="10" t="n">
        <f aca="false">IF($H332="숙박",0,IF($H332=MID(P$1,3,20),IF($I332="",1,0.6),IF($I332=MID(P$1,3,20),0.4,0)))</f>
        <v>0</v>
      </c>
      <c r="Q332" s="10" t="n">
        <f aca="false">IF($H332="숙박",0,IF($H332=MID(Q$1,3,20),IF($I332="",1,0.6),IF($I332=MID(Q$1,3,20),0.4,0)))</f>
        <v>1</v>
      </c>
      <c r="R332" s="10" t="n">
        <f aca="false">IF($H332="숙박",0,IF($H332=MID(R$1,3,20),IF($I332="",1,0.6),IF($I332=MID(R$1,3,20),0.4,0)))</f>
        <v>0</v>
      </c>
      <c r="S332" s="10" t="n">
        <f aca="false">IF($H332="숙박",0,IF($H332=MID(S$1,3,20),IF($I332="",1,0.6),IF($I332=MID(S$1,3,20),0.4,0)))</f>
        <v>0</v>
      </c>
      <c r="T332" s="10" t="n">
        <f aca="false">IF($H332="숙박",0,IF($H332=MID(T$1,3,20),IF($I332="",1,0.6),IF($I332=MID(T$1,3,20),0.4,0)))</f>
        <v>0</v>
      </c>
      <c r="U332" s="10" t="n">
        <f aca="false">IF($H332="숙박",0,IF(ISNUMBER(SEARCH("야경",$J332)),1,0))</f>
        <v>0</v>
      </c>
      <c r="V332" s="10" t="n">
        <f aca="false">IF($H332="숙박",0,1)</f>
        <v>1</v>
      </c>
    </row>
    <row r="333" customFormat="false" ht="15" hidden="false" customHeight="false" outlineLevel="0" collapsed="false">
      <c r="A333" s="8" t="n">
        <v>332</v>
      </c>
      <c r="B333" s="8" t="s">
        <v>45</v>
      </c>
      <c r="C333" s="8"/>
      <c r="D333" s="8" t="s">
        <v>1102</v>
      </c>
      <c r="E333" s="7" t="s">
        <v>1103</v>
      </c>
      <c r="F333" s="8" t="s">
        <v>199</v>
      </c>
      <c r="G333" s="8" t="s">
        <v>216</v>
      </c>
      <c r="H333" s="9" t="s">
        <v>216</v>
      </c>
      <c r="I333" s="9"/>
      <c r="J333" s="9" t="s">
        <v>479</v>
      </c>
      <c r="K333" s="9" t="s">
        <v>191</v>
      </c>
      <c r="L333" s="8"/>
      <c r="M333" s="8"/>
      <c r="N333" s="8"/>
      <c r="O333" s="8" t="s">
        <v>1104</v>
      </c>
      <c r="P333" s="10" t="n">
        <f aca="false">IF($H333="숙박",0,IF($H333=MID(P$1,3,20),IF($I333="",1,0.6),IF($I333=MID(P$1,3,20),0.4,0)))</f>
        <v>0</v>
      </c>
      <c r="Q333" s="10" t="n">
        <f aca="false">IF($H333="숙박",0,IF($H333=MID(Q$1,3,20),IF($I333="",1,0.6),IF($I333=MID(Q$1,3,20),0.4,0)))</f>
        <v>0</v>
      </c>
      <c r="R333" s="10" t="n">
        <f aca="false">IF($H333="숙박",0,IF($H333=MID(R$1,3,20),IF($I333="",1,0.6),IF($I333=MID(R$1,3,20),0.4,0)))</f>
        <v>0</v>
      </c>
      <c r="S333" s="10" t="n">
        <f aca="false">IF($H333="숙박",0,IF($H333=MID(S$1,3,20),IF($I333="",1,0.6),IF($I333=MID(S$1,3,20),0.4,0)))</f>
        <v>1</v>
      </c>
      <c r="T333" s="10" t="n">
        <f aca="false">IF($H333="숙박",0,IF($H333=MID(T$1,3,20),IF($I333="",1,0.6),IF($I333=MID(T$1,3,20),0.4,0)))</f>
        <v>0</v>
      </c>
      <c r="U333" s="10" t="n">
        <f aca="false">IF($H333="숙박",0,IF(ISNUMBER(SEARCH("야경",$J333)),1,0))</f>
        <v>0</v>
      </c>
      <c r="V333" s="10" t="n">
        <f aca="false">IF($H333="숙박",0,1)</f>
        <v>1</v>
      </c>
    </row>
    <row r="334" customFormat="false" ht="15" hidden="false" customHeight="false" outlineLevel="0" collapsed="false">
      <c r="A334" s="8" t="n">
        <v>333</v>
      </c>
      <c r="B334" s="8" t="s">
        <v>45</v>
      </c>
      <c r="C334" s="8"/>
      <c r="D334" s="8" t="s">
        <v>1105</v>
      </c>
      <c r="E334" s="7" t="s">
        <v>1106</v>
      </c>
      <c r="F334" s="8" t="s">
        <v>199</v>
      </c>
      <c r="G334" s="8" t="s">
        <v>216</v>
      </c>
      <c r="H334" s="9" t="s">
        <v>216</v>
      </c>
      <c r="I334" s="9" t="s">
        <v>190</v>
      </c>
      <c r="J334" s="9" t="s">
        <v>479</v>
      </c>
      <c r="K334" s="9" t="s">
        <v>52</v>
      </c>
      <c r="L334" s="8"/>
      <c r="M334" s="8"/>
      <c r="N334" s="8" t="s">
        <v>483</v>
      </c>
      <c r="O334" s="8" t="s">
        <v>1107</v>
      </c>
      <c r="P334" s="10" t="n">
        <f aca="false">IF($H334="숙박",0,IF($H334=MID(P$1,3,20),IF($I334="",1,0.6),IF($I334=MID(P$1,3,20),0.4,0)))</f>
        <v>0.4</v>
      </c>
      <c r="Q334" s="10" t="n">
        <f aca="false">IF($H334="숙박",0,IF($H334=MID(Q$1,3,20),IF($I334="",1,0.6),IF($I334=MID(Q$1,3,20),0.4,0)))</f>
        <v>0</v>
      </c>
      <c r="R334" s="10" t="n">
        <f aca="false">IF($H334="숙박",0,IF($H334=MID(R$1,3,20),IF($I334="",1,0.6),IF($I334=MID(R$1,3,20),0.4,0)))</f>
        <v>0</v>
      </c>
      <c r="S334" s="10" t="n">
        <f aca="false">IF($H334="숙박",0,IF($H334=MID(S$1,3,20),IF($I334="",1,0.6),IF($I334=MID(S$1,3,20),0.4,0)))</f>
        <v>0.6</v>
      </c>
      <c r="T334" s="10" t="n">
        <f aca="false">IF($H334="숙박",0,IF($H334=MID(T$1,3,20),IF($I334="",1,0.6),IF($I334=MID(T$1,3,20),0.4,0)))</f>
        <v>0</v>
      </c>
      <c r="U334" s="10" t="n">
        <f aca="false">IF($H334="숙박",0,IF(ISNUMBER(SEARCH("야경",$J334)),1,0))</f>
        <v>0</v>
      </c>
      <c r="V334" s="10" t="n">
        <f aca="false">IF($H334="숙박",0,1)</f>
        <v>1</v>
      </c>
    </row>
    <row r="335" customFormat="false" ht="15" hidden="false" customHeight="false" outlineLevel="0" collapsed="false">
      <c r="A335" s="8" t="n">
        <v>334</v>
      </c>
      <c r="B335" s="8" t="s">
        <v>45</v>
      </c>
      <c r="C335" s="8"/>
      <c r="D335" s="8" t="s">
        <v>1108</v>
      </c>
      <c r="E335" s="7" t="s">
        <v>1109</v>
      </c>
      <c r="F335" s="8" t="s">
        <v>199</v>
      </c>
      <c r="G335" s="8" t="s">
        <v>216</v>
      </c>
      <c r="H335" s="9" t="s">
        <v>216</v>
      </c>
      <c r="I335" s="9"/>
      <c r="J335" s="9" t="s">
        <v>479</v>
      </c>
      <c r="K335" s="9" t="s">
        <v>52</v>
      </c>
      <c r="L335" s="8"/>
      <c r="M335" s="8"/>
      <c r="N335" s="8"/>
      <c r="O335" s="8" t="s">
        <v>1110</v>
      </c>
      <c r="P335" s="10" t="n">
        <f aca="false">IF($H335="숙박",0,IF($H335=MID(P$1,3,20),IF($I335="",1,0.6),IF($I335=MID(P$1,3,20),0.4,0)))</f>
        <v>0</v>
      </c>
      <c r="Q335" s="10" t="n">
        <f aca="false">IF($H335="숙박",0,IF($H335=MID(Q$1,3,20),IF($I335="",1,0.6),IF($I335=MID(Q$1,3,20),0.4,0)))</f>
        <v>0</v>
      </c>
      <c r="R335" s="10" t="n">
        <f aca="false">IF($H335="숙박",0,IF($H335=MID(R$1,3,20),IF($I335="",1,0.6),IF($I335=MID(R$1,3,20),0.4,0)))</f>
        <v>0</v>
      </c>
      <c r="S335" s="10" t="n">
        <f aca="false">IF($H335="숙박",0,IF($H335=MID(S$1,3,20),IF($I335="",1,0.6),IF($I335=MID(S$1,3,20),0.4,0)))</f>
        <v>1</v>
      </c>
      <c r="T335" s="10" t="n">
        <f aca="false">IF($H335="숙박",0,IF($H335=MID(T$1,3,20),IF($I335="",1,0.6),IF($I335=MID(T$1,3,20),0.4,0)))</f>
        <v>0</v>
      </c>
      <c r="U335" s="10" t="n">
        <f aca="false">IF($H335="숙박",0,IF(ISNUMBER(SEARCH("야경",$J335)),1,0))</f>
        <v>0</v>
      </c>
      <c r="V335" s="10" t="n">
        <f aca="false">IF($H335="숙박",0,1)</f>
        <v>1</v>
      </c>
    </row>
    <row r="336" customFormat="false" ht="15" hidden="false" customHeight="false" outlineLevel="0" collapsed="false">
      <c r="A336" s="8" t="n">
        <v>335</v>
      </c>
      <c r="B336" s="8" t="s">
        <v>45</v>
      </c>
      <c r="C336" s="8"/>
      <c r="D336" s="8" t="s">
        <v>1111</v>
      </c>
      <c r="E336" s="7" t="s">
        <v>1112</v>
      </c>
      <c r="F336" s="8" t="s">
        <v>199</v>
      </c>
      <c r="G336" s="8" t="s">
        <v>216</v>
      </c>
      <c r="H336" s="9" t="s">
        <v>216</v>
      </c>
      <c r="I336" s="9"/>
      <c r="J336" s="9" t="s">
        <v>479</v>
      </c>
      <c r="K336" s="9" t="s">
        <v>191</v>
      </c>
      <c r="L336" s="8"/>
      <c r="M336" s="8"/>
      <c r="N336" s="8"/>
      <c r="O336" s="8" t="s">
        <v>1113</v>
      </c>
      <c r="P336" s="10" t="n">
        <f aca="false">IF($H336="숙박",0,IF($H336=MID(P$1,3,20),IF($I336="",1,0.6),IF($I336=MID(P$1,3,20),0.4,0)))</f>
        <v>0</v>
      </c>
      <c r="Q336" s="10" t="n">
        <f aca="false">IF($H336="숙박",0,IF($H336=MID(Q$1,3,20),IF($I336="",1,0.6),IF($I336=MID(Q$1,3,20),0.4,0)))</f>
        <v>0</v>
      </c>
      <c r="R336" s="10" t="n">
        <f aca="false">IF($H336="숙박",0,IF($H336=MID(R$1,3,20),IF($I336="",1,0.6),IF($I336=MID(R$1,3,20),0.4,0)))</f>
        <v>0</v>
      </c>
      <c r="S336" s="10" t="n">
        <f aca="false">IF($H336="숙박",0,IF($H336=MID(S$1,3,20),IF($I336="",1,0.6),IF($I336=MID(S$1,3,20),0.4,0)))</f>
        <v>1</v>
      </c>
      <c r="T336" s="10" t="n">
        <f aca="false">IF($H336="숙박",0,IF($H336=MID(T$1,3,20),IF($I336="",1,0.6),IF($I336=MID(T$1,3,20),0.4,0)))</f>
        <v>0</v>
      </c>
      <c r="U336" s="10" t="n">
        <f aca="false">IF($H336="숙박",0,IF(ISNUMBER(SEARCH("야경",$J336)),1,0))</f>
        <v>0</v>
      </c>
      <c r="V336" s="10" t="n">
        <f aca="false">IF($H336="숙박",0,1)</f>
        <v>1</v>
      </c>
    </row>
    <row r="337" customFormat="false" ht="15" hidden="false" customHeight="false" outlineLevel="0" collapsed="false">
      <c r="A337" s="8" t="n">
        <v>336</v>
      </c>
      <c r="B337" s="8" t="s">
        <v>56</v>
      </c>
      <c r="C337" s="8"/>
      <c r="D337" s="8" t="s">
        <v>1114</v>
      </c>
      <c r="E337" s="7" t="s">
        <v>1115</v>
      </c>
      <c r="F337" s="8" t="s">
        <v>59</v>
      </c>
      <c r="G337" s="8" t="s">
        <v>216</v>
      </c>
      <c r="H337" s="9" t="s">
        <v>216</v>
      </c>
      <c r="I337" s="9"/>
      <c r="J337" s="9" t="s">
        <v>479</v>
      </c>
      <c r="K337" s="9" t="s">
        <v>191</v>
      </c>
      <c r="L337" s="8"/>
      <c r="M337" s="8"/>
      <c r="N337" s="8"/>
      <c r="O337" s="8" t="s">
        <v>1116</v>
      </c>
      <c r="P337" s="10" t="n">
        <f aca="false">IF($H337="숙박",0,IF($H337=MID(P$1,3,20),IF($I337="",1,0.6),IF($I337=MID(P$1,3,20),0.4,0)))</f>
        <v>0</v>
      </c>
      <c r="Q337" s="10" t="n">
        <f aca="false">IF($H337="숙박",0,IF($H337=MID(Q$1,3,20),IF($I337="",1,0.6),IF($I337=MID(Q$1,3,20),0.4,0)))</f>
        <v>0</v>
      </c>
      <c r="R337" s="10" t="n">
        <f aca="false">IF($H337="숙박",0,IF($H337=MID(R$1,3,20),IF($I337="",1,0.6),IF($I337=MID(R$1,3,20),0.4,0)))</f>
        <v>0</v>
      </c>
      <c r="S337" s="10" t="n">
        <f aca="false">IF($H337="숙박",0,IF($H337=MID(S$1,3,20),IF($I337="",1,0.6),IF($I337=MID(S$1,3,20),0.4,0)))</f>
        <v>1</v>
      </c>
      <c r="T337" s="10" t="n">
        <f aca="false">IF($H337="숙박",0,IF($H337=MID(T$1,3,20),IF($I337="",1,0.6),IF($I337=MID(T$1,3,20),0.4,0)))</f>
        <v>0</v>
      </c>
      <c r="U337" s="10" t="n">
        <f aca="false">IF($H337="숙박",0,IF(ISNUMBER(SEARCH("야경",$J337)),1,0))</f>
        <v>0</v>
      </c>
      <c r="V337" s="10" t="n">
        <f aca="false">IF($H337="숙박",0,1)</f>
        <v>1</v>
      </c>
    </row>
    <row r="338" customFormat="false" ht="15" hidden="false" customHeight="false" outlineLevel="0" collapsed="false">
      <c r="A338" s="8" t="n">
        <v>337</v>
      </c>
      <c r="B338" s="8" t="s">
        <v>45</v>
      </c>
      <c r="C338" s="8"/>
      <c r="D338" s="8" t="s">
        <v>1117</v>
      </c>
      <c r="E338" s="7" t="s">
        <v>1118</v>
      </c>
      <c r="F338" s="8" t="s">
        <v>199</v>
      </c>
      <c r="G338" s="8" t="s">
        <v>184</v>
      </c>
      <c r="H338" s="9" t="s">
        <v>184</v>
      </c>
      <c r="I338" s="9"/>
      <c r="J338" s="9" t="s">
        <v>523</v>
      </c>
      <c r="K338" s="9" t="s">
        <v>191</v>
      </c>
      <c r="L338" s="8"/>
      <c r="M338" s="8"/>
      <c r="N338" s="8"/>
      <c r="O338" s="8" t="s">
        <v>1119</v>
      </c>
      <c r="P338" s="10" t="n">
        <f aca="false">IF($H338="숙박",0,IF($H338=MID(P$1,3,20),IF($I338="",1,0.6),IF($I338=MID(P$1,3,20),0.4,0)))</f>
        <v>0</v>
      </c>
      <c r="Q338" s="10" t="n">
        <f aca="false">IF($H338="숙박",0,IF($H338=MID(Q$1,3,20),IF($I338="",1,0.6),IF($I338=MID(Q$1,3,20),0.4,0)))</f>
        <v>0</v>
      </c>
      <c r="R338" s="10" t="n">
        <f aca="false">IF($H338="숙박",0,IF($H338=MID(R$1,3,20),IF($I338="",1,0.6),IF($I338=MID(R$1,3,20),0.4,0)))</f>
        <v>1</v>
      </c>
      <c r="S338" s="10" t="n">
        <f aca="false">IF($H338="숙박",0,IF($H338=MID(S$1,3,20),IF($I338="",1,0.6),IF($I338=MID(S$1,3,20),0.4,0)))</f>
        <v>0</v>
      </c>
      <c r="T338" s="10" t="n">
        <f aca="false">IF($H338="숙박",0,IF($H338=MID(T$1,3,20),IF($I338="",1,0.6),IF($I338=MID(T$1,3,20),0.4,0)))</f>
        <v>0</v>
      </c>
      <c r="U338" s="10" t="n">
        <f aca="false">IF($H338="숙박",0,IF(ISNUMBER(SEARCH("야경",$J338)),1,0))</f>
        <v>0</v>
      </c>
      <c r="V338" s="10" t="n">
        <f aca="false">IF($H338="숙박",0,1)</f>
        <v>1</v>
      </c>
    </row>
    <row r="339" customFormat="false" ht="15" hidden="false" customHeight="false" outlineLevel="0" collapsed="false">
      <c r="A339" s="8" t="n">
        <v>338</v>
      </c>
      <c r="B339" s="8" t="s">
        <v>45</v>
      </c>
      <c r="C339" s="8"/>
      <c r="D339" s="8" t="s">
        <v>1120</v>
      </c>
      <c r="E339" s="7" t="s">
        <v>1121</v>
      </c>
      <c r="F339" s="8" t="s">
        <v>48</v>
      </c>
      <c r="G339" s="8" t="s">
        <v>49</v>
      </c>
      <c r="H339" s="9" t="s">
        <v>49</v>
      </c>
      <c r="I339" s="9" t="s">
        <v>184</v>
      </c>
      <c r="J339" s="9" t="s">
        <v>479</v>
      </c>
      <c r="K339" s="9" t="s">
        <v>209</v>
      </c>
      <c r="L339" s="8"/>
      <c r="M339" s="8"/>
      <c r="N339" s="8" t="s">
        <v>483</v>
      </c>
      <c r="O339" s="8" t="s">
        <v>1122</v>
      </c>
      <c r="P339" s="10" t="n">
        <f aca="false">IF($H339="숙박",0,IF($H339=MID(P$1,3,20),IF($I339="",1,0.6),IF($I339=MID(P$1,3,20),0.4,0)))</f>
        <v>0</v>
      </c>
      <c r="Q339" s="10" t="n">
        <f aca="false">IF($H339="숙박",0,IF($H339=MID(Q$1,3,20),IF($I339="",1,0.6),IF($I339=MID(Q$1,3,20),0.4,0)))</f>
        <v>0.6</v>
      </c>
      <c r="R339" s="10" t="n">
        <f aca="false">IF($H339="숙박",0,IF($H339=MID(R$1,3,20),IF($I339="",1,0.6),IF($I339=MID(R$1,3,20),0.4,0)))</f>
        <v>0.4</v>
      </c>
      <c r="S339" s="10" t="n">
        <f aca="false">IF($H339="숙박",0,IF($H339=MID(S$1,3,20),IF($I339="",1,0.6),IF($I339=MID(S$1,3,20),0.4,0)))</f>
        <v>0</v>
      </c>
      <c r="T339" s="10" t="n">
        <f aca="false">IF($H339="숙박",0,IF($H339=MID(T$1,3,20),IF($I339="",1,0.6),IF($I339=MID(T$1,3,20),0.4,0)))</f>
        <v>0</v>
      </c>
      <c r="U339" s="10" t="n">
        <f aca="false">IF($H339="숙박",0,IF(ISNUMBER(SEARCH("야경",$J339)),1,0))</f>
        <v>0</v>
      </c>
      <c r="V339" s="10" t="n">
        <f aca="false">IF($H339="숙박",0,1)</f>
        <v>1</v>
      </c>
    </row>
    <row r="340" customFormat="false" ht="15" hidden="false" customHeight="false" outlineLevel="0" collapsed="false">
      <c r="A340" s="8" t="n">
        <v>339</v>
      </c>
      <c r="B340" s="8" t="s">
        <v>45</v>
      </c>
      <c r="C340" s="8"/>
      <c r="D340" s="8" t="s">
        <v>1123</v>
      </c>
      <c r="E340" s="7" t="s">
        <v>1124</v>
      </c>
      <c r="F340" s="8" t="s">
        <v>48</v>
      </c>
      <c r="G340" s="8" t="s">
        <v>49</v>
      </c>
      <c r="H340" s="9" t="s">
        <v>49</v>
      </c>
      <c r="I340" s="9"/>
      <c r="J340" s="9" t="s">
        <v>479</v>
      </c>
      <c r="K340" s="9" t="s">
        <v>52</v>
      </c>
      <c r="L340" s="8"/>
      <c r="M340" s="8"/>
      <c r="N340" s="8"/>
      <c r="O340" s="8" t="s">
        <v>1125</v>
      </c>
      <c r="P340" s="10" t="n">
        <f aca="false">IF($H340="숙박",0,IF($H340=MID(P$1,3,20),IF($I340="",1,0.6),IF($I340=MID(P$1,3,20),0.4,0)))</f>
        <v>0</v>
      </c>
      <c r="Q340" s="10" t="n">
        <f aca="false">IF($H340="숙박",0,IF($H340=MID(Q$1,3,20),IF($I340="",1,0.6),IF($I340=MID(Q$1,3,20),0.4,0)))</f>
        <v>1</v>
      </c>
      <c r="R340" s="10" t="n">
        <f aca="false">IF($H340="숙박",0,IF($H340=MID(R$1,3,20),IF($I340="",1,0.6),IF($I340=MID(R$1,3,20),0.4,0)))</f>
        <v>0</v>
      </c>
      <c r="S340" s="10" t="n">
        <f aca="false">IF($H340="숙박",0,IF($H340=MID(S$1,3,20),IF($I340="",1,0.6),IF($I340=MID(S$1,3,20),0.4,0)))</f>
        <v>0</v>
      </c>
      <c r="T340" s="10" t="n">
        <f aca="false">IF($H340="숙박",0,IF($H340=MID(T$1,3,20),IF($I340="",1,0.6),IF($I340=MID(T$1,3,20),0.4,0)))</f>
        <v>0</v>
      </c>
      <c r="U340" s="10" t="n">
        <f aca="false">IF($H340="숙박",0,IF(ISNUMBER(SEARCH("야경",$J340)),1,0))</f>
        <v>0</v>
      </c>
      <c r="V340" s="10" t="n">
        <f aca="false">IF($H340="숙박",0,1)</f>
        <v>1</v>
      </c>
    </row>
    <row r="341" customFormat="false" ht="15" hidden="false" customHeight="false" outlineLevel="0" collapsed="false">
      <c r="A341" s="8" t="n">
        <v>340</v>
      </c>
      <c r="B341" s="8" t="s">
        <v>45</v>
      </c>
      <c r="C341" s="8"/>
      <c r="D341" s="8" t="s">
        <v>1126</v>
      </c>
      <c r="E341" s="7" t="s">
        <v>1127</v>
      </c>
      <c r="F341" s="8" t="s">
        <v>567</v>
      </c>
      <c r="G341" s="8" t="s">
        <v>184</v>
      </c>
      <c r="H341" s="9" t="s">
        <v>184</v>
      </c>
      <c r="I341" s="9"/>
      <c r="J341" s="9" t="s">
        <v>523</v>
      </c>
      <c r="K341" s="9" t="s">
        <v>191</v>
      </c>
      <c r="L341" s="8"/>
      <c r="M341" s="8"/>
      <c r="N341" s="8"/>
      <c r="O341" s="8" t="s">
        <v>1128</v>
      </c>
      <c r="P341" s="10" t="n">
        <f aca="false">IF($H341="숙박",0,IF($H341=MID(P$1,3,20),IF($I341="",1,0.6),IF($I341=MID(P$1,3,20),0.4,0)))</f>
        <v>0</v>
      </c>
      <c r="Q341" s="10" t="n">
        <f aca="false">IF($H341="숙박",0,IF($H341=MID(Q$1,3,20),IF($I341="",1,0.6),IF($I341=MID(Q$1,3,20),0.4,0)))</f>
        <v>0</v>
      </c>
      <c r="R341" s="10" t="n">
        <f aca="false">IF($H341="숙박",0,IF($H341=MID(R$1,3,20),IF($I341="",1,0.6),IF($I341=MID(R$1,3,20),0.4,0)))</f>
        <v>1</v>
      </c>
      <c r="S341" s="10" t="n">
        <f aca="false">IF($H341="숙박",0,IF($H341=MID(S$1,3,20),IF($I341="",1,0.6),IF($I341=MID(S$1,3,20),0.4,0)))</f>
        <v>0</v>
      </c>
      <c r="T341" s="10" t="n">
        <f aca="false">IF($H341="숙박",0,IF($H341=MID(T$1,3,20),IF($I341="",1,0.6),IF($I341=MID(T$1,3,20),0.4,0)))</f>
        <v>0</v>
      </c>
      <c r="U341" s="10" t="n">
        <f aca="false">IF($H341="숙박",0,IF(ISNUMBER(SEARCH("야경",$J341)),1,0))</f>
        <v>0</v>
      </c>
      <c r="V341" s="10" t="n">
        <f aca="false">IF($H341="숙박",0,1)</f>
        <v>1</v>
      </c>
    </row>
    <row r="342" customFormat="false" ht="15" hidden="false" customHeight="false" outlineLevel="0" collapsed="false">
      <c r="A342" s="8" t="n">
        <v>341</v>
      </c>
      <c r="B342" s="8" t="s">
        <v>511</v>
      </c>
      <c r="C342" s="8"/>
      <c r="D342" s="8" t="s">
        <v>1129</v>
      </c>
      <c r="E342" s="7" t="s">
        <v>1130</v>
      </c>
      <c r="F342" s="7" t="s">
        <v>189</v>
      </c>
      <c r="G342" s="8" t="s">
        <v>184</v>
      </c>
      <c r="H342" s="9" t="s">
        <v>184</v>
      </c>
      <c r="I342" s="9"/>
      <c r="J342" s="9" t="s">
        <v>479</v>
      </c>
      <c r="K342" s="9" t="s">
        <v>191</v>
      </c>
      <c r="L342" s="8"/>
      <c r="M342" s="8"/>
      <c r="N342" s="8"/>
      <c r="O342" s="8" t="s">
        <v>1131</v>
      </c>
      <c r="P342" s="10" t="n">
        <f aca="false">IF($H342="숙박",0,IF($H342=MID(P$1,3,20),IF($I342="",1,0.6),IF($I342=MID(P$1,3,20),0.4,0)))</f>
        <v>0</v>
      </c>
      <c r="Q342" s="10" t="n">
        <f aca="false">IF($H342="숙박",0,IF($H342=MID(Q$1,3,20),IF($I342="",1,0.6),IF($I342=MID(Q$1,3,20),0.4,0)))</f>
        <v>0</v>
      </c>
      <c r="R342" s="10" t="n">
        <f aca="false">IF($H342="숙박",0,IF($H342=MID(R$1,3,20),IF($I342="",1,0.6),IF($I342=MID(R$1,3,20),0.4,0)))</f>
        <v>1</v>
      </c>
      <c r="S342" s="10" t="n">
        <f aca="false">IF($H342="숙박",0,IF($H342=MID(S$1,3,20),IF($I342="",1,0.6),IF($I342=MID(S$1,3,20),0.4,0)))</f>
        <v>0</v>
      </c>
      <c r="T342" s="10" t="n">
        <f aca="false">IF($H342="숙박",0,IF($H342=MID(T$1,3,20),IF($I342="",1,0.6),IF($I342=MID(T$1,3,20),0.4,0)))</f>
        <v>0</v>
      </c>
      <c r="U342" s="10" t="n">
        <f aca="false">IF($H342="숙박",0,IF(ISNUMBER(SEARCH("야경",$J342)),1,0))</f>
        <v>0</v>
      </c>
      <c r="V342" s="10" t="n">
        <f aca="false">IF($H342="숙박",0,1)</f>
        <v>1</v>
      </c>
    </row>
    <row r="343" customFormat="false" ht="15" hidden="false" customHeight="false" outlineLevel="0" collapsed="false">
      <c r="A343" s="8" t="n">
        <v>342</v>
      </c>
      <c r="B343" s="8" t="s">
        <v>45</v>
      </c>
      <c r="C343" s="8" t="s">
        <v>788</v>
      </c>
      <c r="D343" s="8" t="s">
        <v>1132</v>
      </c>
      <c r="E343" s="7" t="s">
        <v>1133</v>
      </c>
      <c r="F343" s="7" t="s">
        <v>189</v>
      </c>
      <c r="G343" s="8" t="s">
        <v>216</v>
      </c>
      <c r="H343" s="9" t="s">
        <v>216</v>
      </c>
      <c r="I343" s="9"/>
      <c r="J343" s="9" t="s">
        <v>479</v>
      </c>
      <c r="K343" s="9" t="s">
        <v>191</v>
      </c>
      <c r="L343" s="8"/>
      <c r="M343" s="8"/>
      <c r="N343" s="8"/>
      <c r="O343" s="7" t="s">
        <v>1134</v>
      </c>
      <c r="P343" s="10" t="n">
        <f aca="false">IF($H343="숙박",0,IF($H343=MID(P$1,3,20),IF($I343="",1,0.6),IF($I343=MID(P$1,3,20),0.4,0)))</f>
        <v>0</v>
      </c>
      <c r="Q343" s="10" t="n">
        <f aca="false">IF($H343="숙박",0,IF($H343=MID(Q$1,3,20),IF($I343="",1,0.6),IF($I343=MID(Q$1,3,20),0.4,0)))</f>
        <v>0</v>
      </c>
      <c r="R343" s="10" t="n">
        <f aca="false">IF($H343="숙박",0,IF($H343=MID(R$1,3,20),IF($I343="",1,0.6),IF($I343=MID(R$1,3,20),0.4,0)))</f>
        <v>0</v>
      </c>
      <c r="S343" s="10" t="n">
        <f aca="false">IF($H343="숙박",0,IF($H343=MID(S$1,3,20),IF($I343="",1,0.6),IF($I343=MID(S$1,3,20),0.4,0)))</f>
        <v>1</v>
      </c>
      <c r="T343" s="10" t="n">
        <f aca="false">IF($H343="숙박",0,IF($H343=MID(T$1,3,20),IF($I343="",1,0.6),IF($I343=MID(T$1,3,20),0.4,0)))</f>
        <v>0</v>
      </c>
      <c r="U343" s="10" t="n">
        <f aca="false">IF($H343="숙박",0,IF(ISNUMBER(SEARCH("야경",$J343)),1,0))</f>
        <v>0</v>
      </c>
      <c r="V343" s="10" t="n">
        <f aca="false">IF($H343="숙박",0,1)</f>
        <v>1</v>
      </c>
    </row>
    <row r="344" customFormat="false" ht="15" hidden="false" customHeight="false" outlineLevel="0" collapsed="false">
      <c r="A344" s="8" t="n">
        <v>343</v>
      </c>
      <c r="B344" s="8" t="s">
        <v>62</v>
      </c>
      <c r="C344" s="8"/>
      <c r="D344" s="8" t="s">
        <v>1135</v>
      </c>
      <c r="E344" s="7" t="s">
        <v>1136</v>
      </c>
      <c r="F344" s="8" t="s">
        <v>48</v>
      </c>
      <c r="G344" s="8" t="s">
        <v>216</v>
      </c>
      <c r="H344" s="9" t="s">
        <v>216</v>
      </c>
      <c r="I344" s="9"/>
      <c r="J344" s="9" t="s">
        <v>509</v>
      </c>
      <c r="K344" s="9" t="s">
        <v>191</v>
      </c>
      <c r="L344" s="8"/>
      <c r="M344" s="8"/>
      <c r="N344" s="8"/>
      <c r="O344" s="8" t="s">
        <v>1137</v>
      </c>
      <c r="P344" s="10" t="n">
        <f aca="false">IF($H344="숙박",0,IF($H344=MID(P$1,3,20),IF($I344="",1,0.6),IF($I344=MID(P$1,3,20),0.4,0)))</f>
        <v>0</v>
      </c>
      <c r="Q344" s="10" t="n">
        <f aca="false">IF($H344="숙박",0,IF($H344=MID(Q$1,3,20),IF($I344="",1,0.6),IF($I344=MID(Q$1,3,20),0.4,0)))</f>
        <v>0</v>
      </c>
      <c r="R344" s="10" t="n">
        <f aca="false">IF($H344="숙박",0,IF($H344=MID(R$1,3,20),IF($I344="",1,0.6),IF($I344=MID(R$1,3,20),0.4,0)))</f>
        <v>0</v>
      </c>
      <c r="S344" s="10" t="n">
        <f aca="false">IF($H344="숙박",0,IF($H344=MID(S$1,3,20),IF($I344="",1,0.6),IF($I344=MID(S$1,3,20),0.4,0)))</f>
        <v>1</v>
      </c>
      <c r="T344" s="10" t="n">
        <f aca="false">IF($H344="숙박",0,IF($H344=MID(T$1,3,20),IF($I344="",1,0.6),IF($I344=MID(T$1,3,20),0.4,0)))</f>
        <v>0</v>
      </c>
      <c r="U344" s="10" t="n">
        <f aca="false">IF($H344="숙박",0,IF(ISNUMBER(SEARCH("야경",$J344)),1,0))</f>
        <v>1</v>
      </c>
      <c r="V344" s="10" t="n">
        <f aca="false">IF($H344="숙박",0,1)</f>
        <v>1</v>
      </c>
    </row>
    <row r="345" customFormat="false" ht="15" hidden="false" customHeight="false" outlineLevel="0" collapsed="false">
      <c r="A345" s="8" t="n">
        <v>344</v>
      </c>
      <c r="B345" s="8" t="s">
        <v>45</v>
      </c>
      <c r="C345" s="8"/>
      <c r="D345" s="8" t="s">
        <v>1138</v>
      </c>
      <c r="E345" s="7" t="s">
        <v>1139</v>
      </c>
      <c r="F345" s="8" t="s">
        <v>48</v>
      </c>
      <c r="G345" s="8" t="s">
        <v>184</v>
      </c>
      <c r="H345" s="9" t="s">
        <v>184</v>
      </c>
      <c r="I345" s="9"/>
      <c r="J345" s="9" t="s">
        <v>479</v>
      </c>
      <c r="K345" s="9" t="s">
        <v>191</v>
      </c>
      <c r="L345" s="8"/>
      <c r="M345" s="8"/>
      <c r="N345" s="8"/>
      <c r="O345" s="8" t="s">
        <v>1140</v>
      </c>
      <c r="P345" s="10" t="n">
        <f aca="false">IF($H345="숙박",0,IF($H345=MID(P$1,3,20),IF($I345="",1,0.6),IF($I345=MID(P$1,3,20),0.4,0)))</f>
        <v>0</v>
      </c>
      <c r="Q345" s="10" t="n">
        <f aca="false">IF($H345="숙박",0,IF($H345=MID(Q$1,3,20),IF($I345="",1,0.6),IF($I345=MID(Q$1,3,20),0.4,0)))</f>
        <v>0</v>
      </c>
      <c r="R345" s="10" t="n">
        <f aca="false">IF($H345="숙박",0,IF($H345=MID(R$1,3,20),IF($I345="",1,0.6),IF($I345=MID(R$1,3,20),0.4,0)))</f>
        <v>1</v>
      </c>
      <c r="S345" s="10" t="n">
        <f aca="false">IF($H345="숙박",0,IF($H345=MID(S$1,3,20),IF($I345="",1,0.6),IF($I345=MID(S$1,3,20),0.4,0)))</f>
        <v>0</v>
      </c>
      <c r="T345" s="10" t="n">
        <f aca="false">IF($H345="숙박",0,IF($H345=MID(T$1,3,20),IF($I345="",1,0.6),IF($I345=MID(T$1,3,20),0.4,0)))</f>
        <v>0</v>
      </c>
      <c r="U345" s="10" t="n">
        <f aca="false">IF($H345="숙박",0,IF(ISNUMBER(SEARCH("야경",$J345)),1,0))</f>
        <v>0</v>
      </c>
      <c r="V345" s="10" t="n">
        <f aca="false">IF($H345="숙박",0,1)</f>
        <v>1</v>
      </c>
    </row>
    <row r="346" customFormat="false" ht="15" hidden="false" customHeight="false" outlineLevel="0" collapsed="false">
      <c r="A346" s="8" t="n">
        <v>345</v>
      </c>
      <c r="B346" s="8" t="s">
        <v>45</v>
      </c>
      <c r="C346" s="8"/>
      <c r="D346" s="8" t="s">
        <v>1141</v>
      </c>
      <c r="E346" s="7" t="s">
        <v>1142</v>
      </c>
      <c r="F346" s="8" t="s">
        <v>48</v>
      </c>
      <c r="G346" s="8" t="s">
        <v>216</v>
      </c>
      <c r="H346" s="9" t="s">
        <v>216</v>
      </c>
      <c r="I346" s="9"/>
      <c r="J346" s="9" t="s">
        <v>479</v>
      </c>
      <c r="K346" s="9" t="s">
        <v>209</v>
      </c>
      <c r="L346" s="8"/>
      <c r="M346" s="8"/>
      <c r="N346" s="8"/>
      <c r="O346" s="8" t="s">
        <v>1143</v>
      </c>
      <c r="P346" s="10" t="n">
        <f aca="false">IF($H346="숙박",0,IF($H346=MID(P$1,3,20),IF($I346="",1,0.6),IF($I346=MID(P$1,3,20),0.4,0)))</f>
        <v>0</v>
      </c>
      <c r="Q346" s="10" t="n">
        <f aca="false">IF($H346="숙박",0,IF($H346=MID(Q$1,3,20),IF($I346="",1,0.6),IF($I346=MID(Q$1,3,20),0.4,0)))</f>
        <v>0</v>
      </c>
      <c r="R346" s="10" t="n">
        <f aca="false">IF($H346="숙박",0,IF($H346=MID(R$1,3,20),IF($I346="",1,0.6),IF($I346=MID(R$1,3,20),0.4,0)))</f>
        <v>0</v>
      </c>
      <c r="S346" s="10" t="n">
        <f aca="false">IF($H346="숙박",0,IF($H346=MID(S$1,3,20),IF($I346="",1,0.6),IF($I346=MID(S$1,3,20),0.4,0)))</f>
        <v>1</v>
      </c>
      <c r="T346" s="10" t="n">
        <f aca="false">IF($H346="숙박",0,IF($H346=MID(T$1,3,20),IF($I346="",1,0.6),IF($I346=MID(T$1,3,20),0.4,0)))</f>
        <v>0</v>
      </c>
      <c r="U346" s="10" t="n">
        <f aca="false">IF($H346="숙박",0,IF(ISNUMBER(SEARCH("야경",$J346)),1,0))</f>
        <v>0</v>
      </c>
      <c r="V346" s="10" t="n">
        <f aca="false">IF($H346="숙박",0,1)</f>
        <v>1</v>
      </c>
    </row>
    <row r="347" customFormat="false" ht="15" hidden="false" customHeight="false" outlineLevel="0" collapsed="false">
      <c r="A347" s="8" t="n">
        <v>346</v>
      </c>
      <c r="B347" s="8" t="s">
        <v>62</v>
      </c>
      <c r="C347" s="8"/>
      <c r="D347" s="8" t="s">
        <v>1144</v>
      </c>
      <c r="E347" s="7" t="s">
        <v>1145</v>
      </c>
      <c r="F347" s="8" t="s">
        <v>48</v>
      </c>
      <c r="G347" s="8" t="s">
        <v>190</v>
      </c>
      <c r="H347" s="9" t="s">
        <v>190</v>
      </c>
      <c r="I347" s="9"/>
      <c r="J347" s="9" t="s">
        <v>479</v>
      </c>
      <c r="K347" s="9" t="s">
        <v>191</v>
      </c>
      <c r="L347" s="8"/>
      <c r="M347" s="8"/>
      <c r="N347" s="8"/>
      <c r="O347" s="8" t="s">
        <v>1146</v>
      </c>
      <c r="P347" s="10" t="n">
        <f aca="false">IF($H347="숙박",0,IF($H347=MID(P$1,3,20),IF($I347="",1,0.6),IF($I347=MID(P$1,3,20),0.4,0)))</f>
        <v>1</v>
      </c>
      <c r="Q347" s="10" t="n">
        <f aca="false">IF($H347="숙박",0,IF($H347=MID(Q$1,3,20),IF($I347="",1,0.6),IF($I347=MID(Q$1,3,20),0.4,0)))</f>
        <v>0</v>
      </c>
      <c r="R347" s="10" t="n">
        <f aca="false">IF($H347="숙박",0,IF($H347=MID(R$1,3,20),IF($I347="",1,0.6),IF($I347=MID(R$1,3,20),0.4,0)))</f>
        <v>0</v>
      </c>
      <c r="S347" s="10" t="n">
        <f aca="false">IF($H347="숙박",0,IF($H347=MID(S$1,3,20),IF($I347="",1,0.6),IF($I347=MID(S$1,3,20),0.4,0)))</f>
        <v>0</v>
      </c>
      <c r="T347" s="10" t="n">
        <f aca="false">IF($H347="숙박",0,IF($H347=MID(T$1,3,20),IF($I347="",1,0.6),IF($I347=MID(T$1,3,20),0.4,0)))</f>
        <v>0</v>
      </c>
      <c r="U347" s="10" t="n">
        <f aca="false">IF($H347="숙박",0,IF(ISNUMBER(SEARCH("야경",$J347)),1,0))</f>
        <v>0</v>
      </c>
      <c r="V347" s="10" t="n">
        <f aca="false">IF($H347="숙박",0,1)</f>
        <v>1</v>
      </c>
    </row>
    <row r="348" customFormat="false" ht="15" hidden="false" customHeight="false" outlineLevel="0" collapsed="false">
      <c r="A348" s="8" t="n">
        <v>347</v>
      </c>
      <c r="B348" s="8" t="s">
        <v>45</v>
      </c>
      <c r="C348" s="8"/>
      <c r="D348" s="8" t="s">
        <v>1147</v>
      </c>
      <c r="E348" s="7" t="s">
        <v>1148</v>
      </c>
      <c r="F348" s="8" t="s">
        <v>48</v>
      </c>
      <c r="G348" s="8" t="s">
        <v>190</v>
      </c>
      <c r="H348" s="9" t="s">
        <v>190</v>
      </c>
      <c r="I348" s="9"/>
      <c r="J348" s="9" t="s">
        <v>523</v>
      </c>
      <c r="K348" s="9" t="s">
        <v>52</v>
      </c>
      <c r="L348" s="8"/>
      <c r="M348" s="8"/>
      <c r="N348" s="8"/>
      <c r="O348" s="8" t="s">
        <v>1149</v>
      </c>
      <c r="P348" s="10" t="n">
        <f aca="false">IF($H348="숙박",0,IF($H348=MID(P$1,3,20),IF($I348="",1,0.6),IF($I348=MID(P$1,3,20),0.4,0)))</f>
        <v>1</v>
      </c>
      <c r="Q348" s="10" t="n">
        <f aca="false">IF($H348="숙박",0,IF($H348=MID(Q$1,3,20),IF($I348="",1,0.6),IF($I348=MID(Q$1,3,20),0.4,0)))</f>
        <v>0</v>
      </c>
      <c r="R348" s="10" t="n">
        <f aca="false">IF($H348="숙박",0,IF($H348=MID(R$1,3,20),IF($I348="",1,0.6),IF($I348=MID(R$1,3,20),0.4,0)))</f>
        <v>0</v>
      </c>
      <c r="S348" s="10" t="n">
        <f aca="false">IF($H348="숙박",0,IF($H348=MID(S$1,3,20),IF($I348="",1,0.6),IF($I348=MID(S$1,3,20),0.4,0)))</f>
        <v>0</v>
      </c>
      <c r="T348" s="10" t="n">
        <f aca="false">IF($H348="숙박",0,IF($H348=MID(T$1,3,20),IF($I348="",1,0.6),IF($I348=MID(T$1,3,20),0.4,0)))</f>
        <v>0</v>
      </c>
      <c r="U348" s="10" t="n">
        <f aca="false">IF($H348="숙박",0,IF(ISNUMBER(SEARCH("야경",$J348)),1,0))</f>
        <v>0</v>
      </c>
      <c r="V348" s="10" t="n">
        <f aca="false">IF($H348="숙박",0,1)</f>
        <v>1</v>
      </c>
    </row>
    <row r="349" customFormat="false" ht="15" hidden="false" customHeight="false" outlineLevel="0" collapsed="false">
      <c r="A349" s="8" t="n">
        <v>348</v>
      </c>
      <c r="B349" s="8" t="s">
        <v>45</v>
      </c>
      <c r="C349" s="8"/>
      <c r="D349" s="8" t="s">
        <v>1150</v>
      </c>
      <c r="E349" s="7" t="s">
        <v>1151</v>
      </c>
      <c r="F349" s="8" t="s">
        <v>48</v>
      </c>
      <c r="G349" s="8" t="s">
        <v>184</v>
      </c>
      <c r="H349" s="9" t="s">
        <v>184</v>
      </c>
      <c r="I349" s="9" t="s">
        <v>190</v>
      </c>
      <c r="J349" s="9" t="s">
        <v>523</v>
      </c>
      <c r="K349" s="9" t="s">
        <v>191</v>
      </c>
      <c r="L349" s="8"/>
      <c r="M349" s="8"/>
      <c r="N349" s="8" t="s">
        <v>483</v>
      </c>
      <c r="O349" s="8" t="s">
        <v>1152</v>
      </c>
      <c r="P349" s="10" t="n">
        <f aca="false">IF($H349="숙박",0,IF($H349=MID(P$1,3,20),IF($I349="",1,0.6),IF($I349=MID(P$1,3,20),0.4,0)))</f>
        <v>0.4</v>
      </c>
      <c r="Q349" s="10" t="n">
        <f aca="false">IF($H349="숙박",0,IF($H349=MID(Q$1,3,20),IF($I349="",1,0.6),IF($I349=MID(Q$1,3,20),0.4,0)))</f>
        <v>0</v>
      </c>
      <c r="R349" s="10" t="n">
        <f aca="false">IF($H349="숙박",0,IF($H349=MID(R$1,3,20),IF($I349="",1,0.6),IF($I349=MID(R$1,3,20),0.4,0)))</f>
        <v>0.6</v>
      </c>
      <c r="S349" s="10" t="n">
        <f aca="false">IF($H349="숙박",0,IF($H349=MID(S$1,3,20),IF($I349="",1,0.6),IF($I349=MID(S$1,3,20),0.4,0)))</f>
        <v>0</v>
      </c>
      <c r="T349" s="10" t="n">
        <f aca="false">IF($H349="숙박",0,IF($H349=MID(T$1,3,20),IF($I349="",1,0.6),IF($I349=MID(T$1,3,20),0.4,0)))</f>
        <v>0</v>
      </c>
      <c r="U349" s="10" t="n">
        <f aca="false">IF($H349="숙박",0,IF(ISNUMBER(SEARCH("야경",$J349)),1,0))</f>
        <v>0</v>
      </c>
      <c r="V349" s="10" t="n">
        <f aca="false">IF($H349="숙박",0,1)</f>
        <v>1</v>
      </c>
    </row>
    <row r="350" customFormat="false" ht="15" hidden="false" customHeight="false" outlineLevel="0" collapsed="false">
      <c r="A350" s="8" t="n">
        <v>349</v>
      </c>
      <c r="B350" s="8" t="s">
        <v>45</v>
      </c>
      <c r="C350" s="8"/>
      <c r="D350" s="8" t="s">
        <v>1153</v>
      </c>
      <c r="E350" s="7" t="s">
        <v>1154</v>
      </c>
      <c r="F350" s="8" t="s">
        <v>48</v>
      </c>
      <c r="G350" s="8" t="s">
        <v>184</v>
      </c>
      <c r="H350" s="9" t="s">
        <v>184</v>
      </c>
      <c r="I350" s="9" t="s">
        <v>190</v>
      </c>
      <c r="J350" s="9" t="s">
        <v>523</v>
      </c>
      <c r="K350" s="9" t="s">
        <v>52</v>
      </c>
      <c r="L350" s="8"/>
      <c r="M350" s="8"/>
      <c r="N350" s="8" t="s">
        <v>483</v>
      </c>
      <c r="O350" s="8" t="s">
        <v>1155</v>
      </c>
      <c r="P350" s="10" t="n">
        <f aca="false">IF($H350="숙박",0,IF($H350=MID(P$1,3,20),IF($I350="",1,0.6),IF($I350=MID(P$1,3,20),0.4,0)))</f>
        <v>0.4</v>
      </c>
      <c r="Q350" s="10" t="n">
        <f aca="false">IF($H350="숙박",0,IF($H350=MID(Q$1,3,20),IF($I350="",1,0.6),IF($I350=MID(Q$1,3,20),0.4,0)))</f>
        <v>0</v>
      </c>
      <c r="R350" s="10" t="n">
        <f aca="false">IF($H350="숙박",0,IF($H350=MID(R$1,3,20),IF($I350="",1,0.6),IF($I350=MID(R$1,3,20),0.4,0)))</f>
        <v>0.6</v>
      </c>
      <c r="S350" s="10" t="n">
        <f aca="false">IF($H350="숙박",0,IF($H350=MID(S$1,3,20),IF($I350="",1,0.6),IF($I350=MID(S$1,3,20),0.4,0)))</f>
        <v>0</v>
      </c>
      <c r="T350" s="10" t="n">
        <f aca="false">IF($H350="숙박",0,IF($H350=MID(T$1,3,20),IF($I350="",1,0.6),IF($I350=MID(T$1,3,20),0.4,0)))</f>
        <v>0</v>
      </c>
      <c r="U350" s="10" t="n">
        <f aca="false">IF($H350="숙박",0,IF(ISNUMBER(SEARCH("야경",$J350)),1,0))</f>
        <v>0</v>
      </c>
      <c r="V350" s="10" t="n">
        <f aca="false">IF($H350="숙박",0,1)</f>
        <v>1</v>
      </c>
    </row>
    <row r="351" customFormat="false" ht="15" hidden="false" customHeight="false" outlineLevel="0" collapsed="false">
      <c r="A351" s="8" t="n">
        <v>350</v>
      </c>
      <c r="B351" s="8" t="s">
        <v>45</v>
      </c>
      <c r="C351" s="8"/>
      <c r="D351" s="8" t="s">
        <v>1156</v>
      </c>
      <c r="E351" s="7" t="s">
        <v>1157</v>
      </c>
      <c r="F351" s="8" t="s">
        <v>199</v>
      </c>
      <c r="G351" s="8" t="s">
        <v>190</v>
      </c>
      <c r="H351" s="9" t="s">
        <v>190</v>
      </c>
      <c r="I351" s="9"/>
      <c r="J351" s="9" t="s">
        <v>479</v>
      </c>
      <c r="K351" s="9" t="s">
        <v>191</v>
      </c>
      <c r="L351" s="8"/>
      <c r="M351" s="8"/>
      <c r="N351" s="8"/>
      <c r="O351" s="8" t="s">
        <v>1158</v>
      </c>
      <c r="P351" s="10" t="n">
        <f aca="false">IF($H351="숙박",0,IF($H351=MID(P$1,3,20),IF($I351="",1,0.6),IF($I351=MID(P$1,3,20),0.4,0)))</f>
        <v>1</v>
      </c>
      <c r="Q351" s="10" t="n">
        <f aca="false">IF($H351="숙박",0,IF($H351=MID(Q$1,3,20),IF($I351="",1,0.6),IF($I351=MID(Q$1,3,20),0.4,0)))</f>
        <v>0</v>
      </c>
      <c r="R351" s="10" t="n">
        <f aca="false">IF($H351="숙박",0,IF($H351=MID(R$1,3,20),IF($I351="",1,0.6),IF($I351=MID(R$1,3,20),0.4,0)))</f>
        <v>0</v>
      </c>
      <c r="S351" s="10" t="n">
        <f aca="false">IF($H351="숙박",0,IF($H351=MID(S$1,3,20),IF($I351="",1,0.6),IF($I351=MID(S$1,3,20),0.4,0)))</f>
        <v>0</v>
      </c>
      <c r="T351" s="10" t="n">
        <f aca="false">IF($H351="숙박",0,IF($H351=MID(T$1,3,20),IF($I351="",1,0.6),IF($I351=MID(T$1,3,20),0.4,0)))</f>
        <v>0</v>
      </c>
      <c r="U351" s="10" t="n">
        <f aca="false">IF($H351="숙박",0,IF(ISNUMBER(SEARCH("야경",$J351)),1,0))</f>
        <v>0</v>
      </c>
      <c r="V351" s="10" t="n">
        <f aca="false">IF($H351="숙박",0,1)</f>
        <v>1</v>
      </c>
    </row>
    <row r="352" customFormat="false" ht="15" hidden="false" customHeight="false" outlineLevel="0" collapsed="false">
      <c r="A352" s="8" t="n">
        <v>351</v>
      </c>
      <c r="B352" s="8" t="s">
        <v>45</v>
      </c>
      <c r="C352" s="8"/>
      <c r="D352" s="8" t="s">
        <v>1159</v>
      </c>
      <c r="E352" s="7" t="s">
        <v>1160</v>
      </c>
      <c r="F352" s="8" t="s">
        <v>199</v>
      </c>
      <c r="G352" s="8" t="s">
        <v>190</v>
      </c>
      <c r="H352" s="9" t="s">
        <v>190</v>
      </c>
      <c r="I352" s="9"/>
      <c r="J352" s="9" t="s">
        <v>479</v>
      </c>
      <c r="K352" s="9" t="s">
        <v>191</v>
      </c>
      <c r="L352" s="8"/>
      <c r="M352" s="8"/>
      <c r="N352" s="8"/>
      <c r="O352" s="8" t="s">
        <v>1161</v>
      </c>
      <c r="P352" s="10" t="n">
        <f aca="false">IF($H352="숙박",0,IF($H352=MID(P$1,3,20),IF($I352="",1,0.6),IF($I352=MID(P$1,3,20),0.4,0)))</f>
        <v>1</v>
      </c>
      <c r="Q352" s="10" t="n">
        <f aca="false">IF($H352="숙박",0,IF($H352=MID(Q$1,3,20),IF($I352="",1,0.6),IF($I352=MID(Q$1,3,20),0.4,0)))</f>
        <v>0</v>
      </c>
      <c r="R352" s="10" t="n">
        <f aca="false">IF($H352="숙박",0,IF($H352=MID(R$1,3,20),IF($I352="",1,0.6),IF($I352=MID(R$1,3,20),0.4,0)))</f>
        <v>0</v>
      </c>
      <c r="S352" s="10" t="n">
        <f aca="false">IF($H352="숙박",0,IF($H352=MID(S$1,3,20),IF($I352="",1,0.6),IF($I352=MID(S$1,3,20),0.4,0)))</f>
        <v>0</v>
      </c>
      <c r="T352" s="10" t="n">
        <f aca="false">IF($H352="숙박",0,IF($H352=MID(T$1,3,20),IF($I352="",1,0.6),IF($I352=MID(T$1,3,20),0.4,0)))</f>
        <v>0</v>
      </c>
      <c r="U352" s="10" t="n">
        <f aca="false">IF($H352="숙박",0,IF(ISNUMBER(SEARCH("야경",$J352)),1,0))</f>
        <v>0</v>
      </c>
      <c r="V352" s="10" t="n">
        <f aca="false">IF($H352="숙박",0,1)</f>
        <v>1</v>
      </c>
    </row>
    <row r="353" customFormat="false" ht="15" hidden="false" customHeight="false" outlineLevel="0" collapsed="false">
      <c r="A353" s="8" t="n">
        <v>352</v>
      </c>
      <c r="B353" s="8" t="s">
        <v>45</v>
      </c>
      <c r="C353" s="8"/>
      <c r="D353" s="8" t="s">
        <v>1162</v>
      </c>
      <c r="E353" s="7" t="s">
        <v>1163</v>
      </c>
      <c r="F353" s="8" t="s">
        <v>59</v>
      </c>
      <c r="G353" s="8" t="s">
        <v>49</v>
      </c>
      <c r="H353" s="9" t="s">
        <v>49</v>
      </c>
      <c r="I353" s="9" t="s">
        <v>190</v>
      </c>
      <c r="J353" s="9" t="s">
        <v>479</v>
      </c>
      <c r="K353" s="9" t="s">
        <v>52</v>
      </c>
      <c r="L353" s="8"/>
      <c r="M353" s="8"/>
      <c r="N353" s="8" t="s">
        <v>483</v>
      </c>
      <c r="O353" s="8" t="s">
        <v>1164</v>
      </c>
      <c r="P353" s="10" t="n">
        <f aca="false">IF($H353="숙박",0,IF($H353=MID(P$1,3,20),IF($I353="",1,0.6),IF($I353=MID(P$1,3,20),0.4,0)))</f>
        <v>0.4</v>
      </c>
      <c r="Q353" s="10" t="n">
        <f aca="false">IF($H353="숙박",0,IF($H353=MID(Q$1,3,20),IF($I353="",1,0.6),IF($I353=MID(Q$1,3,20),0.4,0)))</f>
        <v>0.6</v>
      </c>
      <c r="R353" s="10" t="n">
        <f aca="false">IF($H353="숙박",0,IF($H353=MID(R$1,3,20),IF($I353="",1,0.6),IF($I353=MID(R$1,3,20),0.4,0)))</f>
        <v>0</v>
      </c>
      <c r="S353" s="10" t="n">
        <f aca="false">IF($H353="숙박",0,IF($H353=MID(S$1,3,20),IF($I353="",1,0.6),IF($I353=MID(S$1,3,20),0.4,0)))</f>
        <v>0</v>
      </c>
      <c r="T353" s="10" t="n">
        <f aca="false">IF($H353="숙박",0,IF($H353=MID(T$1,3,20),IF($I353="",1,0.6),IF($I353=MID(T$1,3,20),0.4,0)))</f>
        <v>0</v>
      </c>
      <c r="U353" s="10" t="n">
        <f aca="false">IF($H353="숙박",0,IF(ISNUMBER(SEARCH("야경",$J353)),1,0))</f>
        <v>0</v>
      </c>
      <c r="V353" s="10" t="n">
        <f aca="false">IF($H353="숙박",0,1)</f>
        <v>1</v>
      </c>
    </row>
    <row r="354" customFormat="false" ht="15" hidden="false" customHeight="false" outlineLevel="0" collapsed="false">
      <c r="A354" s="8" t="n">
        <v>353</v>
      </c>
      <c r="B354" s="8" t="s">
        <v>45</v>
      </c>
      <c r="C354" s="8"/>
      <c r="D354" s="8" t="s">
        <v>1165</v>
      </c>
      <c r="E354" s="7" t="s">
        <v>1166</v>
      </c>
      <c r="F354" s="7" t="s">
        <v>189</v>
      </c>
      <c r="G354" s="8" t="s">
        <v>216</v>
      </c>
      <c r="H354" s="9" t="s">
        <v>216</v>
      </c>
      <c r="I354" s="9"/>
      <c r="J354" s="9" t="s">
        <v>509</v>
      </c>
      <c r="K354" s="9" t="s">
        <v>191</v>
      </c>
      <c r="L354" s="8"/>
      <c r="M354" s="8"/>
      <c r="N354" s="8"/>
      <c r="O354" s="8" t="s">
        <v>1167</v>
      </c>
      <c r="P354" s="10" t="n">
        <f aca="false">IF($H354="숙박",0,IF($H354=MID(P$1,3,20),IF($I354="",1,0.6),IF($I354=MID(P$1,3,20),0.4,0)))</f>
        <v>0</v>
      </c>
      <c r="Q354" s="10" t="n">
        <f aca="false">IF($H354="숙박",0,IF($H354=MID(Q$1,3,20),IF($I354="",1,0.6),IF($I354=MID(Q$1,3,20),0.4,0)))</f>
        <v>0</v>
      </c>
      <c r="R354" s="10" t="n">
        <f aca="false">IF($H354="숙박",0,IF($H354=MID(R$1,3,20),IF($I354="",1,0.6),IF($I354=MID(R$1,3,20),0.4,0)))</f>
        <v>0</v>
      </c>
      <c r="S354" s="10" t="n">
        <f aca="false">IF($H354="숙박",0,IF($H354=MID(S$1,3,20),IF($I354="",1,0.6),IF($I354=MID(S$1,3,20),0.4,0)))</f>
        <v>1</v>
      </c>
      <c r="T354" s="10" t="n">
        <f aca="false">IF($H354="숙박",0,IF($H354=MID(T$1,3,20),IF($I354="",1,0.6),IF($I354=MID(T$1,3,20),0.4,0)))</f>
        <v>0</v>
      </c>
      <c r="U354" s="10" t="n">
        <f aca="false">IF($H354="숙박",0,IF(ISNUMBER(SEARCH("야경",$J354)),1,0))</f>
        <v>1</v>
      </c>
      <c r="V354" s="10" t="n">
        <f aca="false">IF($H354="숙박",0,1)</f>
        <v>1</v>
      </c>
    </row>
    <row r="355" customFormat="false" ht="15" hidden="false" customHeight="false" outlineLevel="0" collapsed="false">
      <c r="A355" s="8" t="n">
        <v>354</v>
      </c>
      <c r="B355" s="8" t="s">
        <v>511</v>
      </c>
      <c r="C355" s="8"/>
      <c r="D355" s="8" t="s">
        <v>1168</v>
      </c>
      <c r="E355" s="7" t="s">
        <v>1169</v>
      </c>
      <c r="F355" s="7" t="s">
        <v>189</v>
      </c>
      <c r="G355" s="8" t="s">
        <v>190</v>
      </c>
      <c r="H355" s="9" t="s">
        <v>190</v>
      </c>
      <c r="I355" s="9"/>
      <c r="J355" s="9" t="s">
        <v>479</v>
      </c>
      <c r="K355" s="9" t="s">
        <v>191</v>
      </c>
      <c r="L355" s="8"/>
      <c r="M355" s="8"/>
      <c r="N355" s="8"/>
      <c r="O355" s="8" t="s">
        <v>1170</v>
      </c>
      <c r="P355" s="10" t="n">
        <f aca="false">IF($H355="숙박",0,IF($H355=MID(P$1,3,20),IF($I355="",1,0.6),IF($I355=MID(P$1,3,20),0.4,0)))</f>
        <v>1</v>
      </c>
      <c r="Q355" s="10" t="n">
        <f aca="false">IF($H355="숙박",0,IF($H355=MID(Q$1,3,20),IF($I355="",1,0.6),IF($I355=MID(Q$1,3,20),0.4,0)))</f>
        <v>0</v>
      </c>
      <c r="R355" s="10" t="n">
        <f aca="false">IF($H355="숙박",0,IF($H355=MID(R$1,3,20),IF($I355="",1,0.6),IF($I355=MID(R$1,3,20),0.4,0)))</f>
        <v>0</v>
      </c>
      <c r="S355" s="10" t="n">
        <f aca="false">IF($H355="숙박",0,IF($H355=MID(S$1,3,20),IF($I355="",1,0.6),IF($I355=MID(S$1,3,20),0.4,0)))</f>
        <v>0</v>
      </c>
      <c r="T355" s="10" t="n">
        <f aca="false">IF($H355="숙박",0,IF($H355=MID(T$1,3,20),IF($I355="",1,0.6),IF($I355=MID(T$1,3,20),0.4,0)))</f>
        <v>0</v>
      </c>
      <c r="U355" s="10" t="n">
        <f aca="false">IF($H355="숙박",0,IF(ISNUMBER(SEARCH("야경",$J355)),1,0))</f>
        <v>0</v>
      </c>
      <c r="V355" s="10" t="n">
        <f aca="false">IF($H355="숙박",0,1)</f>
        <v>1</v>
      </c>
    </row>
    <row r="356" customFormat="false" ht="15" hidden="false" customHeight="false" outlineLevel="0" collapsed="false">
      <c r="A356" s="8" t="n">
        <v>355</v>
      </c>
      <c r="B356" s="8" t="s">
        <v>45</v>
      </c>
      <c r="C356" s="8"/>
      <c r="D356" s="8" t="s">
        <v>1171</v>
      </c>
      <c r="E356" s="7" t="s">
        <v>1172</v>
      </c>
      <c r="F356" s="8" t="s">
        <v>48</v>
      </c>
      <c r="G356" s="8" t="s">
        <v>184</v>
      </c>
      <c r="H356" s="9" t="s">
        <v>184</v>
      </c>
      <c r="I356" s="9" t="s">
        <v>50</v>
      </c>
      <c r="J356" s="9" t="s">
        <v>51</v>
      </c>
      <c r="K356" s="9" t="s">
        <v>191</v>
      </c>
      <c r="L356" s="8"/>
      <c r="M356" s="8"/>
      <c r="N356" s="8" t="s">
        <v>185</v>
      </c>
      <c r="O356" s="8" t="s">
        <v>1173</v>
      </c>
      <c r="P356" s="10" t="n">
        <f aca="false">IF($H356="숙박",0,IF($H356=MID(P$1,3,20),IF($I356="",1,0.6),IF($I356=MID(P$1,3,20),0.4,0)))</f>
        <v>0</v>
      </c>
      <c r="Q356" s="10" t="n">
        <f aca="false">IF($H356="숙박",0,IF($H356=MID(Q$1,3,20),IF($I356="",1,0.6),IF($I356=MID(Q$1,3,20),0.4,0)))</f>
        <v>0</v>
      </c>
      <c r="R356" s="10" t="n">
        <f aca="false">IF($H356="숙박",0,IF($H356=MID(R$1,3,20),IF($I356="",1,0.6),IF($I356=MID(R$1,3,20),0.4,0)))</f>
        <v>0.6</v>
      </c>
      <c r="S356" s="10" t="n">
        <f aca="false">IF($H356="숙박",0,IF($H356=MID(S$1,3,20),IF($I356="",1,0.6),IF($I356=MID(S$1,3,20),0.4,0)))</f>
        <v>0</v>
      </c>
      <c r="T356" s="10" t="n">
        <f aca="false">IF($H356="숙박",0,IF($H356=MID(T$1,3,20),IF($I356="",1,0.6),IF($I356=MID(T$1,3,20),0.4,0)))</f>
        <v>0.4</v>
      </c>
      <c r="U356" s="10" t="n">
        <f aca="false">IF($H356="숙박",0,IF(ISNUMBER(SEARCH("야경",$J356)),1,0))</f>
        <v>0</v>
      </c>
      <c r="V356" s="10" t="n">
        <f aca="false">IF($H356="숙박",0,1)</f>
        <v>1</v>
      </c>
    </row>
    <row r="357" customFormat="false" ht="15" hidden="false" customHeight="false" outlineLevel="0" collapsed="false">
      <c r="A357" s="8" t="n">
        <v>356</v>
      </c>
      <c r="B357" s="8" t="s">
        <v>45</v>
      </c>
      <c r="C357" s="8"/>
      <c r="D357" s="8" t="s">
        <v>1174</v>
      </c>
      <c r="E357" s="7" t="s">
        <v>1175</v>
      </c>
      <c r="F357" s="8" t="s">
        <v>199</v>
      </c>
      <c r="G357" s="8" t="s">
        <v>190</v>
      </c>
      <c r="H357" s="9" t="s">
        <v>190</v>
      </c>
      <c r="I357" s="9" t="s">
        <v>49</v>
      </c>
      <c r="J357" s="9" t="s">
        <v>479</v>
      </c>
      <c r="K357" s="9" t="s">
        <v>52</v>
      </c>
      <c r="L357" s="8"/>
      <c r="M357" s="8"/>
      <c r="N357" s="8" t="s">
        <v>483</v>
      </c>
      <c r="O357" s="8" t="s">
        <v>1176</v>
      </c>
      <c r="P357" s="10" t="n">
        <f aca="false">IF($H357="숙박",0,IF($H357=MID(P$1,3,20),IF($I357="",1,0.6),IF($I357=MID(P$1,3,20),0.4,0)))</f>
        <v>0.6</v>
      </c>
      <c r="Q357" s="10" t="n">
        <f aca="false">IF($H357="숙박",0,IF($H357=MID(Q$1,3,20),IF($I357="",1,0.6),IF($I357=MID(Q$1,3,20),0.4,0)))</f>
        <v>0.4</v>
      </c>
      <c r="R357" s="10" t="n">
        <f aca="false">IF($H357="숙박",0,IF($H357=MID(R$1,3,20),IF($I357="",1,0.6),IF($I357=MID(R$1,3,20),0.4,0)))</f>
        <v>0</v>
      </c>
      <c r="S357" s="10" t="n">
        <f aca="false">IF($H357="숙박",0,IF($H357=MID(S$1,3,20),IF($I357="",1,0.6),IF($I357=MID(S$1,3,20),0.4,0)))</f>
        <v>0</v>
      </c>
      <c r="T357" s="10" t="n">
        <f aca="false">IF($H357="숙박",0,IF($H357=MID(T$1,3,20),IF($I357="",1,0.6),IF($I357=MID(T$1,3,20),0.4,0)))</f>
        <v>0</v>
      </c>
      <c r="U357" s="10" t="n">
        <f aca="false">IF($H357="숙박",0,IF(ISNUMBER(SEARCH("야경",$J357)),1,0))</f>
        <v>0</v>
      </c>
      <c r="V357" s="10" t="n">
        <f aca="false">IF($H357="숙박",0,1)</f>
        <v>1</v>
      </c>
    </row>
    <row r="358" customFormat="false" ht="15" hidden="false" customHeight="false" outlineLevel="0" collapsed="false">
      <c r="A358" s="8" t="n">
        <v>357</v>
      </c>
      <c r="B358" s="8" t="s">
        <v>45</v>
      </c>
      <c r="C358" s="8"/>
      <c r="D358" s="8" t="s">
        <v>1177</v>
      </c>
      <c r="E358" s="7" t="s">
        <v>1178</v>
      </c>
      <c r="F358" s="8" t="s">
        <v>199</v>
      </c>
      <c r="G358" s="8" t="s">
        <v>190</v>
      </c>
      <c r="H358" s="9" t="s">
        <v>190</v>
      </c>
      <c r="I358" s="9"/>
      <c r="J358" s="9" t="s">
        <v>479</v>
      </c>
      <c r="K358" s="9" t="s">
        <v>191</v>
      </c>
      <c r="L358" s="8"/>
      <c r="M358" s="8"/>
      <c r="N358" s="8"/>
      <c r="O358" s="8" t="s">
        <v>1179</v>
      </c>
      <c r="P358" s="10" t="n">
        <f aca="false">IF($H358="숙박",0,IF($H358=MID(P$1,3,20),IF($I358="",1,0.6),IF($I358=MID(P$1,3,20),0.4,0)))</f>
        <v>1</v>
      </c>
      <c r="Q358" s="10" t="n">
        <f aca="false">IF($H358="숙박",0,IF($H358=MID(Q$1,3,20),IF($I358="",1,0.6),IF($I358=MID(Q$1,3,20),0.4,0)))</f>
        <v>0</v>
      </c>
      <c r="R358" s="10" t="n">
        <f aca="false">IF($H358="숙박",0,IF($H358=MID(R$1,3,20),IF($I358="",1,0.6),IF($I358=MID(R$1,3,20),0.4,0)))</f>
        <v>0</v>
      </c>
      <c r="S358" s="10" t="n">
        <f aca="false">IF($H358="숙박",0,IF($H358=MID(S$1,3,20),IF($I358="",1,0.6),IF($I358=MID(S$1,3,20),0.4,0)))</f>
        <v>0</v>
      </c>
      <c r="T358" s="10" t="n">
        <f aca="false">IF($H358="숙박",0,IF($H358=MID(T$1,3,20),IF($I358="",1,0.6),IF($I358=MID(T$1,3,20),0.4,0)))</f>
        <v>0</v>
      </c>
      <c r="U358" s="10" t="n">
        <f aca="false">IF($H358="숙박",0,IF(ISNUMBER(SEARCH("야경",$J358)),1,0))</f>
        <v>0</v>
      </c>
      <c r="V358" s="10" t="n">
        <f aca="false">IF($H358="숙박",0,1)</f>
        <v>1</v>
      </c>
    </row>
    <row r="359" customFormat="false" ht="15" hidden="false" customHeight="false" outlineLevel="0" collapsed="false">
      <c r="A359" s="8" t="n">
        <v>358</v>
      </c>
      <c r="B359" s="8" t="s">
        <v>45</v>
      </c>
      <c r="C359" s="8" t="s">
        <v>688</v>
      </c>
      <c r="D359" s="8" t="s">
        <v>1180</v>
      </c>
      <c r="E359" s="7" t="s">
        <v>1181</v>
      </c>
      <c r="F359" s="7" t="s">
        <v>189</v>
      </c>
      <c r="G359" s="8" t="s">
        <v>49</v>
      </c>
      <c r="H359" s="9" t="s">
        <v>49</v>
      </c>
      <c r="I359" s="9"/>
      <c r="J359" s="9" t="s">
        <v>479</v>
      </c>
      <c r="K359" s="9" t="s">
        <v>52</v>
      </c>
      <c r="L359" s="8"/>
      <c r="M359" s="8"/>
      <c r="N359" s="8"/>
      <c r="O359" s="8" t="s">
        <v>1182</v>
      </c>
      <c r="P359" s="10" t="n">
        <f aca="false">IF($H359="숙박",0,IF($H359=MID(P$1,3,20),IF($I359="",1,0.6),IF($I359=MID(P$1,3,20),0.4,0)))</f>
        <v>0</v>
      </c>
      <c r="Q359" s="10" t="n">
        <f aca="false">IF($H359="숙박",0,IF($H359=MID(Q$1,3,20),IF($I359="",1,0.6),IF($I359=MID(Q$1,3,20),0.4,0)))</f>
        <v>1</v>
      </c>
      <c r="R359" s="10" t="n">
        <f aca="false">IF($H359="숙박",0,IF($H359=MID(R$1,3,20),IF($I359="",1,0.6),IF($I359=MID(R$1,3,20),0.4,0)))</f>
        <v>0</v>
      </c>
      <c r="S359" s="10" t="n">
        <f aca="false">IF($H359="숙박",0,IF($H359=MID(S$1,3,20),IF($I359="",1,0.6),IF($I359=MID(S$1,3,20),0.4,0)))</f>
        <v>0</v>
      </c>
      <c r="T359" s="10" t="n">
        <f aca="false">IF($H359="숙박",0,IF($H359=MID(T$1,3,20),IF($I359="",1,0.6),IF($I359=MID(T$1,3,20),0.4,0)))</f>
        <v>0</v>
      </c>
      <c r="U359" s="10" t="n">
        <f aca="false">IF($H359="숙박",0,IF(ISNUMBER(SEARCH("야경",$J359)),1,0))</f>
        <v>0</v>
      </c>
      <c r="V359" s="10" t="n">
        <f aca="false">IF($H359="숙박",0,1)</f>
        <v>1</v>
      </c>
    </row>
    <row r="360" customFormat="false" ht="15" hidden="false" customHeight="false" outlineLevel="0" collapsed="false">
      <c r="A360" s="8" t="n">
        <v>359</v>
      </c>
      <c r="B360" s="8" t="s">
        <v>45</v>
      </c>
      <c r="C360" s="8"/>
      <c r="D360" s="8" t="s">
        <v>1183</v>
      </c>
      <c r="E360" s="7" t="s">
        <v>1184</v>
      </c>
      <c r="F360" s="7" t="s">
        <v>189</v>
      </c>
      <c r="G360" s="8" t="s">
        <v>190</v>
      </c>
      <c r="H360" s="9" t="s">
        <v>190</v>
      </c>
      <c r="I360" s="9"/>
      <c r="J360" s="9" t="s">
        <v>479</v>
      </c>
      <c r="K360" s="9" t="s">
        <v>191</v>
      </c>
      <c r="L360" s="8"/>
      <c r="M360" s="8"/>
      <c r="N360" s="8"/>
      <c r="O360" s="8" t="s">
        <v>1185</v>
      </c>
      <c r="P360" s="10" t="n">
        <f aca="false">IF($H360="숙박",0,IF($H360=MID(P$1,3,20),IF($I360="",1,0.6),IF($I360=MID(P$1,3,20),0.4,0)))</f>
        <v>1</v>
      </c>
      <c r="Q360" s="10" t="n">
        <f aca="false">IF($H360="숙박",0,IF($H360=MID(Q$1,3,20),IF($I360="",1,0.6),IF($I360=MID(Q$1,3,20),0.4,0)))</f>
        <v>0</v>
      </c>
      <c r="R360" s="10" t="n">
        <f aca="false">IF($H360="숙박",0,IF($H360=MID(R$1,3,20),IF($I360="",1,0.6),IF($I360=MID(R$1,3,20),0.4,0)))</f>
        <v>0</v>
      </c>
      <c r="S360" s="10" t="n">
        <f aca="false">IF($H360="숙박",0,IF($H360=MID(S$1,3,20),IF($I360="",1,0.6),IF($I360=MID(S$1,3,20),0.4,0)))</f>
        <v>0</v>
      </c>
      <c r="T360" s="10" t="n">
        <f aca="false">IF($H360="숙박",0,IF($H360=MID(T$1,3,20),IF($I360="",1,0.6),IF($I360=MID(T$1,3,20),0.4,0)))</f>
        <v>0</v>
      </c>
      <c r="U360" s="10" t="n">
        <f aca="false">IF($H360="숙박",0,IF(ISNUMBER(SEARCH("야경",$J360)),1,0))</f>
        <v>0</v>
      </c>
      <c r="V360" s="10" t="n">
        <f aca="false">IF($H360="숙박",0,1)</f>
        <v>1</v>
      </c>
    </row>
    <row r="361" customFormat="false" ht="15" hidden="false" customHeight="false" outlineLevel="0" collapsed="false">
      <c r="A361" s="8" t="n">
        <v>360</v>
      </c>
      <c r="B361" s="8" t="s">
        <v>45</v>
      </c>
      <c r="C361" s="8"/>
      <c r="D361" s="8" t="s">
        <v>1186</v>
      </c>
      <c r="E361" s="7" t="s">
        <v>1187</v>
      </c>
      <c r="F361" s="8" t="s">
        <v>48</v>
      </c>
      <c r="G361" s="8" t="s">
        <v>49</v>
      </c>
      <c r="H361" s="9" t="s">
        <v>49</v>
      </c>
      <c r="I361" s="9"/>
      <c r="J361" s="9" t="s">
        <v>479</v>
      </c>
      <c r="K361" s="9" t="s">
        <v>52</v>
      </c>
      <c r="L361" s="8"/>
      <c r="M361" s="8"/>
      <c r="N361" s="8"/>
      <c r="O361" s="7" t="s">
        <v>1188</v>
      </c>
      <c r="P361" s="10" t="n">
        <f aca="false">IF($H361="숙박",0,IF($H361=MID(P$1,3,20),IF($I361="",1,0.6),IF($I361=MID(P$1,3,20),0.4,0)))</f>
        <v>0</v>
      </c>
      <c r="Q361" s="10" t="n">
        <f aca="false">IF($H361="숙박",0,IF($H361=MID(Q$1,3,20),IF($I361="",1,0.6),IF($I361=MID(Q$1,3,20),0.4,0)))</f>
        <v>1</v>
      </c>
      <c r="R361" s="10" t="n">
        <f aca="false">IF($H361="숙박",0,IF($H361=MID(R$1,3,20),IF($I361="",1,0.6),IF($I361=MID(R$1,3,20),0.4,0)))</f>
        <v>0</v>
      </c>
      <c r="S361" s="10" t="n">
        <f aca="false">IF($H361="숙박",0,IF($H361=MID(S$1,3,20),IF($I361="",1,0.6),IF($I361=MID(S$1,3,20),0.4,0)))</f>
        <v>0</v>
      </c>
      <c r="T361" s="10" t="n">
        <f aca="false">IF($H361="숙박",0,IF($H361=MID(T$1,3,20),IF($I361="",1,0.6),IF($I361=MID(T$1,3,20),0.4,0)))</f>
        <v>0</v>
      </c>
      <c r="U361" s="10" t="n">
        <f aca="false">IF($H361="숙박",0,IF(ISNUMBER(SEARCH("야경",$J361)),1,0))</f>
        <v>0</v>
      </c>
      <c r="V361" s="10" t="n">
        <f aca="false">IF($H361="숙박",0,1)</f>
        <v>1</v>
      </c>
    </row>
    <row r="362" customFormat="false" ht="15" hidden="false" customHeight="false" outlineLevel="0" collapsed="false">
      <c r="A362" s="8" t="n">
        <v>361</v>
      </c>
      <c r="B362" s="8" t="s">
        <v>45</v>
      </c>
      <c r="C362" s="8"/>
      <c r="D362" s="8" t="s">
        <v>1189</v>
      </c>
      <c r="E362" s="7" t="s">
        <v>1190</v>
      </c>
      <c r="F362" s="8" t="s">
        <v>48</v>
      </c>
      <c r="G362" s="8" t="s">
        <v>49</v>
      </c>
      <c r="H362" s="9" t="s">
        <v>49</v>
      </c>
      <c r="I362" s="9"/>
      <c r="J362" s="9" t="s">
        <v>509</v>
      </c>
      <c r="K362" s="9" t="s">
        <v>52</v>
      </c>
      <c r="L362" s="8"/>
      <c r="M362" s="8"/>
      <c r="N362" s="8"/>
      <c r="O362" s="8" t="s">
        <v>1191</v>
      </c>
      <c r="P362" s="10" t="n">
        <f aca="false">IF($H362="숙박",0,IF($H362=MID(P$1,3,20),IF($I362="",1,0.6),IF($I362=MID(P$1,3,20),0.4,0)))</f>
        <v>0</v>
      </c>
      <c r="Q362" s="10" t="n">
        <f aca="false">IF($H362="숙박",0,IF($H362=MID(Q$1,3,20),IF($I362="",1,0.6),IF($I362=MID(Q$1,3,20),0.4,0)))</f>
        <v>1</v>
      </c>
      <c r="R362" s="10" t="n">
        <f aca="false">IF($H362="숙박",0,IF($H362=MID(R$1,3,20),IF($I362="",1,0.6),IF($I362=MID(R$1,3,20),0.4,0)))</f>
        <v>0</v>
      </c>
      <c r="S362" s="10" t="n">
        <f aca="false">IF($H362="숙박",0,IF($H362=MID(S$1,3,20),IF($I362="",1,0.6),IF($I362=MID(S$1,3,20),0.4,0)))</f>
        <v>0</v>
      </c>
      <c r="T362" s="10" t="n">
        <f aca="false">IF($H362="숙박",0,IF($H362=MID(T$1,3,20),IF($I362="",1,0.6),IF($I362=MID(T$1,3,20),0.4,0)))</f>
        <v>0</v>
      </c>
      <c r="U362" s="10" t="n">
        <f aca="false">IF($H362="숙박",0,IF(ISNUMBER(SEARCH("야경",$J362)),1,0))</f>
        <v>1</v>
      </c>
      <c r="V362" s="10" t="n">
        <f aca="false">IF($H362="숙박",0,1)</f>
        <v>1</v>
      </c>
    </row>
    <row r="363" customFormat="false" ht="15" hidden="false" customHeight="false" outlineLevel="0" collapsed="false">
      <c r="A363" s="8" t="n">
        <v>362</v>
      </c>
      <c r="B363" s="8" t="s">
        <v>45</v>
      </c>
      <c r="C363" s="8"/>
      <c r="D363" s="8" t="s">
        <v>1192</v>
      </c>
      <c r="E363" s="7" t="s">
        <v>1193</v>
      </c>
      <c r="F363" s="7" t="s">
        <v>189</v>
      </c>
      <c r="G363" s="8" t="s">
        <v>190</v>
      </c>
      <c r="H363" s="9" t="s">
        <v>190</v>
      </c>
      <c r="I363" s="9"/>
      <c r="J363" s="9" t="s">
        <v>509</v>
      </c>
      <c r="K363" s="9" t="s">
        <v>191</v>
      </c>
      <c r="L363" s="8"/>
      <c r="M363" s="8"/>
      <c r="N363" s="8"/>
      <c r="O363" s="8" t="s">
        <v>1194</v>
      </c>
      <c r="P363" s="10" t="n">
        <f aca="false">IF($H363="숙박",0,IF($H363=MID(P$1,3,20),IF($I363="",1,0.6),IF($I363=MID(P$1,3,20),0.4,0)))</f>
        <v>1</v>
      </c>
      <c r="Q363" s="10" t="n">
        <f aca="false">IF($H363="숙박",0,IF($H363=MID(Q$1,3,20),IF($I363="",1,0.6),IF($I363=MID(Q$1,3,20),0.4,0)))</f>
        <v>0</v>
      </c>
      <c r="R363" s="10" t="n">
        <f aca="false">IF($H363="숙박",0,IF($H363=MID(R$1,3,20),IF($I363="",1,0.6),IF($I363=MID(R$1,3,20),0.4,0)))</f>
        <v>0</v>
      </c>
      <c r="S363" s="10" t="n">
        <f aca="false">IF($H363="숙박",0,IF($H363=MID(S$1,3,20),IF($I363="",1,0.6),IF($I363=MID(S$1,3,20),0.4,0)))</f>
        <v>0</v>
      </c>
      <c r="T363" s="10" t="n">
        <f aca="false">IF($H363="숙박",0,IF($H363=MID(T$1,3,20),IF($I363="",1,0.6),IF($I363=MID(T$1,3,20),0.4,0)))</f>
        <v>0</v>
      </c>
      <c r="U363" s="10" t="n">
        <f aca="false">IF($H363="숙박",0,IF(ISNUMBER(SEARCH("야경",$J363)),1,0))</f>
        <v>1</v>
      </c>
      <c r="V363" s="10" t="n">
        <f aca="false">IF($H363="숙박",0,1)</f>
        <v>1</v>
      </c>
    </row>
    <row r="364" customFormat="false" ht="15" hidden="false" customHeight="false" outlineLevel="0" collapsed="false">
      <c r="A364" s="8" t="n">
        <v>363</v>
      </c>
      <c r="B364" s="8" t="s">
        <v>45</v>
      </c>
      <c r="C364" s="8"/>
      <c r="D364" s="8" t="s">
        <v>1195</v>
      </c>
      <c r="E364" s="7" t="s">
        <v>1196</v>
      </c>
      <c r="F364" s="8" t="s">
        <v>199</v>
      </c>
      <c r="G364" s="8" t="s">
        <v>49</v>
      </c>
      <c r="H364" s="9" t="s">
        <v>49</v>
      </c>
      <c r="I364" s="9" t="s">
        <v>216</v>
      </c>
      <c r="J364" s="9" t="s">
        <v>479</v>
      </c>
      <c r="K364" s="9" t="s">
        <v>52</v>
      </c>
      <c r="L364" s="8"/>
      <c r="M364" s="8"/>
      <c r="N364" s="8" t="s">
        <v>483</v>
      </c>
      <c r="O364" s="8" t="s">
        <v>1197</v>
      </c>
      <c r="P364" s="10" t="n">
        <f aca="false">IF($H364="숙박",0,IF($H364=MID(P$1,3,20),IF($I364="",1,0.6),IF($I364=MID(P$1,3,20),0.4,0)))</f>
        <v>0</v>
      </c>
      <c r="Q364" s="10" t="n">
        <f aca="false">IF($H364="숙박",0,IF($H364=MID(Q$1,3,20),IF($I364="",1,0.6),IF($I364=MID(Q$1,3,20),0.4,0)))</f>
        <v>0.6</v>
      </c>
      <c r="R364" s="10" t="n">
        <f aca="false">IF($H364="숙박",0,IF($H364=MID(R$1,3,20),IF($I364="",1,0.6),IF($I364=MID(R$1,3,20),0.4,0)))</f>
        <v>0</v>
      </c>
      <c r="S364" s="10" t="n">
        <f aca="false">IF($H364="숙박",0,IF($H364=MID(S$1,3,20),IF($I364="",1,0.6),IF($I364=MID(S$1,3,20),0.4,0)))</f>
        <v>0.4</v>
      </c>
      <c r="T364" s="10" t="n">
        <f aca="false">IF($H364="숙박",0,IF($H364=MID(T$1,3,20),IF($I364="",1,0.6),IF($I364=MID(T$1,3,20),0.4,0)))</f>
        <v>0</v>
      </c>
      <c r="U364" s="10" t="n">
        <f aca="false">IF($H364="숙박",0,IF(ISNUMBER(SEARCH("야경",$J364)),1,0))</f>
        <v>0</v>
      </c>
      <c r="V364" s="10" t="n">
        <f aca="false">IF($H364="숙박",0,1)</f>
        <v>1</v>
      </c>
    </row>
    <row r="365" customFormat="false" ht="15" hidden="false" customHeight="false" outlineLevel="0" collapsed="false">
      <c r="A365" s="8" t="n">
        <v>364</v>
      </c>
      <c r="B365" s="8" t="s">
        <v>485</v>
      </c>
      <c r="C365" s="8"/>
      <c r="D365" s="8" t="s">
        <v>1198</v>
      </c>
      <c r="E365" s="7" t="s">
        <v>1199</v>
      </c>
      <c r="F365" s="8" t="s">
        <v>199</v>
      </c>
      <c r="G365" s="8" t="s">
        <v>49</v>
      </c>
      <c r="H365" s="9" t="s">
        <v>49</v>
      </c>
      <c r="I365" s="9"/>
      <c r="J365" s="9" t="s">
        <v>509</v>
      </c>
      <c r="K365" s="9" t="s">
        <v>52</v>
      </c>
      <c r="L365" s="8"/>
      <c r="M365" s="8"/>
      <c r="N365" s="8"/>
      <c r="O365" s="8" t="s">
        <v>1200</v>
      </c>
      <c r="P365" s="10" t="n">
        <f aca="false">IF($H365="숙박",0,IF($H365=MID(P$1,3,20),IF($I365="",1,0.6),IF($I365=MID(P$1,3,20),0.4,0)))</f>
        <v>0</v>
      </c>
      <c r="Q365" s="10" t="n">
        <f aca="false">IF($H365="숙박",0,IF($H365=MID(Q$1,3,20),IF($I365="",1,0.6),IF($I365=MID(Q$1,3,20),0.4,0)))</f>
        <v>1</v>
      </c>
      <c r="R365" s="10" t="n">
        <f aca="false">IF($H365="숙박",0,IF($H365=MID(R$1,3,20),IF($I365="",1,0.6),IF($I365=MID(R$1,3,20),0.4,0)))</f>
        <v>0</v>
      </c>
      <c r="S365" s="10" t="n">
        <f aca="false">IF($H365="숙박",0,IF($H365=MID(S$1,3,20),IF($I365="",1,0.6),IF($I365=MID(S$1,3,20),0.4,0)))</f>
        <v>0</v>
      </c>
      <c r="T365" s="10" t="n">
        <f aca="false">IF($H365="숙박",0,IF($H365=MID(T$1,3,20),IF($I365="",1,0.6),IF($I365=MID(T$1,3,20),0.4,0)))</f>
        <v>0</v>
      </c>
      <c r="U365" s="10" t="n">
        <f aca="false">IF($H365="숙박",0,IF(ISNUMBER(SEARCH("야경",$J365)),1,0))</f>
        <v>1</v>
      </c>
      <c r="V365" s="10" t="n">
        <f aca="false">IF($H365="숙박",0,1)</f>
        <v>1</v>
      </c>
    </row>
    <row r="366" customFormat="false" ht="15" hidden="false" customHeight="false" outlineLevel="0" collapsed="false">
      <c r="A366" s="8" t="n">
        <v>365</v>
      </c>
      <c r="B366" s="8" t="s">
        <v>575</v>
      </c>
      <c r="C366" s="8"/>
      <c r="D366" s="8" t="s">
        <v>1201</v>
      </c>
      <c r="E366" s="7" t="s">
        <v>1202</v>
      </c>
      <c r="F366" s="8" t="s">
        <v>567</v>
      </c>
      <c r="G366" s="8" t="s">
        <v>190</v>
      </c>
      <c r="H366" s="9" t="s">
        <v>190</v>
      </c>
      <c r="I366" s="9"/>
      <c r="J366" s="9" t="s">
        <v>479</v>
      </c>
      <c r="K366" s="9" t="s">
        <v>191</v>
      </c>
      <c r="L366" s="8"/>
      <c r="M366" s="8"/>
      <c r="N366" s="8"/>
      <c r="O366" s="8" t="s">
        <v>1203</v>
      </c>
      <c r="P366" s="10" t="n">
        <f aca="false">IF($H366="숙박",0,IF($H366=MID(P$1,3,20),IF($I366="",1,0.6),IF($I366=MID(P$1,3,20),0.4,0)))</f>
        <v>1</v>
      </c>
      <c r="Q366" s="10" t="n">
        <f aca="false">IF($H366="숙박",0,IF($H366=MID(Q$1,3,20),IF($I366="",1,0.6),IF($I366=MID(Q$1,3,20),0.4,0)))</f>
        <v>0</v>
      </c>
      <c r="R366" s="10" t="n">
        <f aca="false">IF($H366="숙박",0,IF($H366=MID(R$1,3,20),IF($I366="",1,0.6),IF($I366=MID(R$1,3,20),0.4,0)))</f>
        <v>0</v>
      </c>
      <c r="S366" s="10" t="n">
        <f aca="false">IF($H366="숙박",0,IF($H366=MID(S$1,3,20),IF($I366="",1,0.6),IF($I366=MID(S$1,3,20),0.4,0)))</f>
        <v>0</v>
      </c>
      <c r="T366" s="10" t="n">
        <f aca="false">IF($H366="숙박",0,IF($H366=MID(T$1,3,20),IF($I366="",1,0.6),IF($I366=MID(T$1,3,20),0.4,0)))</f>
        <v>0</v>
      </c>
      <c r="U366" s="10" t="n">
        <f aca="false">IF($H366="숙박",0,IF(ISNUMBER(SEARCH("야경",$J366)),1,0))</f>
        <v>0</v>
      </c>
      <c r="V366" s="10" t="n">
        <f aca="false">IF($H366="숙박",0,1)</f>
        <v>1</v>
      </c>
    </row>
    <row r="367" customFormat="false" ht="15" hidden="false" customHeight="false" outlineLevel="0" collapsed="false">
      <c r="A367" s="8" t="n">
        <v>366</v>
      </c>
      <c r="B367" s="8" t="s">
        <v>45</v>
      </c>
      <c r="C367" s="8"/>
      <c r="D367" s="8" t="s">
        <v>1204</v>
      </c>
      <c r="E367" s="7" t="s">
        <v>1205</v>
      </c>
      <c r="F367" s="8" t="s">
        <v>59</v>
      </c>
      <c r="G367" s="8" t="s">
        <v>190</v>
      </c>
      <c r="H367" s="9" t="s">
        <v>190</v>
      </c>
      <c r="I367" s="9"/>
      <c r="J367" s="9" t="s">
        <v>479</v>
      </c>
      <c r="K367" s="9" t="s">
        <v>209</v>
      </c>
      <c r="L367" s="8"/>
      <c r="M367" s="8"/>
      <c r="N367" s="8"/>
      <c r="O367" s="8" t="s">
        <v>1206</v>
      </c>
      <c r="P367" s="10" t="n">
        <f aca="false">IF($H367="숙박",0,IF($H367=MID(P$1,3,20),IF($I367="",1,0.6),IF($I367=MID(P$1,3,20),0.4,0)))</f>
        <v>1</v>
      </c>
      <c r="Q367" s="10" t="n">
        <f aca="false">IF($H367="숙박",0,IF($H367=MID(Q$1,3,20),IF($I367="",1,0.6),IF($I367=MID(Q$1,3,20),0.4,0)))</f>
        <v>0</v>
      </c>
      <c r="R367" s="10" t="n">
        <f aca="false">IF($H367="숙박",0,IF($H367=MID(R$1,3,20),IF($I367="",1,0.6),IF($I367=MID(R$1,3,20),0.4,0)))</f>
        <v>0</v>
      </c>
      <c r="S367" s="10" t="n">
        <f aca="false">IF($H367="숙박",0,IF($H367=MID(S$1,3,20),IF($I367="",1,0.6),IF($I367=MID(S$1,3,20),0.4,0)))</f>
        <v>0</v>
      </c>
      <c r="T367" s="10" t="n">
        <f aca="false">IF($H367="숙박",0,IF($H367=MID(T$1,3,20),IF($I367="",1,0.6),IF($I367=MID(T$1,3,20),0.4,0)))</f>
        <v>0</v>
      </c>
      <c r="U367" s="10" t="n">
        <f aca="false">IF($H367="숙박",0,IF(ISNUMBER(SEARCH("야경",$J367)),1,0))</f>
        <v>0</v>
      </c>
      <c r="V367" s="10" t="n">
        <f aca="false">IF($H367="숙박",0,1)</f>
        <v>1</v>
      </c>
    </row>
    <row r="368" customFormat="false" ht="15" hidden="false" customHeight="false" outlineLevel="0" collapsed="false">
      <c r="A368" s="8" t="n">
        <v>367</v>
      </c>
      <c r="B368" s="8" t="s">
        <v>45</v>
      </c>
      <c r="C368" s="8"/>
      <c r="D368" s="8" t="s">
        <v>1207</v>
      </c>
      <c r="E368" s="7" t="s">
        <v>1208</v>
      </c>
      <c r="F368" s="8" t="s">
        <v>59</v>
      </c>
      <c r="G368" s="8" t="s">
        <v>190</v>
      </c>
      <c r="H368" s="9" t="s">
        <v>190</v>
      </c>
      <c r="I368" s="9"/>
      <c r="J368" s="9" t="s">
        <v>479</v>
      </c>
      <c r="K368" s="9" t="s">
        <v>52</v>
      </c>
      <c r="L368" s="8"/>
      <c r="M368" s="8"/>
      <c r="N368" s="8"/>
      <c r="O368" s="8" t="s">
        <v>1209</v>
      </c>
      <c r="P368" s="10" t="n">
        <f aca="false">IF($H368="숙박",0,IF($H368=MID(P$1,3,20),IF($I368="",1,0.6),IF($I368=MID(P$1,3,20),0.4,0)))</f>
        <v>1</v>
      </c>
      <c r="Q368" s="10" t="n">
        <f aca="false">IF($H368="숙박",0,IF($H368=MID(Q$1,3,20),IF($I368="",1,0.6),IF($I368=MID(Q$1,3,20),0.4,0)))</f>
        <v>0</v>
      </c>
      <c r="R368" s="10" t="n">
        <f aca="false">IF($H368="숙박",0,IF($H368=MID(R$1,3,20),IF($I368="",1,0.6),IF($I368=MID(R$1,3,20),0.4,0)))</f>
        <v>0</v>
      </c>
      <c r="S368" s="10" t="n">
        <f aca="false">IF($H368="숙박",0,IF($H368=MID(S$1,3,20),IF($I368="",1,0.6),IF($I368=MID(S$1,3,20),0.4,0)))</f>
        <v>0</v>
      </c>
      <c r="T368" s="10" t="n">
        <f aca="false">IF($H368="숙박",0,IF($H368=MID(T$1,3,20),IF($I368="",1,0.6),IF($I368=MID(T$1,3,20),0.4,0)))</f>
        <v>0</v>
      </c>
      <c r="U368" s="10" t="n">
        <f aca="false">IF($H368="숙박",0,IF(ISNUMBER(SEARCH("야경",$J368)),1,0))</f>
        <v>0</v>
      </c>
      <c r="V368" s="10" t="n">
        <f aca="false">IF($H368="숙박",0,1)</f>
        <v>1</v>
      </c>
    </row>
    <row r="369" customFormat="false" ht="15" hidden="false" customHeight="false" outlineLevel="0" collapsed="false">
      <c r="A369" s="8" t="n">
        <v>368</v>
      </c>
      <c r="B369" s="8" t="s">
        <v>45</v>
      </c>
      <c r="C369" s="8" t="s">
        <v>688</v>
      </c>
      <c r="D369" s="8" t="s">
        <v>1210</v>
      </c>
      <c r="E369" s="7" t="s">
        <v>1211</v>
      </c>
      <c r="F369" s="7" t="s">
        <v>189</v>
      </c>
      <c r="G369" s="8" t="s">
        <v>50</v>
      </c>
      <c r="H369" s="9" t="s">
        <v>50</v>
      </c>
      <c r="I369" s="9"/>
      <c r="J369" s="9" t="s">
        <v>51</v>
      </c>
      <c r="K369" s="9" t="s">
        <v>52</v>
      </c>
      <c r="L369" s="8"/>
      <c r="M369" s="8"/>
      <c r="N369" s="8"/>
      <c r="O369" s="8" t="s">
        <v>1212</v>
      </c>
      <c r="P369" s="10" t="n">
        <f aca="false">IF($H369="숙박",0,IF($H369=MID(P$1,3,20),IF($I369="",1,0.6),IF($I369=MID(P$1,3,20),0.4,0)))</f>
        <v>0</v>
      </c>
      <c r="Q369" s="10" t="n">
        <f aca="false">IF($H369="숙박",0,IF($H369=MID(Q$1,3,20),IF($I369="",1,0.6),IF($I369=MID(Q$1,3,20),0.4,0)))</f>
        <v>0</v>
      </c>
      <c r="R369" s="10" t="n">
        <f aca="false">IF($H369="숙박",0,IF($H369=MID(R$1,3,20),IF($I369="",1,0.6),IF($I369=MID(R$1,3,20),0.4,0)))</f>
        <v>0</v>
      </c>
      <c r="S369" s="10" t="n">
        <f aca="false">IF($H369="숙박",0,IF($H369=MID(S$1,3,20),IF($I369="",1,0.6),IF($I369=MID(S$1,3,20),0.4,0)))</f>
        <v>0</v>
      </c>
      <c r="T369" s="10" t="n">
        <f aca="false">IF($H369="숙박",0,IF($H369=MID(T$1,3,20),IF($I369="",1,0.6),IF($I369=MID(T$1,3,20),0.4,0)))</f>
        <v>1</v>
      </c>
      <c r="U369" s="10" t="n">
        <f aca="false">IF($H369="숙박",0,IF(ISNUMBER(SEARCH("야경",$J369)),1,0))</f>
        <v>0</v>
      </c>
      <c r="V369" s="10" t="n">
        <f aca="false">IF($H369="숙박",0,1)</f>
        <v>1</v>
      </c>
    </row>
    <row r="370" customFormat="false" ht="15" hidden="false" customHeight="false" outlineLevel="0" collapsed="false">
      <c r="A370" s="8" t="n">
        <v>369</v>
      </c>
      <c r="B370" s="8" t="s">
        <v>45</v>
      </c>
      <c r="C370" s="8" t="s">
        <v>688</v>
      </c>
      <c r="D370" s="8" t="s">
        <v>1213</v>
      </c>
      <c r="E370" s="7" t="s">
        <v>1214</v>
      </c>
      <c r="F370" s="7" t="s">
        <v>189</v>
      </c>
      <c r="G370" s="8" t="s">
        <v>50</v>
      </c>
      <c r="H370" s="9" t="s">
        <v>50</v>
      </c>
      <c r="I370" s="9" t="s">
        <v>49</v>
      </c>
      <c r="J370" s="9" t="s">
        <v>51</v>
      </c>
      <c r="K370" s="9" t="s">
        <v>52</v>
      </c>
      <c r="L370" s="8"/>
      <c r="M370" s="8"/>
      <c r="N370" s="8" t="s">
        <v>483</v>
      </c>
      <c r="O370" s="8" t="s">
        <v>1215</v>
      </c>
      <c r="P370" s="10" t="n">
        <f aca="false">IF($H370="숙박",0,IF($H370=MID(P$1,3,20),IF($I370="",1,0.6),IF($I370=MID(P$1,3,20),0.4,0)))</f>
        <v>0</v>
      </c>
      <c r="Q370" s="10" t="n">
        <f aca="false">IF($H370="숙박",0,IF($H370=MID(Q$1,3,20),IF($I370="",1,0.6),IF($I370=MID(Q$1,3,20),0.4,0)))</f>
        <v>0.4</v>
      </c>
      <c r="R370" s="10" t="n">
        <f aca="false">IF($H370="숙박",0,IF($H370=MID(R$1,3,20),IF($I370="",1,0.6),IF($I370=MID(R$1,3,20),0.4,0)))</f>
        <v>0</v>
      </c>
      <c r="S370" s="10" t="n">
        <f aca="false">IF($H370="숙박",0,IF($H370=MID(S$1,3,20),IF($I370="",1,0.6),IF($I370=MID(S$1,3,20),0.4,0)))</f>
        <v>0</v>
      </c>
      <c r="T370" s="10" t="n">
        <f aca="false">IF($H370="숙박",0,IF($H370=MID(T$1,3,20),IF($I370="",1,0.6),IF($I370=MID(T$1,3,20),0.4,0)))</f>
        <v>0.6</v>
      </c>
      <c r="U370" s="10" t="n">
        <f aca="false">IF($H370="숙박",0,IF(ISNUMBER(SEARCH("야경",$J370)),1,0))</f>
        <v>0</v>
      </c>
      <c r="V370" s="10" t="n">
        <f aca="false">IF($H370="숙박",0,1)</f>
        <v>1</v>
      </c>
    </row>
    <row r="371" customFormat="false" ht="15" hidden="false" customHeight="false" outlineLevel="0" collapsed="false">
      <c r="A371" s="8" t="n">
        <v>370</v>
      </c>
      <c r="B371" s="8" t="s">
        <v>511</v>
      </c>
      <c r="C371" s="8"/>
      <c r="D371" s="8" t="s">
        <v>1216</v>
      </c>
      <c r="E371" s="7" t="s">
        <v>1217</v>
      </c>
      <c r="F371" s="7" t="s">
        <v>189</v>
      </c>
      <c r="G371" s="8" t="s">
        <v>184</v>
      </c>
      <c r="H371" s="9" t="s">
        <v>184</v>
      </c>
      <c r="I371" s="9" t="s">
        <v>190</v>
      </c>
      <c r="J371" s="9" t="s">
        <v>479</v>
      </c>
      <c r="K371" s="9" t="s">
        <v>52</v>
      </c>
      <c r="L371" s="8"/>
      <c r="M371" s="8"/>
      <c r="N371" s="8" t="s">
        <v>483</v>
      </c>
      <c r="O371" s="8" t="s">
        <v>1218</v>
      </c>
      <c r="P371" s="10" t="n">
        <f aca="false">IF($H371="숙박",0,IF($H371=MID(P$1,3,20),IF($I371="",1,0.6),IF($I371=MID(P$1,3,20),0.4,0)))</f>
        <v>0.4</v>
      </c>
      <c r="Q371" s="10" t="n">
        <f aca="false">IF($H371="숙박",0,IF($H371=MID(Q$1,3,20),IF($I371="",1,0.6),IF($I371=MID(Q$1,3,20),0.4,0)))</f>
        <v>0</v>
      </c>
      <c r="R371" s="10" t="n">
        <f aca="false">IF($H371="숙박",0,IF($H371=MID(R$1,3,20),IF($I371="",1,0.6),IF($I371=MID(R$1,3,20),0.4,0)))</f>
        <v>0.6</v>
      </c>
      <c r="S371" s="10" t="n">
        <f aca="false">IF($H371="숙박",0,IF($H371=MID(S$1,3,20),IF($I371="",1,0.6),IF($I371=MID(S$1,3,20),0.4,0)))</f>
        <v>0</v>
      </c>
      <c r="T371" s="10" t="n">
        <f aca="false">IF($H371="숙박",0,IF($H371=MID(T$1,3,20),IF($I371="",1,0.6),IF($I371=MID(T$1,3,20),0.4,0)))</f>
        <v>0</v>
      </c>
      <c r="U371" s="10" t="n">
        <f aca="false">IF($H371="숙박",0,IF(ISNUMBER(SEARCH("야경",$J371)),1,0))</f>
        <v>0</v>
      </c>
      <c r="V371" s="10" t="n">
        <f aca="false">IF($H371="숙박",0,1)</f>
        <v>1</v>
      </c>
    </row>
    <row r="372" customFormat="false" ht="15" hidden="false" customHeight="false" outlineLevel="0" collapsed="false">
      <c r="A372" s="8" t="n">
        <v>371</v>
      </c>
      <c r="B372" s="8" t="s">
        <v>511</v>
      </c>
      <c r="C372" s="8"/>
      <c r="D372" s="8" t="s">
        <v>1219</v>
      </c>
      <c r="E372" s="7" t="s">
        <v>1220</v>
      </c>
      <c r="F372" s="7" t="s">
        <v>189</v>
      </c>
      <c r="G372" s="8" t="s">
        <v>216</v>
      </c>
      <c r="H372" s="9" t="s">
        <v>216</v>
      </c>
      <c r="I372" s="9"/>
      <c r="J372" s="9" t="s">
        <v>479</v>
      </c>
      <c r="K372" s="9" t="s">
        <v>191</v>
      </c>
      <c r="L372" s="8"/>
      <c r="M372" s="8"/>
      <c r="N372" s="8"/>
      <c r="O372" s="8" t="s">
        <v>1221</v>
      </c>
      <c r="P372" s="10" t="n">
        <f aca="false">IF($H372="숙박",0,IF($H372=MID(P$1,3,20),IF($I372="",1,0.6),IF($I372=MID(P$1,3,20),0.4,0)))</f>
        <v>0</v>
      </c>
      <c r="Q372" s="10" t="n">
        <f aca="false">IF($H372="숙박",0,IF($H372=MID(Q$1,3,20),IF($I372="",1,0.6),IF($I372=MID(Q$1,3,20),0.4,0)))</f>
        <v>0</v>
      </c>
      <c r="R372" s="10" t="n">
        <f aca="false">IF($H372="숙박",0,IF($H372=MID(R$1,3,20),IF($I372="",1,0.6),IF($I372=MID(R$1,3,20),0.4,0)))</f>
        <v>0</v>
      </c>
      <c r="S372" s="10" t="n">
        <f aca="false">IF($H372="숙박",0,IF($H372=MID(S$1,3,20),IF($I372="",1,0.6),IF($I372=MID(S$1,3,20),0.4,0)))</f>
        <v>1</v>
      </c>
      <c r="T372" s="10" t="n">
        <f aca="false">IF($H372="숙박",0,IF($H372=MID(T$1,3,20),IF($I372="",1,0.6),IF($I372=MID(T$1,3,20),0.4,0)))</f>
        <v>0</v>
      </c>
      <c r="U372" s="10" t="n">
        <f aca="false">IF($H372="숙박",0,IF(ISNUMBER(SEARCH("야경",$J372)),1,0))</f>
        <v>0</v>
      </c>
      <c r="V372" s="10" t="n">
        <f aca="false">IF($H372="숙박",0,1)</f>
        <v>1</v>
      </c>
    </row>
    <row r="373" customFormat="false" ht="15" hidden="false" customHeight="false" outlineLevel="0" collapsed="false">
      <c r="A373" s="8" t="n">
        <v>372</v>
      </c>
      <c r="B373" s="8" t="s">
        <v>511</v>
      </c>
      <c r="C373" s="8"/>
      <c r="D373" s="8" t="s">
        <v>1222</v>
      </c>
      <c r="E373" s="7" t="s">
        <v>1223</v>
      </c>
      <c r="F373" s="7" t="s">
        <v>189</v>
      </c>
      <c r="G373" s="8" t="s">
        <v>49</v>
      </c>
      <c r="H373" s="9" t="s">
        <v>49</v>
      </c>
      <c r="I373" s="9"/>
      <c r="J373" s="9" t="s">
        <v>479</v>
      </c>
      <c r="K373" s="9" t="s">
        <v>52</v>
      </c>
      <c r="L373" s="8"/>
      <c r="M373" s="8"/>
      <c r="N373" s="8"/>
      <c r="O373" s="8" t="s">
        <v>1224</v>
      </c>
      <c r="P373" s="10" t="n">
        <f aca="false">IF($H373="숙박",0,IF($H373=MID(P$1,3,20),IF($I373="",1,0.6),IF($I373=MID(P$1,3,20),0.4,0)))</f>
        <v>0</v>
      </c>
      <c r="Q373" s="10" t="n">
        <f aca="false">IF($H373="숙박",0,IF($H373=MID(Q$1,3,20),IF($I373="",1,0.6),IF($I373=MID(Q$1,3,20),0.4,0)))</f>
        <v>1</v>
      </c>
      <c r="R373" s="10" t="n">
        <f aca="false">IF($H373="숙박",0,IF($H373=MID(R$1,3,20),IF($I373="",1,0.6),IF($I373=MID(R$1,3,20),0.4,0)))</f>
        <v>0</v>
      </c>
      <c r="S373" s="10" t="n">
        <f aca="false">IF($H373="숙박",0,IF($H373=MID(S$1,3,20),IF($I373="",1,0.6),IF($I373=MID(S$1,3,20),0.4,0)))</f>
        <v>0</v>
      </c>
      <c r="T373" s="10" t="n">
        <f aca="false">IF($H373="숙박",0,IF($H373=MID(T$1,3,20),IF($I373="",1,0.6),IF($I373=MID(T$1,3,20),0.4,0)))</f>
        <v>0</v>
      </c>
      <c r="U373" s="10" t="n">
        <f aca="false">IF($H373="숙박",0,IF(ISNUMBER(SEARCH("야경",$J373)),1,0))</f>
        <v>0</v>
      </c>
      <c r="V373" s="10" t="n">
        <f aca="false">IF($H373="숙박",0,1)</f>
        <v>1</v>
      </c>
    </row>
    <row r="374" customFormat="false" ht="15" hidden="false" customHeight="false" outlineLevel="0" collapsed="false">
      <c r="A374" s="8" t="n">
        <v>373</v>
      </c>
      <c r="B374" s="8" t="s">
        <v>45</v>
      </c>
      <c r="C374" s="8"/>
      <c r="D374" s="8" t="s">
        <v>1225</v>
      </c>
      <c r="E374" s="7" t="s">
        <v>1226</v>
      </c>
      <c r="F374" s="7" t="s">
        <v>189</v>
      </c>
      <c r="G374" s="8" t="s">
        <v>190</v>
      </c>
      <c r="H374" s="9" t="s">
        <v>190</v>
      </c>
      <c r="I374" s="9"/>
      <c r="J374" s="9" t="s">
        <v>479</v>
      </c>
      <c r="K374" s="9" t="s">
        <v>191</v>
      </c>
      <c r="L374" s="8"/>
      <c r="M374" s="8"/>
      <c r="N374" s="8"/>
      <c r="O374" s="8" t="s">
        <v>1227</v>
      </c>
      <c r="P374" s="10" t="n">
        <f aca="false">IF($H374="숙박",0,IF($H374=MID(P$1,3,20),IF($I374="",1,0.6),IF($I374=MID(P$1,3,20),0.4,0)))</f>
        <v>1</v>
      </c>
      <c r="Q374" s="10" t="n">
        <f aca="false">IF($H374="숙박",0,IF($H374=MID(Q$1,3,20),IF($I374="",1,0.6),IF($I374=MID(Q$1,3,20),0.4,0)))</f>
        <v>0</v>
      </c>
      <c r="R374" s="10" t="n">
        <f aca="false">IF($H374="숙박",0,IF($H374=MID(R$1,3,20),IF($I374="",1,0.6),IF($I374=MID(R$1,3,20),0.4,0)))</f>
        <v>0</v>
      </c>
      <c r="S374" s="10" t="n">
        <f aca="false">IF($H374="숙박",0,IF($H374=MID(S$1,3,20),IF($I374="",1,0.6),IF($I374=MID(S$1,3,20),0.4,0)))</f>
        <v>0</v>
      </c>
      <c r="T374" s="10" t="n">
        <f aca="false">IF($H374="숙박",0,IF($H374=MID(T$1,3,20),IF($I374="",1,0.6),IF($I374=MID(T$1,3,20),0.4,0)))</f>
        <v>0</v>
      </c>
      <c r="U374" s="10" t="n">
        <f aca="false">IF($H374="숙박",0,IF(ISNUMBER(SEARCH("야경",$J374)),1,0))</f>
        <v>0</v>
      </c>
      <c r="V374" s="10" t="n">
        <f aca="false">IF($H374="숙박",0,1)</f>
        <v>1</v>
      </c>
    </row>
    <row r="375" customFormat="false" ht="15" hidden="false" customHeight="false" outlineLevel="0" collapsed="false">
      <c r="A375" s="8" t="n">
        <v>374</v>
      </c>
      <c r="B375" s="8" t="s">
        <v>45</v>
      </c>
      <c r="C375" s="8"/>
      <c r="D375" s="8" t="s">
        <v>1228</v>
      </c>
      <c r="E375" s="7" t="s">
        <v>1229</v>
      </c>
      <c r="F375" s="8" t="s">
        <v>48</v>
      </c>
      <c r="G375" s="8" t="s">
        <v>49</v>
      </c>
      <c r="H375" s="9" t="s">
        <v>49</v>
      </c>
      <c r="I375" s="9"/>
      <c r="J375" s="9" t="s">
        <v>479</v>
      </c>
      <c r="K375" s="9" t="s">
        <v>52</v>
      </c>
      <c r="L375" s="8"/>
      <c r="M375" s="8"/>
      <c r="N375" s="8"/>
      <c r="O375" s="8" t="s">
        <v>1230</v>
      </c>
      <c r="P375" s="10" t="n">
        <f aca="false">IF($H375="숙박",0,IF($H375=MID(P$1,3,20),IF($I375="",1,0.6),IF($I375=MID(P$1,3,20),0.4,0)))</f>
        <v>0</v>
      </c>
      <c r="Q375" s="10" t="n">
        <f aca="false">IF($H375="숙박",0,IF($H375=MID(Q$1,3,20),IF($I375="",1,0.6),IF($I375=MID(Q$1,3,20),0.4,0)))</f>
        <v>1</v>
      </c>
      <c r="R375" s="10" t="n">
        <f aca="false">IF($H375="숙박",0,IF($H375=MID(R$1,3,20),IF($I375="",1,0.6),IF($I375=MID(R$1,3,20),0.4,0)))</f>
        <v>0</v>
      </c>
      <c r="S375" s="10" t="n">
        <f aca="false">IF($H375="숙박",0,IF($H375=MID(S$1,3,20),IF($I375="",1,0.6),IF($I375=MID(S$1,3,20),0.4,0)))</f>
        <v>0</v>
      </c>
      <c r="T375" s="10" t="n">
        <f aca="false">IF($H375="숙박",0,IF($H375=MID(T$1,3,20),IF($I375="",1,0.6),IF($I375=MID(T$1,3,20),0.4,0)))</f>
        <v>0</v>
      </c>
      <c r="U375" s="10" t="n">
        <f aca="false">IF($H375="숙박",0,IF(ISNUMBER(SEARCH("야경",$J375)),1,0))</f>
        <v>0</v>
      </c>
      <c r="V375" s="10" t="n">
        <f aca="false">IF($H375="숙박",0,1)</f>
        <v>1</v>
      </c>
    </row>
    <row r="376" customFormat="false" ht="15" hidden="false" customHeight="false" outlineLevel="0" collapsed="false">
      <c r="A376" s="8" t="n">
        <v>375</v>
      </c>
      <c r="B376" s="8" t="s">
        <v>45</v>
      </c>
      <c r="C376" s="8"/>
      <c r="D376" s="8" t="s">
        <v>1231</v>
      </c>
      <c r="E376" s="7" t="s">
        <v>1232</v>
      </c>
      <c r="F376" s="8" t="s">
        <v>199</v>
      </c>
      <c r="G376" s="8" t="s">
        <v>184</v>
      </c>
      <c r="H376" s="9" t="s">
        <v>184</v>
      </c>
      <c r="I376" s="9"/>
      <c r="J376" s="9" t="s">
        <v>523</v>
      </c>
      <c r="K376" s="9" t="s">
        <v>191</v>
      </c>
      <c r="L376" s="8"/>
      <c r="M376" s="8"/>
      <c r="N376" s="8"/>
      <c r="O376" s="7" t="s">
        <v>1233</v>
      </c>
      <c r="P376" s="10" t="n">
        <f aca="false">IF($H376="숙박",0,IF($H376=MID(P$1,3,20),IF($I376="",1,0.6),IF($I376=MID(P$1,3,20),0.4,0)))</f>
        <v>0</v>
      </c>
      <c r="Q376" s="10" t="n">
        <f aca="false">IF($H376="숙박",0,IF($H376=MID(Q$1,3,20),IF($I376="",1,0.6),IF($I376=MID(Q$1,3,20),0.4,0)))</f>
        <v>0</v>
      </c>
      <c r="R376" s="10" t="n">
        <f aca="false">IF($H376="숙박",0,IF($H376=MID(R$1,3,20),IF($I376="",1,0.6),IF($I376=MID(R$1,3,20),0.4,0)))</f>
        <v>1</v>
      </c>
      <c r="S376" s="10" t="n">
        <f aca="false">IF($H376="숙박",0,IF($H376=MID(S$1,3,20),IF($I376="",1,0.6),IF($I376=MID(S$1,3,20),0.4,0)))</f>
        <v>0</v>
      </c>
      <c r="T376" s="10" t="n">
        <f aca="false">IF($H376="숙박",0,IF($H376=MID(T$1,3,20),IF($I376="",1,0.6),IF($I376=MID(T$1,3,20),0.4,0)))</f>
        <v>0</v>
      </c>
      <c r="U376" s="10" t="n">
        <f aca="false">IF($H376="숙박",0,IF(ISNUMBER(SEARCH("야경",$J376)),1,0))</f>
        <v>0</v>
      </c>
      <c r="V376" s="10" t="n">
        <f aca="false">IF($H376="숙박",0,1)</f>
        <v>1</v>
      </c>
    </row>
    <row r="377" customFormat="false" ht="15" hidden="false" customHeight="false" outlineLevel="0" collapsed="false">
      <c r="A377" s="8" t="n">
        <v>376</v>
      </c>
      <c r="B377" s="8" t="s">
        <v>45</v>
      </c>
      <c r="C377" s="8" t="s">
        <v>966</v>
      </c>
      <c r="D377" s="8" t="s">
        <v>1234</v>
      </c>
      <c r="E377" s="7" t="s">
        <v>1235</v>
      </c>
      <c r="F377" s="7" t="s">
        <v>189</v>
      </c>
      <c r="G377" s="8" t="s">
        <v>49</v>
      </c>
      <c r="H377" s="9" t="s">
        <v>49</v>
      </c>
      <c r="I377" s="9" t="s">
        <v>190</v>
      </c>
      <c r="J377" s="9" t="s">
        <v>479</v>
      </c>
      <c r="K377" s="9" t="s">
        <v>52</v>
      </c>
      <c r="L377" s="8"/>
      <c r="M377" s="8"/>
      <c r="N377" s="8" t="s">
        <v>483</v>
      </c>
      <c r="O377" s="8" t="s">
        <v>1236</v>
      </c>
      <c r="P377" s="10" t="n">
        <f aca="false">IF($H377="숙박",0,IF($H377=MID(P$1,3,20),IF($I377="",1,0.6),IF($I377=MID(P$1,3,20),0.4,0)))</f>
        <v>0.4</v>
      </c>
      <c r="Q377" s="10" t="n">
        <f aca="false">IF($H377="숙박",0,IF($H377=MID(Q$1,3,20),IF($I377="",1,0.6),IF($I377=MID(Q$1,3,20),0.4,0)))</f>
        <v>0.6</v>
      </c>
      <c r="R377" s="10" t="n">
        <f aca="false">IF($H377="숙박",0,IF($H377=MID(R$1,3,20),IF($I377="",1,0.6),IF($I377=MID(R$1,3,20),0.4,0)))</f>
        <v>0</v>
      </c>
      <c r="S377" s="10" t="n">
        <f aca="false">IF($H377="숙박",0,IF($H377=MID(S$1,3,20),IF($I377="",1,0.6),IF($I377=MID(S$1,3,20),0.4,0)))</f>
        <v>0</v>
      </c>
      <c r="T377" s="10" t="n">
        <f aca="false">IF($H377="숙박",0,IF($H377=MID(T$1,3,20),IF($I377="",1,0.6),IF($I377=MID(T$1,3,20),0.4,0)))</f>
        <v>0</v>
      </c>
      <c r="U377" s="10" t="n">
        <f aca="false">IF($H377="숙박",0,IF(ISNUMBER(SEARCH("야경",$J377)),1,0))</f>
        <v>0</v>
      </c>
      <c r="V377" s="10" t="n">
        <f aca="false">IF($H377="숙박",0,1)</f>
        <v>1</v>
      </c>
    </row>
    <row r="378" customFormat="false" ht="15" hidden="false" customHeight="false" outlineLevel="0" collapsed="false">
      <c r="A378" s="8" t="n">
        <v>377</v>
      </c>
      <c r="B378" s="8" t="s">
        <v>45</v>
      </c>
      <c r="C378" s="8"/>
      <c r="D378" s="8" t="s">
        <v>1237</v>
      </c>
      <c r="E378" s="7" t="s">
        <v>1238</v>
      </c>
      <c r="F378" s="7" t="s">
        <v>189</v>
      </c>
      <c r="G378" s="8" t="s">
        <v>184</v>
      </c>
      <c r="H378" s="9" t="s">
        <v>184</v>
      </c>
      <c r="I378" s="9" t="s">
        <v>190</v>
      </c>
      <c r="J378" s="9" t="s">
        <v>523</v>
      </c>
      <c r="K378" s="9" t="s">
        <v>191</v>
      </c>
      <c r="L378" s="8"/>
      <c r="M378" s="8"/>
      <c r="N378" s="8" t="s">
        <v>483</v>
      </c>
      <c r="O378" s="8" t="s">
        <v>1239</v>
      </c>
      <c r="P378" s="10" t="n">
        <f aca="false">IF($H378="숙박",0,IF($H378=MID(P$1,3,20),IF($I378="",1,0.6),IF($I378=MID(P$1,3,20),0.4,0)))</f>
        <v>0.4</v>
      </c>
      <c r="Q378" s="10" t="n">
        <f aca="false">IF($H378="숙박",0,IF($H378=MID(Q$1,3,20),IF($I378="",1,0.6),IF($I378=MID(Q$1,3,20),0.4,0)))</f>
        <v>0</v>
      </c>
      <c r="R378" s="10" t="n">
        <f aca="false">IF($H378="숙박",0,IF($H378=MID(R$1,3,20),IF($I378="",1,0.6),IF($I378=MID(R$1,3,20),0.4,0)))</f>
        <v>0.6</v>
      </c>
      <c r="S378" s="10" t="n">
        <f aca="false">IF($H378="숙박",0,IF($H378=MID(S$1,3,20),IF($I378="",1,0.6),IF($I378=MID(S$1,3,20),0.4,0)))</f>
        <v>0</v>
      </c>
      <c r="T378" s="10" t="n">
        <f aca="false">IF($H378="숙박",0,IF($H378=MID(T$1,3,20),IF($I378="",1,0.6),IF($I378=MID(T$1,3,20),0.4,0)))</f>
        <v>0</v>
      </c>
      <c r="U378" s="10" t="n">
        <f aca="false">IF($H378="숙박",0,IF(ISNUMBER(SEARCH("야경",$J378)),1,0))</f>
        <v>0</v>
      </c>
      <c r="V378" s="10" t="n">
        <f aca="false">IF($H378="숙박",0,1)</f>
        <v>1</v>
      </c>
    </row>
    <row r="379" customFormat="false" ht="15" hidden="false" customHeight="false" outlineLevel="0" collapsed="false">
      <c r="A379" s="8" t="n">
        <v>378</v>
      </c>
      <c r="B379" s="8" t="s">
        <v>45</v>
      </c>
      <c r="C379" s="8"/>
      <c r="D379" s="8" t="s">
        <v>1240</v>
      </c>
      <c r="E379" s="7" t="s">
        <v>1241</v>
      </c>
      <c r="F379" s="8" t="s">
        <v>199</v>
      </c>
      <c r="G379" s="8" t="s">
        <v>216</v>
      </c>
      <c r="H379" s="9" t="s">
        <v>216</v>
      </c>
      <c r="I379" s="9" t="s">
        <v>190</v>
      </c>
      <c r="J379" s="9" t="s">
        <v>479</v>
      </c>
      <c r="K379" s="9" t="s">
        <v>191</v>
      </c>
      <c r="L379" s="8"/>
      <c r="M379" s="8"/>
      <c r="N379" s="8" t="s">
        <v>483</v>
      </c>
      <c r="O379" s="8" t="s">
        <v>1242</v>
      </c>
      <c r="P379" s="10" t="n">
        <f aca="false">IF($H379="숙박",0,IF($H379=MID(P$1,3,20),IF($I379="",1,0.6),IF($I379=MID(P$1,3,20),0.4,0)))</f>
        <v>0.4</v>
      </c>
      <c r="Q379" s="10" t="n">
        <f aca="false">IF($H379="숙박",0,IF($H379=MID(Q$1,3,20),IF($I379="",1,0.6),IF($I379=MID(Q$1,3,20),0.4,0)))</f>
        <v>0</v>
      </c>
      <c r="R379" s="10" t="n">
        <f aca="false">IF($H379="숙박",0,IF($H379=MID(R$1,3,20),IF($I379="",1,0.6),IF($I379=MID(R$1,3,20),0.4,0)))</f>
        <v>0</v>
      </c>
      <c r="S379" s="10" t="n">
        <f aca="false">IF($H379="숙박",0,IF($H379=MID(S$1,3,20),IF($I379="",1,0.6),IF($I379=MID(S$1,3,20),0.4,0)))</f>
        <v>0.6</v>
      </c>
      <c r="T379" s="10" t="n">
        <f aca="false">IF($H379="숙박",0,IF($H379=MID(T$1,3,20),IF($I379="",1,0.6),IF($I379=MID(T$1,3,20),0.4,0)))</f>
        <v>0</v>
      </c>
      <c r="U379" s="10" t="n">
        <f aca="false">IF($H379="숙박",0,IF(ISNUMBER(SEARCH("야경",$J379)),1,0))</f>
        <v>0</v>
      </c>
      <c r="V379" s="10" t="n">
        <f aca="false">IF($H379="숙박",0,1)</f>
        <v>1</v>
      </c>
    </row>
    <row r="380" customFormat="false" ht="15" hidden="false" customHeight="false" outlineLevel="0" collapsed="false">
      <c r="A380" s="8" t="n">
        <v>379</v>
      </c>
      <c r="B380" s="8" t="s">
        <v>511</v>
      </c>
      <c r="C380" s="8"/>
      <c r="D380" s="8" t="s">
        <v>1243</v>
      </c>
      <c r="E380" s="7" t="s">
        <v>1244</v>
      </c>
      <c r="F380" s="7" t="s">
        <v>189</v>
      </c>
      <c r="G380" s="8" t="s">
        <v>216</v>
      </c>
      <c r="H380" s="9" t="s">
        <v>216</v>
      </c>
      <c r="I380" s="9"/>
      <c r="J380" s="9" t="s">
        <v>479</v>
      </c>
      <c r="K380" s="9" t="s">
        <v>191</v>
      </c>
      <c r="L380" s="8"/>
      <c r="M380" s="8"/>
      <c r="N380" s="8"/>
      <c r="O380" s="8" t="s">
        <v>1245</v>
      </c>
      <c r="P380" s="10" t="n">
        <f aca="false">IF($H380="숙박",0,IF($H380=MID(P$1,3,20),IF($I380="",1,0.6),IF($I380=MID(P$1,3,20),0.4,0)))</f>
        <v>0</v>
      </c>
      <c r="Q380" s="10" t="n">
        <f aca="false">IF($H380="숙박",0,IF($H380=MID(Q$1,3,20),IF($I380="",1,0.6),IF($I380=MID(Q$1,3,20),0.4,0)))</f>
        <v>0</v>
      </c>
      <c r="R380" s="10" t="n">
        <f aca="false">IF($H380="숙박",0,IF($H380=MID(R$1,3,20),IF($I380="",1,0.6),IF($I380=MID(R$1,3,20),0.4,0)))</f>
        <v>0</v>
      </c>
      <c r="S380" s="10" t="n">
        <f aca="false">IF($H380="숙박",0,IF($H380=MID(S$1,3,20),IF($I380="",1,0.6),IF($I380=MID(S$1,3,20),0.4,0)))</f>
        <v>1</v>
      </c>
      <c r="T380" s="10" t="n">
        <f aca="false">IF($H380="숙박",0,IF($H380=MID(T$1,3,20),IF($I380="",1,0.6),IF($I380=MID(T$1,3,20),0.4,0)))</f>
        <v>0</v>
      </c>
      <c r="U380" s="10" t="n">
        <f aca="false">IF($H380="숙박",0,IF(ISNUMBER(SEARCH("야경",$J380)),1,0))</f>
        <v>0</v>
      </c>
      <c r="V380" s="10" t="n">
        <f aca="false">IF($H380="숙박",0,1)</f>
        <v>1</v>
      </c>
    </row>
    <row r="381" customFormat="false" ht="15" hidden="false" customHeight="false" outlineLevel="0" collapsed="false">
      <c r="A381" s="8" t="n">
        <v>380</v>
      </c>
      <c r="B381" s="8" t="s">
        <v>511</v>
      </c>
      <c r="C381" s="8"/>
      <c r="D381" s="8" t="s">
        <v>1246</v>
      </c>
      <c r="E381" s="7" t="s">
        <v>1247</v>
      </c>
      <c r="F381" s="7" t="s">
        <v>189</v>
      </c>
      <c r="G381" s="8" t="s">
        <v>216</v>
      </c>
      <c r="H381" s="9" t="s">
        <v>216</v>
      </c>
      <c r="I381" s="9"/>
      <c r="J381" s="9" t="s">
        <v>479</v>
      </c>
      <c r="K381" s="9" t="s">
        <v>191</v>
      </c>
      <c r="L381" s="8"/>
      <c r="M381" s="8"/>
      <c r="N381" s="8"/>
      <c r="O381" s="8" t="s">
        <v>1248</v>
      </c>
      <c r="P381" s="10" t="n">
        <f aca="false">IF($H381="숙박",0,IF($H381=MID(P$1,3,20),IF($I381="",1,0.6),IF($I381=MID(P$1,3,20),0.4,0)))</f>
        <v>0</v>
      </c>
      <c r="Q381" s="10" t="n">
        <f aca="false">IF($H381="숙박",0,IF($H381=MID(Q$1,3,20),IF($I381="",1,0.6),IF($I381=MID(Q$1,3,20),0.4,0)))</f>
        <v>0</v>
      </c>
      <c r="R381" s="10" t="n">
        <f aca="false">IF($H381="숙박",0,IF($H381=MID(R$1,3,20),IF($I381="",1,0.6),IF($I381=MID(R$1,3,20),0.4,0)))</f>
        <v>0</v>
      </c>
      <c r="S381" s="10" t="n">
        <f aca="false">IF($H381="숙박",0,IF($H381=MID(S$1,3,20),IF($I381="",1,0.6),IF($I381=MID(S$1,3,20),0.4,0)))</f>
        <v>1</v>
      </c>
      <c r="T381" s="10" t="n">
        <f aca="false">IF($H381="숙박",0,IF($H381=MID(T$1,3,20),IF($I381="",1,0.6),IF($I381=MID(T$1,3,20),0.4,0)))</f>
        <v>0</v>
      </c>
      <c r="U381" s="10" t="n">
        <f aca="false">IF($H381="숙박",0,IF(ISNUMBER(SEARCH("야경",$J381)),1,0))</f>
        <v>0</v>
      </c>
      <c r="V381" s="10" t="n">
        <f aca="false">IF($H381="숙박",0,1)</f>
        <v>1</v>
      </c>
    </row>
    <row r="382" customFormat="false" ht="15" hidden="false" customHeight="false" outlineLevel="0" collapsed="false">
      <c r="A382" s="8" t="n">
        <v>381</v>
      </c>
      <c r="B382" s="8" t="s">
        <v>45</v>
      </c>
      <c r="C382" s="8"/>
      <c r="D382" s="8" t="s">
        <v>1249</v>
      </c>
      <c r="E382" s="7" t="s">
        <v>1250</v>
      </c>
      <c r="F382" s="7" t="s">
        <v>189</v>
      </c>
      <c r="G382" s="8" t="s">
        <v>190</v>
      </c>
      <c r="H382" s="9" t="s">
        <v>190</v>
      </c>
      <c r="I382" s="9"/>
      <c r="J382" s="9" t="s">
        <v>479</v>
      </c>
      <c r="K382" s="9" t="s">
        <v>191</v>
      </c>
      <c r="L382" s="8"/>
      <c r="M382" s="8"/>
      <c r="N382" s="8"/>
      <c r="O382" s="8" t="s">
        <v>1251</v>
      </c>
      <c r="P382" s="10" t="n">
        <f aca="false">IF($H382="숙박",0,IF($H382=MID(P$1,3,20),IF($I382="",1,0.6),IF($I382=MID(P$1,3,20),0.4,0)))</f>
        <v>1</v>
      </c>
      <c r="Q382" s="10" t="n">
        <f aca="false">IF($H382="숙박",0,IF($H382=MID(Q$1,3,20),IF($I382="",1,0.6),IF($I382=MID(Q$1,3,20),0.4,0)))</f>
        <v>0</v>
      </c>
      <c r="R382" s="10" t="n">
        <f aca="false">IF($H382="숙박",0,IF($H382=MID(R$1,3,20),IF($I382="",1,0.6),IF($I382=MID(R$1,3,20),0.4,0)))</f>
        <v>0</v>
      </c>
      <c r="S382" s="10" t="n">
        <f aca="false">IF($H382="숙박",0,IF($H382=MID(S$1,3,20),IF($I382="",1,0.6),IF($I382=MID(S$1,3,20),0.4,0)))</f>
        <v>0</v>
      </c>
      <c r="T382" s="10" t="n">
        <f aca="false">IF($H382="숙박",0,IF($H382=MID(T$1,3,20),IF($I382="",1,0.6),IF($I382=MID(T$1,3,20),0.4,0)))</f>
        <v>0</v>
      </c>
      <c r="U382" s="10" t="n">
        <f aca="false">IF($H382="숙박",0,IF(ISNUMBER(SEARCH("야경",$J382)),1,0))</f>
        <v>0</v>
      </c>
      <c r="V382" s="10" t="n">
        <f aca="false">IF($H382="숙박",0,1)</f>
        <v>1</v>
      </c>
    </row>
    <row r="383" customFormat="false" ht="15" hidden="false" customHeight="false" outlineLevel="0" collapsed="false">
      <c r="A383" s="8" t="n">
        <v>382</v>
      </c>
      <c r="B383" s="8" t="s">
        <v>45</v>
      </c>
      <c r="C383" s="8"/>
      <c r="D383" s="8" t="s">
        <v>1252</v>
      </c>
      <c r="E383" s="7" t="s">
        <v>1253</v>
      </c>
      <c r="F383" s="8" t="s">
        <v>199</v>
      </c>
      <c r="G383" s="8" t="s">
        <v>49</v>
      </c>
      <c r="H383" s="9" t="s">
        <v>49</v>
      </c>
      <c r="I383" s="9"/>
      <c r="J383" s="9" t="s">
        <v>479</v>
      </c>
      <c r="K383" s="9" t="s">
        <v>52</v>
      </c>
      <c r="L383" s="8"/>
      <c r="M383" s="8"/>
      <c r="N383" s="8"/>
      <c r="O383" s="8" t="s">
        <v>1254</v>
      </c>
      <c r="P383" s="10" t="n">
        <f aca="false">IF($H383="숙박",0,IF($H383=MID(P$1,3,20),IF($I383="",1,0.6),IF($I383=MID(P$1,3,20),0.4,0)))</f>
        <v>0</v>
      </c>
      <c r="Q383" s="10" t="n">
        <f aca="false">IF($H383="숙박",0,IF($H383=MID(Q$1,3,20),IF($I383="",1,0.6),IF($I383=MID(Q$1,3,20),0.4,0)))</f>
        <v>1</v>
      </c>
      <c r="R383" s="10" t="n">
        <f aca="false">IF($H383="숙박",0,IF($H383=MID(R$1,3,20),IF($I383="",1,0.6),IF($I383=MID(R$1,3,20),0.4,0)))</f>
        <v>0</v>
      </c>
      <c r="S383" s="10" t="n">
        <f aca="false">IF($H383="숙박",0,IF($H383=MID(S$1,3,20),IF($I383="",1,0.6),IF($I383=MID(S$1,3,20),0.4,0)))</f>
        <v>0</v>
      </c>
      <c r="T383" s="10" t="n">
        <f aca="false">IF($H383="숙박",0,IF($H383=MID(T$1,3,20),IF($I383="",1,0.6),IF($I383=MID(T$1,3,20),0.4,0)))</f>
        <v>0</v>
      </c>
      <c r="U383" s="10" t="n">
        <f aca="false">IF($H383="숙박",0,IF(ISNUMBER(SEARCH("야경",$J383)),1,0))</f>
        <v>0</v>
      </c>
      <c r="V383" s="10" t="n">
        <f aca="false">IF($H383="숙박",0,1)</f>
        <v>1</v>
      </c>
    </row>
    <row r="384" customFormat="false" ht="15" hidden="false" customHeight="false" outlineLevel="0" collapsed="false">
      <c r="A384" s="8" t="n">
        <v>383</v>
      </c>
      <c r="B384" s="8" t="s">
        <v>511</v>
      </c>
      <c r="C384" s="8"/>
      <c r="D384" s="8" t="s">
        <v>1255</v>
      </c>
      <c r="E384" s="7" t="s">
        <v>1256</v>
      </c>
      <c r="F384" s="7" t="s">
        <v>189</v>
      </c>
      <c r="G384" s="8" t="s">
        <v>184</v>
      </c>
      <c r="H384" s="9" t="s">
        <v>184</v>
      </c>
      <c r="I384" s="9"/>
      <c r="J384" s="9" t="s">
        <v>479</v>
      </c>
      <c r="K384" s="9" t="s">
        <v>191</v>
      </c>
      <c r="L384" s="8"/>
      <c r="M384" s="8"/>
      <c r="N384" s="8"/>
      <c r="O384" s="8" t="s">
        <v>1257</v>
      </c>
      <c r="P384" s="10" t="n">
        <f aca="false">IF($H384="숙박",0,IF($H384=MID(P$1,3,20),IF($I384="",1,0.6),IF($I384=MID(P$1,3,20),0.4,0)))</f>
        <v>0</v>
      </c>
      <c r="Q384" s="10" t="n">
        <f aca="false">IF($H384="숙박",0,IF($H384=MID(Q$1,3,20),IF($I384="",1,0.6),IF($I384=MID(Q$1,3,20),0.4,0)))</f>
        <v>0</v>
      </c>
      <c r="R384" s="10" t="n">
        <f aca="false">IF($H384="숙박",0,IF($H384=MID(R$1,3,20),IF($I384="",1,0.6),IF($I384=MID(R$1,3,20),0.4,0)))</f>
        <v>1</v>
      </c>
      <c r="S384" s="10" t="n">
        <f aca="false">IF($H384="숙박",0,IF($H384=MID(S$1,3,20),IF($I384="",1,0.6),IF($I384=MID(S$1,3,20),0.4,0)))</f>
        <v>0</v>
      </c>
      <c r="T384" s="10" t="n">
        <f aca="false">IF($H384="숙박",0,IF($H384=MID(T$1,3,20),IF($I384="",1,0.6),IF($I384=MID(T$1,3,20),0.4,0)))</f>
        <v>0</v>
      </c>
      <c r="U384" s="10" t="n">
        <f aca="false">IF($H384="숙박",0,IF(ISNUMBER(SEARCH("야경",$J384)),1,0))</f>
        <v>0</v>
      </c>
      <c r="V384" s="10" t="n">
        <f aca="false">IF($H384="숙박",0,1)</f>
        <v>1</v>
      </c>
    </row>
    <row r="385" customFormat="false" ht="15" hidden="false" customHeight="false" outlineLevel="0" collapsed="false">
      <c r="A385" s="8" t="n">
        <v>384</v>
      </c>
      <c r="B385" s="8" t="s">
        <v>45</v>
      </c>
      <c r="C385" s="8"/>
      <c r="D385" s="8" t="s">
        <v>1258</v>
      </c>
      <c r="E385" s="7" t="s">
        <v>1259</v>
      </c>
      <c r="F385" s="7" t="s">
        <v>189</v>
      </c>
      <c r="G385" s="8" t="s">
        <v>50</v>
      </c>
      <c r="H385" s="9" t="s">
        <v>50</v>
      </c>
      <c r="I385" s="9" t="s">
        <v>190</v>
      </c>
      <c r="J385" s="9" t="s">
        <v>51</v>
      </c>
      <c r="K385" s="9" t="s">
        <v>52</v>
      </c>
      <c r="L385" s="8"/>
      <c r="M385" s="8"/>
      <c r="N385" s="8" t="s">
        <v>483</v>
      </c>
      <c r="O385" s="8" t="s">
        <v>1260</v>
      </c>
      <c r="P385" s="10" t="n">
        <f aca="false">IF($H385="숙박",0,IF($H385=MID(P$1,3,20),IF($I385="",1,0.6),IF($I385=MID(P$1,3,20),0.4,0)))</f>
        <v>0.4</v>
      </c>
      <c r="Q385" s="10" t="n">
        <f aca="false">IF($H385="숙박",0,IF($H385=MID(Q$1,3,20),IF($I385="",1,0.6),IF($I385=MID(Q$1,3,20),0.4,0)))</f>
        <v>0</v>
      </c>
      <c r="R385" s="10" t="n">
        <f aca="false">IF($H385="숙박",0,IF($H385=MID(R$1,3,20),IF($I385="",1,0.6),IF($I385=MID(R$1,3,20),0.4,0)))</f>
        <v>0</v>
      </c>
      <c r="S385" s="10" t="n">
        <f aca="false">IF($H385="숙박",0,IF($H385=MID(S$1,3,20),IF($I385="",1,0.6),IF($I385=MID(S$1,3,20),0.4,0)))</f>
        <v>0</v>
      </c>
      <c r="T385" s="10" t="n">
        <f aca="false">IF($H385="숙박",0,IF($H385=MID(T$1,3,20),IF($I385="",1,0.6),IF($I385=MID(T$1,3,20),0.4,0)))</f>
        <v>0.6</v>
      </c>
      <c r="U385" s="10" t="n">
        <f aca="false">IF($H385="숙박",0,IF(ISNUMBER(SEARCH("야경",$J385)),1,0))</f>
        <v>0</v>
      </c>
      <c r="V385" s="10" t="n">
        <f aca="false">IF($H385="숙박",0,1)</f>
        <v>1</v>
      </c>
    </row>
    <row r="386" customFormat="false" ht="15" hidden="false" customHeight="false" outlineLevel="0" collapsed="false">
      <c r="A386" s="8" t="n">
        <v>385</v>
      </c>
      <c r="B386" s="8" t="s">
        <v>45</v>
      </c>
      <c r="C386" s="8"/>
      <c r="D386" s="8" t="s">
        <v>1261</v>
      </c>
      <c r="E386" s="7" t="s">
        <v>1262</v>
      </c>
      <c r="F386" s="8" t="s">
        <v>48</v>
      </c>
      <c r="G386" s="8" t="s">
        <v>49</v>
      </c>
      <c r="H386" s="9" t="s">
        <v>49</v>
      </c>
      <c r="I386" s="9"/>
      <c r="J386" s="9" t="s">
        <v>479</v>
      </c>
      <c r="K386" s="9" t="s">
        <v>52</v>
      </c>
      <c r="L386" s="8"/>
      <c r="M386" s="8"/>
      <c r="N386" s="8"/>
      <c r="O386" s="7" t="s">
        <v>1263</v>
      </c>
      <c r="P386" s="10" t="n">
        <f aca="false">IF($H386="숙박",0,IF($H386=MID(P$1,3,20),IF($I386="",1,0.6),IF($I386=MID(P$1,3,20),0.4,0)))</f>
        <v>0</v>
      </c>
      <c r="Q386" s="10" t="n">
        <f aca="false">IF($H386="숙박",0,IF($H386=MID(Q$1,3,20),IF($I386="",1,0.6),IF($I386=MID(Q$1,3,20),0.4,0)))</f>
        <v>1</v>
      </c>
      <c r="R386" s="10" t="n">
        <f aca="false">IF($H386="숙박",0,IF($H386=MID(R$1,3,20),IF($I386="",1,0.6),IF($I386=MID(R$1,3,20),0.4,0)))</f>
        <v>0</v>
      </c>
      <c r="S386" s="10" t="n">
        <f aca="false">IF($H386="숙박",0,IF($H386=MID(S$1,3,20),IF($I386="",1,0.6),IF($I386=MID(S$1,3,20),0.4,0)))</f>
        <v>0</v>
      </c>
      <c r="T386" s="10" t="n">
        <f aca="false">IF($H386="숙박",0,IF($H386=MID(T$1,3,20),IF($I386="",1,0.6),IF($I386=MID(T$1,3,20),0.4,0)))</f>
        <v>0</v>
      </c>
      <c r="U386" s="10" t="n">
        <f aca="false">IF($H386="숙박",0,IF(ISNUMBER(SEARCH("야경",$J386)),1,0))</f>
        <v>0</v>
      </c>
      <c r="V386" s="10" t="n">
        <f aca="false">IF($H386="숙박",0,1)</f>
        <v>1</v>
      </c>
    </row>
    <row r="387" customFormat="false" ht="15" hidden="false" customHeight="false" outlineLevel="0" collapsed="false">
      <c r="A387" s="8" t="n">
        <v>386</v>
      </c>
      <c r="B387" s="8" t="s">
        <v>45</v>
      </c>
      <c r="C387" s="8"/>
      <c r="D387" s="8" t="s">
        <v>1264</v>
      </c>
      <c r="E387" s="7" t="s">
        <v>1265</v>
      </c>
      <c r="F387" s="8" t="s">
        <v>48</v>
      </c>
      <c r="G387" s="8" t="s">
        <v>49</v>
      </c>
      <c r="H387" s="9" t="s">
        <v>49</v>
      </c>
      <c r="I387" s="9"/>
      <c r="J387" s="9" t="s">
        <v>479</v>
      </c>
      <c r="K387" s="9" t="s">
        <v>52</v>
      </c>
      <c r="L387" s="8"/>
      <c r="M387" s="8"/>
      <c r="N387" s="8"/>
      <c r="O387" s="8" t="s">
        <v>1266</v>
      </c>
      <c r="P387" s="10" t="n">
        <f aca="false">IF($H387="숙박",0,IF($H387=MID(P$1,3,20),IF($I387="",1,0.6),IF($I387=MID(P$1,3,20),0.4,0)))</f>
        <v>0</v>
      </c>
      <c r="Q387" s="10" t="n">
        <f aca="false">IF($H387="숙박",0,IF($H387=MID(Q$1,3,20),IF($I387="",1,0.6),IF($I387=MID(Q$1,3,20),0.4,0)))</f>
        <v>1</v>
      </c>
      <c r="R387" s="10" t="n">
        <f aca="false">IF($H387="숙박",0,IF($H387=MID(R$1,3,20),IF($I387="",1,0.6),IF($I387=MID(R$1,3,20),0.4,0)))</f>
        <v>0</v>
      </c>
      <c r="S387" s="10" t="n">
        <f aca="false">IF($H387="숙박",0,IF($H387=MID(S$1,3,20),IF($I387="",1,0.6),IF($I387=MID(S$1,3,20),0.4,0)))</f>
        <v>0</v>
      </c>
      <c r="T387" s="10" t="n">
        <f aca="false">IF($H387="숙박",0,IF($H387=MID(T$1,3,20),IF($I387="",1,0.6),IF($I387=MID(T$1,3,20),0.4,0)))</f>
        <v>0</v>
      </c>
      <c r="U387" s="10" t="n">
        <f aca="false">IF($H387="숙박",0,IF(ISNUMBER(SEARCH("야경",$J387)),1,0))</f>
        <v>0</v>
      </c>
      <c r="V387" s="10" t="n">
        <f aca="false">IF($H387="숙박",0,1)</f>
        <v>1</v>
      </c>
    </row>
    <row r="388" customFormat="false" ht="15" hidden="false" customHeight="false" outlineLevel="0" collapsed="false">
      <c r="A388" s="8" t="n">
        <v>387</v>
      </c>
      <c r="B388" s="8" t="s">
        <v>45</v>
      </c>
      <c r="C388" s="8"/>
      <c r="D388" s="8" t="s">
        <v>1267</v>
      </c>
      <c r="E388" s="7" t="s">
        <v>1268</v>
      </c>
      <c r="F388" s="8" t="s">
        <v>567</v>
      </c>
      <c r="G388" s="8" t="s">
        <v>49</v>
      </c>
      <c r="H388" s="9" t="s">
        <v>49</v>
      </c>
      <c r="I388" s="9" t="s">
        <v>190</v>
      </c>
      <c r="J388" s="9" t="s">
        <v>479</v>
      </c>
      <c r="K388" s="9" t="s">
        <v>52</v>
      </c>
      <c r="L388" s="8"/>
      <c r="M388" s="8"/>
      <c r="N388" s="8" t="s">
        <v>483</v>
      </c>
      <c r="O388" s="8" t="s">
        <v>1269</v>
      </c>
      <c r="P388" s="10" t="n">
        <f aca="false">IF($H388="숙박",0,IF($H388=MID(P$1,3,20),IF($I388="",1,0.6),IF($I388=MID(P$1,3,20),0.4,0)))</f>
        <v>0.4</v>
      </c>
      <c r="Q388" s="10" t="n">
        <f aca="false">IF($H388="숙박",0,IF($H388=MID(Q$1,3,20),IF($I388="",1,0.6),IF($I388=MID(Q$1,3,20),0.4,0)))</f>
        <v>0.6</v>
      </c>
      <c r="R388" s="10" t="n">
        <f aca="false">IF($H388="숙박",0,IF($H388=MID(R$1,3,20),IF($I388="",1,0.6),IF($I388=MID(R$1,3,20),0.4,0)))</f>
        <v>0</v>
      </c>
      <c r="S388" s="10" t="n">
        <f aca="false">IF($H388="숙박",0,IF($H388=MID(S$1,3,20),IF($I388="",1,0.6),IF($I388=MID(S$1,3,20),0.4,0)))</f>
        <v>0</v>
      </c>
      <c r="T388" s="10" t="n">
        <f aca="false">IF($H388="숙박",0,IF($H388=MID(T$1,3,20),IF($I388="",1,0.6),IF($I388=MID(T$1,3,20),0.4,0)))</f>
        <v>0</v>
      </c>
      <c r="U388" s="10" t="n">
        <f aca="false">IF($H388="숙박",0,IF(ISNUMBER(SEARCH("야경",$J388)),1,0))</f>
        <v>0</v>
      </c>
      <c r="V388" s="10" t="n">
        <f aca="false">IF($H388="숙박",0,1)</f>
        <v>1</v>
      </c>
    </row>
    <row r="389" customFormat="false" ht="15" hidden="false" customHeight="false" outlineLevel="0" collapsed="false">
      <c r="A389" s="8" t="n">
        <v>388</v>
      </c>
      <c r="B389" s="8" t="s">
        <v>45</v>
      </c>
      <c r="C389" s="8" t="s">
        <v>678</v>
      </c>
      <c r="D389" s="8" t="s">
        <v>1270</v>
      </c>
      <c r="E389" s="7" t="s">
        <v>1271</v>
      </c>
      <c r="F389" s="7" t="s">
        <v>189</v>
      </c>
      <c r="G389" s="8" t="s">
        <v>49</v>
      </c>
      <c r="H389" s="9" t="s">
        <v>49</v>
      </c>
      <c r="I389" s="9" t="s">
        <v>216</v>
      </c>
      <c r="J389" s="9" t="s">
        <v>479</v>
      </c>
      <c r="K389" s="9" t="s">
        <v>52</v>
      </c>
      <c r="L389" s="8"/>
      <c r="M389" s="8"/>
      <c r="N389" s="8" t="s">
        <v>483</v>
      </c>
      <c r="O389" s="8" t="s">
        <v>1272</v>
      </c>
      <c r="P389" s="10" t="n">
        <f aca="false">IF($H389="숙박",0,IF($H389=MID(P$1,3,20),IF($I389="",1,0.6),IF($I389=MID(P$1,3,20),0.4,0)))</f>
        <v>0</v>
      </c>
      <c r="Q389" s="10" t="n">
        <f aca="false">IF($H389="숙박",0,IF($H389=MID(Q$1,3,20),IF($I389="",1,0.6),IF($I389=MID(Q$1,3,20),0.4,0)))</f>
        <v>0.6</v>
      </c>
      <c r="R389" s="10" t="n">
        <f aca="false">IF($H389="숙박",0,IF($H389=MID(R$1,3,20),IF($I389="",1,0.6),IF($I389=MID(R$1,3,20),0.4,0)))</f>
        <v>0</v>
      </c>
      <c r="S389" s="10" t="n">
        <f aca="false">IF($H389="숙박",0,IF($H389=MID(S$1,3,20),IF($I389="",1,0.6),IF($I389=MID(S$1,3,20),0.4,0)))</f>
        <v>0.4</v>
      </c>
      <c r="T389" s="10" t="n">
        <f aca="false">IF($H389="숙박",0,IF($H389=MID(T$1,3,20),IF($I389="",1,0.6),IF($I389=MID(T$1,3,20),0.4,0)))</f>
        <v>0</v>
      </c>
      <c r="U389" s="10" t="n">
        <f aca="false">IF($H389="숙박",0,IF(ISNUMBER(SEARCH("야경",$J389)),1,0))</f>
        <v>0</v>
      </c>
      <c r="V389" s="10" t="n">
        <f aca="false">IF($H389="숙박",0,1)</f>
        <v>1</v>
      </c>
    </row>
    <row r="390" customFormat="false" ht="15" hidden="false" customHeight="false" outlineLevel="0" collapsed="false">
      <c r="A390" s="8" t="n">
        <v>389</v>
      </c>
      <c r="B390" s="8" t="s">
        <v>45</v>
      </c>
      <c r="C390" s="8" t="s">
        <v>688</v>
      </c>
      <c r="D390" s="8" t="s">
        <v>1273</v>
      </c>
      <c r="E390" s="7" t="s">
        <v>1274</v>
      </c>
      <c r="F390" s="7" t="s">
        <v>189</v>
      </c>
      <c r="G390" s="8" t="s">
        <v>50</v>
      </c>
      <c r="H390" s="9" t="s">
        <v>50</v>
      </c>
      <c r="I390" s="9" t="s">
        <v>49</v>
      </c>
      <c r="J390" s="9" t="s">
        <v>51</v>
      </c>
      <c r="K390" s="9" t="s">
        <v>52</v>
      </c>
      <c r="L390" s="8"/>
      <c r="M390" s="8"/>
      <c r="N390" s="8" t="s">
        <v>483</v>
      </c>
      <c r="O390" s="8" t="s">
        <v>1275</v>
      </c>
      <c r="P390" s="10" t="n">
        <f aca="false">IF($H390="숙박",0,IF($H390=MID(P$1,3,20),IF($I390="",1,0.6),IF($I390=MID(P$1,3,20),0.4,0)))</f>
        <v>0</v>
      </c>
      <c r="Q390" s="10" t="n">
        <f aca="false">IF($H390="숙박",0,IF($H390=MID(Q$1,3,20),IF($I390="",1,0.6),IF($I390=MID(Q$1,3,20),0.4,0)))</f>
        <v>0.4</v>
      </c>
      <c r="R390" s="10" t="n">
        <f aca="false">IF($H390="숙박",0,IF($H390=MID(R$1,3,20),IF($I390="",1,0.6),IF($I390=MID(R$1,3,20),0.4,0)))</f>
        <v>0</v>
      </c>
      <c r="S390" s="10" t="n">
        <f aca="false">IF($H390="숙박",0,IF($H390=MID(S$1,3,20),IF($I390="",1,0.6),IF($I390=MID(S$1,3,20),0.4,0)))</f>
        <v>0</v>
      </c>
      <c r="T390" s="10" t="n">
        <f aca="false">IF($H390="숙박",0,IF($H390=MID(T$1,3,20),IF($I390="",1,0.6),IF($I390=MID(T$1,3,20),0.4,0)))</f>
        <v>0.6</v>
      </c>
      <c r="U390" s="10" t="n">
        <f aca="false">IF($H390="숙박",0,IF(ISNUMBER(SEARCH("야경",$J390)),1,0))</f>
        <v>0</v>
      </c>
      <c r="V390" s="10" t="n">
        <f aca="false">IF($H390="숙박",0,1)</f>
        <v>1</v>
      </c>
    </row>
    <row r="391" customFormat="false" ht="15" hidden="false" customHeight="false" outlineLevel="0" collapsed="false">
      <c r="A391" s="8" t="n">
        <v>390</v>
      </c>
      <c r="B391" s="8" t="s">
        <v>45</v>
      </c>
      <c r="C391" s="8"/>
      <c r="D391" s="8" t="s">
        <v>1276</v>
      </c>
      <c r="E391" s="7" t="s">
        <v>1277</v>
      </c>
      <c r="F391" s="8" t="s">
        <v>199</v>
      </c>
      <c r="G391" s="8" t="s">
        <v>216</v>
      </c>
      <c r="H391" s="9" t="s">
        <v>216</v>
      </c>
      <c r="I391" s="9"/>
      <c r="J391" s="9" t="s">
        <v>479</v>
      </c>
      <c r="K391" s="9" t="s">
        <v>52</v>
      </c>
      <c r="L391" s="8"/>
      <c r="M391" s="8"/>
      <c r="N391" s="8"/>
      <c r="O391" s="8" t="s">
        <v>1278</v>
      </c>
      <c r="P391" s="10" t="n">
        <f aca="false">IF($H391="숙박",0,IF($H391=MID(P$1,3,20),IF($I391="",1,0.6),IF($I391=MID(P$1,3,20),0.4,0)))</f>
        <v>0</v>
      </c>
      <c r="Q391" s="10" t="n">
        <f aca="false">IF($H391="숙박",0,IF($H391=MID(Q$1,3,20),IF($I391="",1,0.6),IF($I391=MID(Q$1,3,20),0.4,0)))</f>
        <v>0</v>
      </c>
      <c r="R391" s="10" t="n">
        <f aca="false">IF($H391="숙박",0,IF($H391=MID(R$1,3,20),IF($I391="",1,0.6),IF($I391=MID(R$1,3,20),0.4,0)))</f>
        <v>0</v>
      </c>
      <c r="S391" s="10" t="n">
        <f aca="false">IF($H391="숙박",0,IF($H391=MID(S$1,3,20),IF($I391="",1,0.6),IF($I391=MID(S$1,3,20),0.4,0)))</f>
        <v>1</v>
      </c>
      <c r="T391" s="10" t="n">
        <f aca="false">IF($H391="숙박",0,IF($H391=MID(T$1,3,20),IF($I391="",1,0.6),IF($I391=MID(T$1,3,20),0.4,0)))</f>
        <v>0</v>
      </c>
      <c r="U391" s="10" t="n">
        <f aca="false">IF($H391="숙박",0,IF(ISNUMBER(SEARCH("야경",$J391)),1,0))</f>
        <v>0</v>
      </c>
      <c r="V391" s="10" t="n">
        <f aca="false">IF($H391="숙박",0,1)</f>
        <v>1</v>
      </c>
    </row>
    <row r="392" customFormat="false" ht="15" hidden="false" customHeight="false" outlineLevel="0" collapsed="false">
      <c r="A392" s="8" t="n">
        <v>391</v>
      </c>
      <c r="B392" s="8" t="s">
        <v>45</v>
      </c>
      <c r="C392" s="8"/>
      <c r="D392" s="8" t="s">
        <v>1279</v>
      </c>
      <c r="E392" s="7" t="s">
        <v>1280</v>
      </c>
      <c r="F392" s="8" t="s">
        <v>48</v>
      </c>
      <c r="G392" s="8" t="s">
        <v>190</v>
      </c>
      <c r="H392" s="9" t="s">
        <v>190</v>
      </c>
      <c r="I392" s="9"/>
      <c r="J392" s="9" t="s">
        <v>479</v>
      </c>
      <c r="K392" s="9" t="s">
        <v>191</v>
      </c>
      <c r="L392" s="8"/>
      <c r="M392" s="8"/>
      <c r="N392" s="8"/>
      <c r="O392" s="8" t="s">
        <v>1281</v>
      </c>
      <c r="P392" s="10" t="n">
        <f aca="false">IF($H392="숙박",0,IF($H392=MID(P$1,3,20),IF($I392="",1,0.6),IF($I392=MID(P$1,3,20),0.4,0)))</f>
        <v>1</v>
      </c>
      <c r="Q392" s="10" t="n">
        <f aca="false">IF($H392="숙박",0,IF($H392=MID(Q$1,3,20),IF($I392="",1,0.6),IF($I392=MID(Q$1,3,20),0.4,0)))</f>
        <v>0</v>
      </c>
      <c r="R392" s="10" t="n">
        <f aca="false">IF($H392="숙박",0,IF($H392=MID(R$1,3,20),IF($I392="",1,0.6),IF($I392=MID(R$1,3,20),0.4,0)))</f>
        <v>0</v>
      </c>
      <c r="S392" s="10" t="n">
        <f aca="false">IF($H392="숙박",0,IF($H392=MID(S$1,3,20),IF($I392="",1,0.6),IF($I392=MID(S$1,3,20),0.4,0)))</f>
        <v>0</v>
      </c>
      <c r="T392" s="10" t="n">
        <f aca="false">IF($H392="숙박",0,IF($H392=MID(T$1,3,20),IF($I392="",1,0.6),IF($I392=MID(T$1,3,20),0.4,0)))</f>
        <v>0</v>
      </c>
      <c r="U392" s="10" t="n">
        <f aca="false">IF($H392="숙박",0,IF(ISNUMBER(SEARCH("야경",$J392)),1,0))</f>
        <v>0</v>
      </c>
      <c r="V392" s="10" t="n">
        <f aca="false">IF($H392="숙박",0,1)</f>
        <v>1</v>
      </c>
    </row>
    <row r="393" customFormat="false" ht="15" hidden="false" customHeight="false" outlineLevel="0" collapsed="false">
      <c r="A393" s="8" t="n">
        <v>392</v>
      </c>
      <c r="B393" s="8" t="s">
        <v>511</v>
      </c>
      <c r="C393" s="8"/>
      <c r="D393" s="8" t="s">
        <v>1282</v>
      </c>
      <c r="E393" s="7" t="s">
        <v>1283</v>
      </c>
      <c r="F393" s="7" t="s">
        <v>189</v>
      </c>
      <c r="G393" s="8" t="s">
        <v>50</v>
      </c>
      <c r="H393" s="9" t="s">
        <v>50</v>
      </c>
      <c r="I393" s="9"/>
      <c r="J393" s="9" t="s">
        <v>51</v>
      </c>
      <c r="K393" s="9" t="s">
        <v>52</v>
      </c>
      <c r="L393" s="8"/>
      <c r="M393" s="8"/>
      <c r="N393" s="8"/>
      <c r="O393" s="8" t="s">
        <v>1284</v>
      </c>
      <c r="P393" s="10" t="n">
        <f aca="false">IF($H393="숙박",0,IF($H393=MID(P$1,3,20),IF($I393="",1,0.6),IF($I393=MID(P$1,3,20),0.4,0)))</f>
        <v>0</v>
      </c>
      <c r="Q393" s="10" t="n">
        <f aca="false">IF($H393="숙박",0,IF($H393=MID(Q$1,3,20),IF($I393="",1,0.6),IF($I393=MID(Q$1,3,20),0.4,0)))</f>
        <v>0</v>
      </c>
      <c r="R393" s="10" t="n">
        <f aca="false">IF($H393="숙박",0,IF($H393=MID(R$1,3,20),IF($I393="",1,0.6),IF($I393=MID(R$1,3,20),0.4,0)))</f>
        <v>0</v>
      </c>
      <c r="S393" s="10" t="n">
        <f aca="false">IF($H393="숙박",0,IF($H393=MID(S$1,3,20),IF($I393="",1,0.6),IF($I393=MID(S$1,3,20),0.4,0)))</f>
        <v>0</v>
      </c>
      <c r="T393" s="10" t="n">
        <f aca="false">IF($H393="숙박",0,IF($H393=MID(T$1,3,20),IF($I393="",1,0.6),IF($I393=MID(T$1,3,20),0.4,0)))</f>
        <v>1</v>
      </c>
      <c r="U393" s="10" t="n">
        <f aca="false">IF($H393="숙박",0,IF(ISNUMBER(SEARCH("야경",$J393)),1,0))</f>
        <v>0</v>
      </c>
      <c r="V393" s="10" t="n">
        <f aca="false">IF($H393="숙박",0,1)</f>
        <v>1</v>
      </c>
    </row>
    <row r="394" customFormat="false" ht="15" hidden="false" customHeight="false" outlineLevel="0" collapsed="false">
      <c r="A394" s="8" t="n">
        <v>393</v>
      </c>
      <c r="B394" s="8" t="s">
        <v>45</v>
      </c>
      <c r="C394" s="8"/>
      <c r="D394" s="8" t="s">
        <v>1285</v>
      </c>
      <c r="E394" s="7" t="s">
        <v>1286</v>
      </c>
      <c r="F394" s="8" t="s">
        <v>48</v>
      </c>
      <c r="G394" s="8" t="s">
        <v>190</v>
      </c>
      <c r="H394" s="9" t="s">
        <v>190</v>
      </c>
      <c r="I394" s="9" t="s">
        <v>50</v>
      </c>
      <c r="J394" s="9" t="s">
        <v>195</v>
      </c>
      <c r="K394" s="9" t="s">
        <v>191</v>
      </c>
      <c r="L394" s="8"/>
      <c r="M394" s="8"/>
      <c r="N394" s="8" t="s">
        <v>185</v>
      </c>
      <c r="O394" s="8" t="s">
        <v>1287</v>
      </c>
      <c r="P394" s="10" t="n">
        <f aca="false">IF($H394="숙박",0,IF($H394=MID(P$1,3,20),IF($I394="",1,0.6),IF($I394=MID(P$1,3,20),0.4,0)))</f>
        <v>0.6</v>
      </c>
      <c r="Q394" s="10" t="n">
        <f aca="false">IF($H394="숙박",0,IF($H394=MID(Q$1,3,20),IF($I394="",1,0.6),IF($I394=MID(Q$1,3,20),0.4,0)))</f>
        <v>0</v>
      </c>
      <c r="R394" s="10" t="n">
        <f aca="false">IF($H394="숙박",0,IF($H394=MID(R$1,3,20),IF($I394="",1,0.6),IF($I394=MID(R$1,3,20),0.4,0)))</f>
        <v>0</v>
      </c>
      <c r="S394" s="10" t="n">
        <f aca="false">IF($H394="숙박",0,IF($H394=MID(S$1,3,20),IF($I394="",1,0.6),IF($I394=MID(S$1,3,20),0.4,0)))</f>
        <v>0</v>
      </c>
      <c r="T394" s="10" t="n">
        <f aca="false">IF($H394="숙박",0,IF($H394=MID(T$1,3,20),IF($I394="",1,0.6),IF($I394=MID(T$1,3,20),0.4,0)))</f>
        <v>0.4</v>
      </c>
      <c r="U394" s="10" t="n">
        <f aca="false">IF($H394="숙박",0,IF(ISNUMBER(SEARCH("야경",$J394)),1,0))</f>
        <v>0</v>
      </c>
      <c r="V394" s="10" t="n">
        <f aca="false">IF($H394="숙박",0,1)</f>
        <v>1</v>
      </c>
    </row>
    <row r="395" customFormat="false" ht="15" hidden="false" customHeight="false" outlineLevel="0" collapsed="false">
      <c r="A395" s="8" t="n">
        <v>394</v>
      </c>
      <c r="B395" s="8" t="s">
        <v>45</v>
      </c>
      <c r="C395" s="8"/>
      <c r="D395" s="8" t="s">
        <v>1288</v>
      </c>
      <c r="E395" s="7" t="s">
        <v>1289</v>
      </c>
      <c r="F395" s="8" t="s">
        <v>59</v>
      </c>
      <c r="G395" s="8" t="s">
        <v>190</v>
      </c>
      <c r="H395" s="9" t="s">
        <v>190</v>
      </c>
      <c r="I395" s="9" t="s">
        <v>50</v>
      </c>
      <c r="J395" s="9" t="s">
        <v>51</v>
      </c>
      <c r="K395" s="9" t="s">
        <v>191</v>
      </c>
      <c r="L395" s="8"/>
      <c r="M395" s="8"/>
      <c r="N395" s="8" t="s">
        <v>185</v>
      </c>
      <c r="O395" s="8" t="s">
        <v>1290</v>
      </c>
      <c r="P395" s="10" t="n">
        <f aca="false">IF($H395="숙박",0,IF($H395=MID(P$1,3,20),IF($I395="",1,0.6),IF($I395=MID(P$1,3,20),0.4,0)))</f>
        <v>0.6</v>
      </c>
      <c r="Q395" s="10" t="n">
        <f aca="false">IF($H395="숙박",0,IF($H395=MID(Q$1,3,20),IF($I395="",1,0.6),IF($I395=MID(Q$1,3,20),0.4,0)))</f>
        <v>0</v>
      </c>
      <c r="R395" s="10" t="n">
        <f aca="false">IF($H395="숙박",0,IF($H395=MID(R$1,3,20),IF($I395="",1,0.6),IF($I395=MID(R$1,3,20),0.4,0)))</f>
        <v>0</v>
      </c>
      <c r="S395" s="10" t="n">
        <f aca="false">IF($H395="숙박",0,IF($H395=MID(S$1,3,20),IF($I395="",1,0.6),IF($I395=MID(S$1,3,20),0.4,0)))</f>
        <v>0</v>
      </c>
      <c r="T395" s="10" t="n">
        <f aca="false">IF($H395="숙박",0,IF($H395=MID(T$1,3,20),IF($I395="",1,0.6),IF($I395=MID(T$1,3,20),0.4,0)))</f>
        <v>0.4</v>
      </c>
      <c r="U395" s="10" t="n">
        <f aca="false">IF($H395="숙박",0,IF(ISNUMBER(SEARCH("야경",$J395)),1,0))</f>
        <v>0</v>
      </c>
      <c r="V395" s="10" t="n">
        <f aca="false">IF($H395="숙박",0,1)</f>
        <v>1</v>
      </c>
    </row>
    <row r="396" customFormat="false" ht="15" hidden="false" customHeight="false" outlineLevel="0" collapsed="false">
      <c r="A396" s="8" t="n">
        <v>395</v>
      </c>
      <c r="B396" s="8" t="s">
        <v>511</v>
      </c>
      <c r="C396" s="8"/>
      <c r="D396" s="8" t="s">
        <v>1291</v>
      </c>
      <c r="E396" s="7" t="s">
        <v>1292</v>
      </c>
      <c r="F396" s="7" t="s">
        <v>189</v>
      </c>
      <c r="G396" s="8" t="s">
        <v>216</v>
      </c>
      <c r="H396" s="9" t="s">
        <v>216</v>
      </c>
      <c r="I396" s="9"/>
      <c r="J396" s="9" t="s">
        <v>479</v>
      </c>
      <c r="K396" s="9" t="s">
        <v>52</v>
      </c>
      <c r="L396" s="8"/>
      <c r="M396" s="8"/>
      <c r="N396" s="8"/>
      <c r="O396" s="8" t="s">
        <v>1293</v>
      </c>
      <c r="P396" s="10" t="n">
        <f aca="false">IF($H396="숙박",0,IF($H396=MID(P$1,3,20),IF($I396="",1,0.6),IF($I396=MID(P$1,3,20),0.4,0)))</f>
        <v>0</v>
      </c>
      <c r="Q396" s="10" t="n">
        <f aca="false">IF($H396="숙박",0,IF($H396=MID(Q$1,3,20),IF($I396="",1,0.6),IF($I396=MID(Q$1,3,20),0.4,0)))</f>
        <v>0</v>
      </c>
      <c r="R396" s="10" t="n">
        <f aca="false">IF($H396="숙박",0,IF($H396=MID(R$1,3,20),IF($I396="",1,0.6),IF($I396=MID(R$1,3,20),0.4,0)))</f>
        <v>0</v>
      </c>
      <c r="S396" s="10" t="n">
        <f aca="false">IF($H396="숙박",0,IF($H396=MID(S$1,3,20),IF($I396="",1,0.6),IF($I396=MID(S$1,3,20),0.4,0)))</f>
        <v>1</v>
      </c>
      <c r="T396" s="10" t="n">
        <f aca="false">IF($H396="숙박",0,IF($H396=MID(T$1,3,20),IF($I396="",1,0.6),IF($I396=MID(T$1,3,20),0.4,0)))</f>
        <v>0</v>
      </c>
      <c r="U396" s="10" t="n">
        <f aca="false">IF($H396="숙박",0,IF(ISNUMBER(SEARCH("야경",$J396)),1,0))</f>
        <v>0</v>
      </c>
      <c r="V396" s="10" t="n">
        <f aca="false">IF($H396="숙박",0,1)</f>
        <v>1</v>
      </c>
    </row>
    <row r="397" customFormat="false" ht="15" hidden="false" customHeight="false" outlineLevel="0" collapsed="false">
      <c r="A397" s="8" t="n">
        <v>396</v>
      </c>
      <c r="B397" s="8" t="s">
        <v>45</v>
      </c>
      <c r="C397" s="8"/>
      <c r="D397" s="8" t="s">
        <v>1294</v>
      </c>
      <c r="E397" s="7" t="s">
        <v>1295</v>
      </c>
      <c r="F397" s="8" t="s">
        <v>59</v>
      </c>
      <c r="G397" s="8" t="s">
        <v>49</v>
      </c>
      <c r="H397" s="9" t="s">
        <v>49</v>
      </c>
      <c r="I397" s="9"/>
      <c r="J397" s="9" t="s">
        <v>479</v>
      </c>
      <c r="K397" s="9" t="s">
        <v>52</v>
      </c>
      <c r="L397" s="8"/>
      <c r="M397" s="8"/>
      <c r="N397" s="8"/>
      <c r="O397" s="8" t="s">
        <v>1296</v>
      </c>
      <c r="P397" s="10" t="n">
        <f aca="false">IF($H397="숙박",0,IF($H397=MID(P$1,3,20),IF($I397="",1,0.6),IF($I397=MID(P$1,3,20),0.4,0)))</f>
        <v>0</v>
      </c>
      <c r="Q397" s="10" t="n">
        <f aca="false">IF($H397="숙박",0,IF($H397=MID(Q$1,3,20),IF($I397="",1,0.6),IF($I397=MID(Q$1,3,20),0.4,0)))</f>
        <v>1</v>
      </c>
      <c r="R397" s="10" t="n">
        <f aca="false">IF($H397="숙박",0,IF($H397=MID(R$1,3,20),IF($I397="",1,0.6),IF($I397=MID(R$1,3,20),0.4,0)))</f>
        <v>0</v>
      </c>
      <c r="S397" s="10" t="n">
        <f aca="false">IF($H397="숙박",0,IF($H397=MID(S$1,3,20),IF($I397="",1,0.6),IF($I397=MID(S$1,3,20),0.4,0)))</f>
        <v>0</v>
      </c>
      <c r="T397" s="10" t="n">
        <f aca="false">IF($H397="숙박",0,IF($H397=MID(T$1,3,20),IF($I397="",1,0.6),IF($I397=MID(T$1,3,20),0.4,0)))</f>
        <v>0</v>
      </c>
      <c r="U397" s="10" t="n">
        <f aca="false">IF($H397="숙박",0,IF(ISNUMBER(SEARCH("야경",$J397)),1,0))</f>
        <v>0</v>
      </c>
      <c r="V397" s="10" t="n">
        <f aca="false">IF($H397="숙박",0,1)</f>
        <v>1</v>
      </c>
    </row>
    <row r="398" customFormat="false" ht="15" hidden="false" customHeight="false" outlineLevel="0" collapsed="false">
      <c r="A398" s="8" t="n">
        <v>397</v>
      </c>
      <c r="B398" s="8" t="s">
        <v>45</v>
      </c>
      <c r="C398" s="8"/>
      <c r="D398" s="8" t="s">
        <v>1297</v>
      </c>
      <c r="E398" s="7" t="s">
        <v>1298</v>
      </c>
      <c r="F398" s="8" t="s">
        <v>48</v>
      </c>
      <c r="G398" s="8" t="s">
        <v>184</v>
      </c>
      <c r="H398" s="9" t="s">
        <v>184</v>
      </c>
      <c r="I398" s="9" t="s">
        <v>50</v>
      </c>
      <c r="J398" s="9" t="s">
        <v>51</v>
      </c>
      <c r="K398" s="9" t="s">
        <v>52</v>
      </c>
      <c r="L398" s="8"/>
      <c r="M398" s="8"/>
      <c r="N398" s="8" t="s">
        <v>185</v>
      </c>
      <c r="O398" s="8" t="s">
        <v>1299</v>
      </c>
      <c r="P398" s="10" t="n">
        <f aca="false">IF($H398="숙박",0,IF($H398=MID(P$1,3,20),IF($I398="",1,0.6),IF($I398=MID(P$1,3,20),0.4,0)))</f>
        <v>0</v>
      </c>
      <c r="Q398" s="10" t="n">
        <f aca="false">IF($H398="숙박",0,IF($H398=MID(Q$1,3,20),IF($I398="",1,0.6),IF($I398=MID(Q$1,3,20),0.4,0)))</f>
        <v>0</v>
      </c>
      <c r="R398" s="10" t="n">
        <f aca="false">IF($H398="숙박",0,IF($H398=MID(R$1,3,20),IF($I398="",1,0.6),IF($I398=MID(R$1,3,20),0.4,0)))</f>
        <v>0.6</v>
      </c>
      <c r="S398" s="10" t="n">
        <f aca="false">IF($H398="숙박",0,IF($H398=MID(S$1,3,20),IF($I398="",1,0.6),IF($I398=MID(S$1,3,20),0.4,0)))</f>
        <v>0</v>
      </c>
      <c r="T398" s="10" t="n">
        <f aca="false">IF($H398="숙박",0,IF($H398=MID(T$1,3,20),IF($I398="",1,0.6),IF($I398=MID(T$1,3,20),0.4,0)))</f>
        <v>0.4</v>
      </c>
      <c r="U398" s="10" t="n">
        <f aca="false">IF($H398="숙박",0,IF(ISNUMBER(SEARCH("야경",$J398)),1,0))</f>
        <v>0</v>
      </c>
      <c r="V398" s="10" t="n">
        <f aca="false">IF($H398="숙박",0,1)</f>
        <v>1</v>
      </c>
    </row>
    <row r="399" customFormat="false" ht="15" hidden="false" customHeight="false" outlineLevel="0" collapsed="false">
      <c r="A399" s="8" t="n">
        <v>398</v>
      </c>
      <c r="B399" s="8" t="s">
        <v>45</v>
      </c>
      <c r="C399" s="8"/>
      <c r="D399" s="8" t="s">
        <v>1300</v>
      </c>
      <c r="E399" s="7" t="s">
        <v>1301</v>
      </c>
      <c r="F399" s="8" t="s">
        <v>199</v>
      </c>
      <c r="G399" s="8" t="s">
        <v>184</v>
      </c>
      <c r="H399" s="9" t="s">
        <v>184</v>
      </c>
      <c r="I399" s="9" t="s">
        <v>49</v>
      </c>
      <c r="J399" s="9" t="s">
        <v>479</v>
      </c>
      <c r="K399" s="9" t="s">
        <v>52</v>
      </c>
      <c r="L399" s="8"/>
      <c r="M399" s="8"/>
      <c r="N399" s="8" t="s">
        <v>483</v>
      </c>
      <c r="O399" s="8" t="s">
        <v>1302</v>
      </c>
      <c r="P399" s="10" t="n">
        <f aca="false">IF($H399="숙박",0,IF($H399=MID(P$1,3,20),IF($I399="",1,0.6),IF($I399=MID(P$1,3,20),0.4,0)))</f>
        <v>0</v>
      </c>
      <c r="Q399" s="10" t="n">
        <f aca="false">IF($H399="숙박",0,IF($H399=MID(Q$1,3,20),IF($I399="",1,0.6),IF($I399=MID(Q$1,3,20),0.4,0)))</f>
        <v>0.4</v>
      </c>
      <c r="R399" s="10" t="n">
        <f aca="false">IF($H399="숙박",0,IF($H399=MID(R$1,3,20),IF($I399="",1,0.6),IF($I399=MID(R$1,3,20),0.4,0)))</f>
        <v>0.6</v>
      </c>
      <c r="S399" s="10" t="n">
        <f aca="false">IF($H399="숙박",0,IF($H399=MID(S$1,3,20),IF($I399="",1,0.6),IF($I399=MID(S$1,3,20),0.4,0)))</f>
        <v>0</v>
      </c>
      <c r="T399" s="10" t="n">
        <f aca="false">IF($H399="숙박",0,IF($H399=MID(T$1,3,20),IF($I399="",1,0.6),IF($I399=MID(T$1,3,20),0.4,0)))</f>
        <v>0</v>
      </c>
      <c r="U399" s="10" t="n">
        <f aca="false">IF($H399="숙박",0,IF(ISNUMBER(SEARCH("야경",$J399)),1,0))</f>
        <v>0</v>
      </c>
      <c r="V399" s="10" t="n">
        <f aca="false">IF($H399="숙박",0,1)</f>
        <v>1</v>
      </c>
    </row>
    <row r="400" customFormat="false" ht="15" hidden="false" customHeight="false" outlineLevel="0" collapsed="false">
      <c r="A400" s="8" t="n">
        <v>399</v>
      </c>
      <c r="B400" s="8" t="s">
        <v>45</v>
      </c>
      <c r="C400" s="8"/>
      <c r="D400" s="8" t="s">
        <v>1303</v>
      </c>
      <c r="E400" s="7" t="s">
        <v>1304</v>
      </c>
      <c r="F400" s="8" t="s">
        <v>48</v>
      </c>
      <c r="G400" s="8" t="s">
        <v>190</v>
      </c>
      <c r="H400" s="9" t="s">
        <v>190</v>
      </c>
      <c r="I400" s="9"/>
      <c r="J400" s="9" t="s">
        <v>479</v>
      </c>
      <c r="K400" s="9" t="s">
        <v>191</v>
      </c>
      <c r="L400" s="8"/>
      <c r="M400" s="8"/>
      <c r="N400" s="8"/>
      <c r="O400" s="8" t="s">
        <v>1305</v>
      </c>
      <c r="P400" s="10" t="n">
        <f aca="false">IF($H400="숙박",0,IF($H400=MID(P$1,3,20),IF($I400="",1,0.6),IF($I400=MID(P$1,3,20),0.4,0)))</f>
        <v>1</v>
      </c>
      <c r="Q400" s="10" t="n">
        <f aca="false">IF($H400="숙박",0,IF($H400=MID(Q$1,3,20),IF($I400="",1,0.6),IF($I400=MID(Q$1,3,20),0.4,0)))</f>
        <v>0</v>
      </c>
      <c r="R400" s="10" t="n">
        <f aca="false">IF($H400="숙박",0,IF($H400=MID(R$1,3,20),IF($I400="",1,0.6),IF($I400=MID(R$1,3,20),0.4,0)))</f>
        <v>0</v>
      </c>
      <c r="S400" s="10" t="n">
        <f aca="false">IF($H400="숙박",0,IF($H400=MID(S$1,3,20),IF($I400="",1,0.6),IF($I400=MID(S$1,3,20),0.4,0)))</f>
        <v>0</v>
      </c>
      <c r="T400" s="10" t="n">
        <f aca="false">IF($H400="숙박",0,IF($H400=MID(T$1,3,20),IF($I400="",1,0.6),IF($I400=MID(T$1,3,20),0.4,0)))</f>
        <v>0</v>
      </c>
      <c r="U400" s="10" t="n">
        <f aca="false">IF($H400="숙박",0,IF(ISNUMBER(SEARCH("야경",$J400)),1,0))</f>
        <v>0</v>
      </c>
      <c r="V400" s="10" t="n">
        <f aca="false">IF($H400="숙박",0,1)</f>
        <v>1</v>
      </c>
    </row>
    <row r="401" customFormat="false" ht="15" hidden="false" customHeight="false" outlineLevel="0" collapsed="false">
      <c r="A401" s="8" t="n">
        <v>400</v>
      </c>
      <c r="B401" s="8" t="s">
        <v>45</v>
      </c>
      <c r="C401" s="8"/>
      <c r="D401" s="8" t="s">
        <v>1306</v>
      </c>
      <c r="E401" s="7" t="s">
        <v>1307</v>
      </c>
      <c r="F401" s="8" t="s">
        <v>199</v>
      </c>
      <c r="G401" s="8" t="s">
        <v>216</v>
      </c>
      <c r="H401" s="9" t="s">
        <v>216</v>
      </c>
      <c r="I401" s="9"/>
      <c r="J401" s="9" t="s">
        <v>479</v>
      </c>
      <c r="K401" s="9" t="s">
        <v>191</v>
      </c>
      <c r="L401" s="8"/>
      <c r="M401" s="8"/>
      <c r="N401" s="8"/>
      <c r="O401" s="8" t="s">
        <v>1308</v>
      </c>
      <c r="P401" s="10" t="n">
        <f aca="false">IF($H401="숙박",0,IF($H401=MID(P$1,3,20),IF($I401="",1,0.6),IF($I401=MID(P$1,3,20),0.4,0)))</f>
        <v>0</v>
      </c>
      <c r="Q401" s="10" t="n">
        <f aca="false">IF($H401="숙박",0,IF($H401=MID(Q$1,3,20),IF($I401="",1,0.6),IF($I401=MID(Q$1,3,20),0.4,0)))</f>
        <v>0</v>
      </c>
      <c r="R401" s="10" t="n">
        <f aca="false">IF($H401="숙박",0,IF($H401=MID(R$1,3,20),IF($I401="",1,0.6),IF($I401=MID(R$1,3,20),0.4,0)))</f>
        <v>0</v>
      </c>
      <c r="S401" s="10" t="n">
        <f aca="false">IF($H401="숙박",0,IF($H401=MID(S$1,3,20),IF($I401="",1,0.6),IF($I401=MID(S$1,3,20),0.4,0)))</f>
        <v>1</v>
      </c>
      <c r="T401" s="10" t="n">
        <f aca="false">IF($H401="숙박",0,IF($H401=MID(T$1,3,20),IF($I401="",1,0.6),IF($I401=MID(T$1,3,20),0.4,0)))</f>
        <v>0</v>
      </c>
      <c r="U401" s="10" t="n">
        <f aca="false">IF($H401="숙박",0,IF(ISNUMBER(SEARCH("야경",$J401)),1,0))</f>
        <v>0</v>
      </c>
      <c r="V401" s="10" t="n">
        <f aca="false">IF($H401="숙박",0,1)</f>
        <v>1</v>
      </c>
    </row>
    <row r="402" customFormat="false" ht="15" hidden="false" customHeight="false" outlineLevel="0" collapsed="false">
      <c r="A402" s="8" t="n">
        <v>401</v>
      </c>
      <c r="B402" s="8" t="s">
        <v>511</v>
      </c>
      <c r="C402" s="8"/>
      <c r="D402" s="8" t="s">
        <v>1309</v>
      </c>
      <c r="E402" s="7" t="s">
        <v>1310</v>
      </c>
      <c r="F402" s="7" t="s">
        <v>189</v>
      </c>
      <c r="G402" s="8" t="s">
        <v>190</v>
      </c>
      <c r="H402" s="9" t="s">
        <v>190</v>
      </c>
      <c r="I402" s="9"/>
      <c r="J402" s="9" t="s">
        <v>479</v>
      </c>
      <c r="K402" s="9" t="s">
        <v>191</v>
      </c>
      <c r="L402" s="8"/>
      <c r="M402" s="8"/>
      <c r="N402" s="8"/>
      <c r="O402" s="8" t="s">
        <v>1311</v>
      </c>
      <c r="P402" s="10" t="n">
        <f aca="false">IF($H402="숙박",0,IF($H402=MID(P$1,3,20),IF($I402="",1,0.6),IF($I402=MID(P$1,3,20),0.4,0)))</f>
        <v>1</v>
      </c>
      <c r="Q402" s="10" t="n">
        <f aca="false">IF($H402="숙박",0,IF($H402=MID(Q$1,3,20),IF($I402="",1,0.6),IF($I402=MID(Q$1,3,20),0.4,0)))</f>
        <v>0</v>
      </c>
      <c r="R402" s="10" t="n">
        <f aca="false">IF($H402="숙박",0,IF($H402=MID(R$1,3,20),IF($I402="",1,0.6),IF($I402=MID(R$1,3,20),0.4,0)))</f>
        <v>0</v>
      </c>
      <c r="S402" s="10" t="n">
        <f aca="false">IF($H402="숙박",0,IF($H402=MID(S$1,3,20),IF($I402="",1,0.6),IF($I402=MID(S$1,3,20),0.4,0)))</f>
        <v>0</v>
      </c>
      <c r="T402" s="10" t="n">
        <f aca="false">IF($H402="숙박",0,IF($H402=MID(T$1,3,20),IF($I402="",1,0.6),IF($I402=MID(T$1,3,20),0.4,0)))</f>
        <v>0</v>
      </c>
      <c r="U402" s="10" t="n">
        <f aca="false">IF($H402="숙박",0,IF(ISNUMBER(SEARCH("야경",$J402)),1,0))</f>
        <v>0</v>
      </c>
      <c r="V402" s="10" t="n">
        <f aca="false">IF($H402="숙박",0,1)</f>
        <v>1</v>
      </c>
    </row>
    <row r="403" customFormat="false" ht="15" hidden="false" customHeight="false" outlineLevel="0" collapsed="false">
      <c r="A403" s="8" t="n">
        <v>402</v>
      </c>
      <c r="B403" s="8" t="s">
        <v>45</v>
      </c>
      <c r="C403" s="8"/>
      <c r="D403" s="8" t="s">
        <v>1312</v>
      </c>
      <c r="E403" s="7" t="s">
        <v>1313</v>
      </c>
      <c r="F403" s="7" t="s">
        <v>189</v>
      </c>
      <c r="G403" s="8" t="s">
        <v>190</v>
      </c>
      <c r="H403" s="9" t="s">
        <v>190</v>
      </c>
      <c r="I403" s="9"/>
      <c r="J403" s="9" t="s">
        <v>479</v>
      </c>
      <c r="K403" s="9" t="s">
        <v>191</v>
      </c>
      <c r="L403" s="8"/>
      <c r="M403" s="8"/>
      <c r="N403" s="8"/>
      <c r="O403" s="7" t="s">
        <v>1314</v>
      </c>
      <c r="P403" s="10" t="n">
        <f aca="false">IF($H403="숙박",0,IF($H403=MID(P$1,3,20),IF($I403="",1,0.6),IF($I403=MID(P$1,3,20),0.4,0)))</f>
        <v>1</v>
      </c>
      <c r="Q403" s="10" t="n">
        <f aca="false">IF($H403="숙박",0,IF($H403=MID(Q$1,3,20),IF($I403="",1,0.6),IF($I403=MID(Q$1,3,20),0.4,0)))</f>
        <v>0</v>
      </c>
      <c r="R403" s="10" t="n">
        <f aca="false">IF($H403="숙박",0,IF($H403=MID(R$1,3,20),IF($I403="",1,0.6),IF($I403=MID(R$1,3,20),0.4,0)))</f>
        <v>0</v>
      </c>
      <c r="S403" s="10" t="n">
        <f aca="false">IF($H403="숙박",0,IF($H403=MID(S$1,3,20),IF($I403="",1,0.6),IF($I403=MID(S$1,3,20),0.4,0)))</f>
        <v>0</v>
      </c>
      <c r="T403" s="10" t="n">
        <f aca="false">IF($H403="숙박",0,IF($H403=MID(T$1,3,20),IF($I403="",1,0.6),IF($I403=MID(T$1,3,20),0.4,0)))</f>
        <v>0</v>
      </c>
      <c r="U403" s="10" t="n">
        <f aca="false">IF($H403="숙박",0,IF(ISNUMBER(SEARCH("야경",$J403)),1,0))</f>
        <v>0</v>
      </c>
      <c r="V403" s="10" t="n">
        <f aca="false">IF($H403="숙박",0,1)</f>
        <v>1</v>
      </c>
    </row>
    <row r="404" customFormat="false" ht="15" hidden="false" customHeight="false" outlineLevel="0" collapsed="false">
      <c r="A404" s="8" t="n">
        <v>403</v>
      </c>
      <c r="B404" s="8" t="s">
        <v>511</v>
      </c>
      <c r="C404" s="8"/>
      <c r="D404" s="8" t="s">
        <v>1315</v>
      </c>
      <c r="E404" s="7" t="s">
        <v>1316</v>
      </c>
      <c r="F404" s="7" t="s">
        <v>189</v>
      </c>
      <c r="G404" s="8" t="s">
        <v>216</v>
      </c>
      <c r="H404" s="9" t="s">
        <v>216</v>
      </c>
      <c r="I404" s="9" t="s">
        <v>190</v>
      </c>
      <c r="J404" s="9" t="s">
        <v>479</v>
      </c>
      <c r="K404" s="9" t="s">
        <v>52</v>
      </c>
      <c r="L404" s="8"/>
      <c r="M404" s="8"/>
      <c r="N404" s="8" t="s">
        <v>483</v>
      </c>
      <c r="O404" s="8" t="s">
        <v>1317</v>
      </c>
      <c r="P404" s="10" t="n">
        <f aca="false">IF($H404="숙박",0,IF($H404=MID(P$1,3,20),IF($I404="",1,0.6),IF($I404=MID(P$1,3,20),0.4,0)))</f>
        <v>0.4</v>
      </c>
      <c r="Q404" s="10" t="n">
        <f aca="false">IF($H404="숙박",0,IF($H404=MID(Q$1,3,20),IF($I404="",1,0.6),IF($I404=MID(Q$1,3,20),0.4,0)))</f>
        <v>0</v>
      </c>
      <c r="R404" s="10" t="n">
        <f aca="false">IF($H404="숙박",0,IF($H404=MID(R$1,3,20),IF($I404="",1,0.6),IF($I404=MID(R$1,3,20),0.4,0)))</f>
        <v>0</v>
      </c>
      <c r="S404" s="10" t="n">
        <f aca="false">IF($H404="숙박",0,IF($H404=MID(S$1,3,20),IF($I404="",1,0.6),IF($I404=MID(S$1,3,20),0.4,0)))</f>
        <v>0.6</v>
      </c>
      <c r="T404" s="10" t="n">
        <f aca="false">IF($H404="숙박",0,IF($H404=MID(T$1,3,20),IF($I404="",1,0.6),IF($I404=MID(T$1,3,20),0.4,0)))</f>
        <v>0</v>
      </c>
      <c r="U404" s="10" t="n">
        <f aca="false">IF($H404="숙박",0,IF(ISNUMBER(SEARCH("야경",$J404)),1,0))</f>
        <v>0</v>
      </c>
      <c r="V404" s="10" t="n">
        <f aca="false">IF($H404="숙박",0,1)</f>
        <v>1</v>
      </c>
    </row>
    <row r="405" customFormat="false" ht="15" hidden="false" customHeight="false" outlineLevel="0" collapsed="false">
      <c r="A405" s="8" t="n">
        <v>404</v>
      </c>
      <c r="B405" s="8" t="s">
        <v>511</v>
      </c>
      <c r="C405" s="8"/>
      <c r="D405" s="8" t="s">
        <v>1318</v>
      </c>
      <c r="E405" s="7" t="s">
        <v>1319</v>
      </c>
      <c r="F405" s="7" t="s">
        <v>189</v>
      </c>
      <c r="G405" s="8" t="s">
        <v>594</v>
      </c>
      <c r="H405" s="9" t="s">
        <v>594</v>
      </c>
      <c r="I405" s="9"/>
      <c r="J405" s="9"/>
      <c r="K405" s="9"/>
      <c r="L405" s="8"/>
      <c r="M405" s="8"/>
      <c r="N405" s="8" t="s">
        <v>595</v>
      </c>
      <c r="O405" s="8" t="s">
        <v>1320</v>
      </c>
      <c r="P405" s="10" t="n">
        <f aca="false">IF($H405="숙박",0,IF($H405=MID(P$1,3,20),IF($I405="",1,0.6),IF($I405=MID(P$1,3,20),0.4,0)))</f>
        <v>0</v>
      </c>
      <c r="Q405" s="10" t="n">
        <f aca="false">IF($H405="숙박",0,IF($H405=MID(Q$1,3,20),IF($I405="",1,0.6),IF($I405=MID(Q$1,3,20),0.4,0)))</f>
        <v>0</v>
      </c>
      <c r="R405" s="10" t="n">
        <f aca="false">IF($H405="숙박",0,IF($H405=MID(R$1,3,20),IF($I405="",1,0.6),IF($I405=MID(R$1,3,20),0.4,0)))</f>
        <v>0</v>
      </c>
      <c r="S405" s="10" t="n">
        <f aca="false">IF($H405="숙박",0,IF($H405=MID(S$1,3,20),IF($I405="",1,0.6),IF($I405=MID(S$1,3,20),0.4,0)))</f>
        <v>0</v>
      </c>
      <c r="T405" s="10" t="n">
        <f aca="false">IF($H405="숙박",0,IF($H405=MID(T$1,3,20),IF($I405="",1,0.6),IF($I405=MID(T$1,3,20),0.4,0)))</f>
        <v>0</v>
      </c>
      <c r="U405" s="10" t="n">
        <f aca="false">IF($H405="숙박",0,IF(ISNUMBER(SEARCH("야경",$J405)),1,0))</f>
        <v>0</v>
      </c>
      <c r="V405" s="10" t="n">
        <f aca="false">IF($H405="숙박",0,1)</f>
        <v>0</v>
      </c>
    </row>
    <row r="406" customFormat="false" ht="15" hidden="false" customHeight="false" outlineLevel="0" collapsed="false">
      <c r="A406" s="8" t="n">
        <v>405</v>
      </c>
      <c r="B406" s="8" t="s">
        <v>45</v>
      </c>
      <c r="C406" s="8"/>
      <c r="D406" s="8" t="s">
        <v>1321</v>
      </c>
      <c r="E406" s="7" t="s">
        <v>1322</v>
      </c>
      <c r="F406" s="8" t="s">
        <v>59</v>
      </c>
      <c r="G406" s="8" t="s">
        <v>49</v>
      </c>
      <c r="H406" s="9" t="s">
        <v>49</v>
      </c>
      <c r="I406" s="9" t="s">
        <v>184</v>
      </c>
      <c r="J406" s="9" t="s">
        <v>509</v>
      </c>
      <c r="K406" s="9" t="s">
        <v>52</v>
      </c>
      <c r="L406" s="8"/>
      <c r="M406" s="8"/>
      <c r="N406" s="8" t="s">
        <v>483</v>
      </c>
      <c r="O406" s="8" t="s">
        <v>1323</v>
      </c>
      <c r="P406" s="10" t="n">
        <f aca="false">IF($H406="숙박",0,IF($H406=MID(P$1,3,20),IF($I406="",1,0.6),IF($I406=MID(P$1,3,20),0.4,0)))</f>
        <v>0</v>
      </c>
      <c r="Q406" s="10" t="n">
        <f aca="false">IF($H406="숙박",0,IF($H406=MID(Q$1,3,20),IF($I406="",1,0.6),IF($I406=MID(Q$1,3,20),0.4,0)))</f>
        <v>0.6</v>
      </c>
      <c r="R406" s="10" t="n">
        <f aca="false">IF($H406="숙박",0,IF($H406=MID(R$1,3,20),IF($I406="",1,0.6),IF($I406=MID(R$1,3,20),0.4,0)))</f>
        <v>0.4</v>
      </c>
      <c r="S406" s="10" t="n">
        <f aca="false">IF($H406="숙박",0,IF($H406=MID(S$1,3,20),IF($I406="",1,0.6),IF($I406=MID(S$1,3,20),0.4,0)))</f>
        <v>0</v>
      </c>
      <c r="T406" s="10" t="n">
        <f aca="false">IF($H406="숙박",0,IF($H406=MID(T$1,3,20),IF($I406="",1,0.6),IF($I406=MID(T$1,3,20),0.4,0)))</f>
        <v>0</v>
      </c>
      <c r="U406" s="10" t="n">
        <f aca="false">IF($H406="숙박",0,IF(ISNUMBER(SEARCH("야경",$J406)),1,0))</f>
        <v>1</v>
      </c>
      <c r="V406" s="10" t="n">
        <f aca="false">IF($H406="숙박",0,1)</f>
        <v>1</v>
      </c>
    </row>
    <row r="407" customFormat="false" ht="15" hidden="false" customHeight="false" outlineLevel="0" collapsed="false">
      <c r="A407" s="8" t="n">
        <v>406</v>
      </c>
      <c r="B407" s="8" t="s">
        <v>45</v>
      </c>
      <c r="C407" s="8"/>
      <c r="D407" s="8" t="s">
        <v>1324</v>
      </c>
      <c r="E407" s="7" t="s">
        <v>1325</v>
      </c>
      <c r="F407" s="8" t="s">
        <v>199</v>
      </c>
      <c r="G407" s="8" t="s">
        <v>190</v>
      </c>
      <c r="H407" s="9" t="s">
        <v>190</v>
      </c>
      <c r="I407" s="9" t="s">
        <v>49</v>
      </c>
      <c r="J407" s="9" t="s">
        <v>479</v>
      </c>
      <c r="K407" s="9" t="s">
        <v>52</v>
      </c>
      <c r="L407" s="8"/>
      <c r="M407" s="8"/>
      <c r="N407" s="8" t="s">
        <v>483</v>
      </c>
      <c r="O407" s="8" t="s">
        <v>1326</v>
      </c>
      <c r="P407" s="10" t="n">
        <f aca="false">IF($H407="숙박",0,IF($H407=MID(P$1,3,20),IF($I407="",1,0.6),IF($I407=MID(P$1,3,20),0.4,0)))</f>
        <v>0.6</v>
      </c>
      <c r="Q407" s="10" t="n">
        <f aca="false">IF($H407="숙박",0,IF($H407=MID(Q$1,3,20),IF($I407="",1,0.6),IF($I407=MID(Q$1,3,20),0.4,0)))</f>
        <v>0.4</v>
      </c>
      <c r="R407" s="10" t="n">
        <f aca="false">IF($H407="숙박",0,IF($H407=MID(R$1,3,20),IF($I407="",1,0.6),IF($I407=MID(R$1,3,20),0.4,0)))</f>
        <v>0</v>
      </c>
      <c r="S407" s="10" t="n">
        <f aca="false">IF($H407="숙박",0,IF($H407=MID(S$1,3,20),IF($I407="",1,0.6),IF($I407=MID(S$1,3,20),0.4,0)))</f>
        <v>0</v>
      </c>
      <c r="T407" s="10" t="n">
        <f aca="false">IF($H407="숙박",0,IF($H407=MID(T$1,3,20),IF($I407="",1,0.6),IF($I407=MID(T$1,3,20),0.4,0)))</f>
        <v>0</v>
      </c>
      <c r="U407" s="10" t="n">
        <f aca="false">IF($H407="숙박",0,IF(ISNUMBER(SEARCH("야경",$J407)),1,0))</f>
        <v>0</v>
      </c>
      <c r="V407" s="10" t="n">
        <f aca="false">IF($H407="숙박",0,1)</f>
        <v>1</v>
      </c>
    </row>
    <row r="408" customFormat="false" ht="15" hidden="false" customHeight="false" outlineLevel="0" collapsed="false">
      <c r="A408" s="8" t="n">
        <v>407</v>
      </c>
      <c r="B408" s="8" t="s">
        <v>45</v>
      </c>
      <c r="C408" s="8"/>
      <c r="D408" s="8" t="s">
        <v>1327</v>
      </c>
      <c r="E408" s="7" t="s">
        <v>1328</v>
      </c>
      <c r="F408" s="7" t="s">
        <v>189</v>
      </c>
      <c r="G408" s="8" t="s">
        <v>594</v>
      </c>
      <c r="H408" s="9" t="s">
        <v>594</v>
      </c>
      <c r="I408" s="9"/>
      <c r="J408" s="9"/>
      <c r="K408" s="9"/>
      <c r="L408" s="8"/>
      <c r="M408" s="8"/>
      <c r="N408" s="8" t="s">
        <v>595</v>
      </c>
      <c r="O408" s="8" t="s">
        <v>1329</v>
      </c>
      <c r="P408" s="10" t="n">
        <f aca="false">IF($H408="숙박",0,IF($H408=MID(P$1,3,20),IF($I408="",1,0.6),IF($I408=MID(P$1,3,20),0.4,0)))</f>
        <v>0</v>
      </c>
      <c r="Q408" s="10" t="n">
        <f aca="false">IF($H408="숙박",0,IF($H408=MID(Q$1,3,20),IF($I408="",1,0.6),IF($I408=MID(Q$1,3,20),0.4,0)))</f>
        <v>0</v>
      </c>
      <c r="R408" s="10" t="n">
        <f aca="false">IF($H408="숙박",0,IF($H408=MID(R$1,3,20),IF($I408="",1,0.6),IF($I408=MID(R$1,3,20),0.4,0)))</f>
        <v>0</v>
      </c>
      <c r="S408" s="10" t="n">
        <f aca="false">IF($H408="숙박",0,IF($H408=MID(S$1,3,20),IF($I408="",1,0.6),IF($I408=MID(S$1,3,20),0.4,0)))</f>
        <v>0</v>
      </c>
      <c r="T408" s="10" t="n">
        <f aca="false">IF($H408="숙박",0,IF($H408=MID(T$1,3,20),IF($I408="",1,0.6),IF($I408=MID(T$1,3,20),0.4,0)))</f>
        <v>0</v>
      </c>
      <c r="U408" s="10" t="n">
        <f aca="false">IF($H408="숙박",0,IF(ISNUMBER(SEARCH("야경",$J408)),1,0))</f>
        <v>0</v>
      </c>
      <c r="V408" s="10" t="n">
        <f aca="false">IF($H408="숙박",0,1)</f>
        <v>0</v>
      </c>
    </row>
    <row r="409" customFormat="false" ht="15" hidden="false" customHeight="false" outlineLevel="0" collapsed="false">
      <c r="A409" s="8" t="n">
        <v>408</v>
      </c>
      <c r="B409" s="8" t="s">
        <v>45</v>
      </c>
      <c r="C409" s="8" t="s">
        <v>1330</v>
      </c>
      <c r="D409" s="7" t="s">
        <v>1331</v>
      </c>
      <c r="E409" s="7" t="s">
        <v>1332</v>
      </c>
      <c r="F409" s="8"/>
      <c r="G409" s="8" t="s">
        <v>190</v>
      </c>
      <c r="H409" s="9" t="s">
        <v>190</v>
      </c>
      <c r="I409" s="9"/>
      <c r="J409" s="9"/>
      <c r="K409" s="9" t="s">
        <v>191</v>
      </c>
      <c r="L409" s="8"/>
      <c r="M409" s="8"/>
      <c r="N409" s="8"/>
      <c r="O409" s="7" t="s">
        <v>1333</v>
      </c>
      <c r="P409" s="10" t="n">
        <f aca="false">IF($H409="숙박",0,IF($H409=MID(P$1,3,20),IF($I409="",1,0.6),IF($I409=MID(P$1,3,20),0.4,0)))</f>
        <v>1</v>
      </c>
      <c r="Q409" s="10" t="n">
        <f aca="false">IF($H409="숙박",0,IF($H409=MID(Q$1,3,20),IF($I409="",1,0.6),IF($I409=MID(Q$1,3,20),0.4,0)))</f>
        <v>0</v>
      </c>
      <c r="R409" s="10" t="n">
        <f aca="false">IF($H409="숙박",0,IF($H409=MID(R$1,3,20),IF($I409="",1,0.6),IF($I409=MID(R$1,3,20),0.4,0)))</f>
        <v>0</v>
      </c>
      <c r="S409" s="10" t="n">
        <f aca="false">IF($H409="숙박",0,IF($H409=MID(S$1,3,20),IF($I409="",1,0.6),IF($I409=MID(S$1,3,20),0.4,0)))</f>
        <v>0</v>
      </c>
      <c r="T409" s="10" t="n">
        <f aca="false">IF($H409="숙박",0,IF($H409=MID(T$1,3,20),IF($I409="",1,0.6),IF($I409=MID(T$1,3,20),0.4,0)))</f>
        <v>0</v>
      </c>
      <c r="U409" s="10" t="n">
        <f aca="false">IF($H409="숙박",0,IF(ISNUMBER(SEARCH("야경",$J409)),1,0))</f>
        <v>0</v>
      </c>
      <c r="V409" s="10" t="n">
        <f aca="false">IF($H409="숙박",0,1)</f>
        <v>1</v>
      </c>
    </row>
    <row r="410" customFormat="false" ht="15" hidden="false" customHeight="false" outlineLevel="0" collapsed="false">
      <c r="A410" s="8" t="n">
        <v>409</v>
      </c>
      <c r="B410" s="8" t="s">
        <v>45</v>
      </c>
      <c r="C410" s="8"/>
      <c r="D410" s="8" t="s">
        <v>1334</v>
      </c>
      <c r="E410" s="7" t="s">
        <v>1335</v>
      </c>
      <c r="F410" s="8"/>
      <c r="G410" s="8"/>
      <c r="H410" s="9" t="s">
        <v>594</v>
      </c>
      <c r="I410" s="9"/>
      <c r="J410" s="9"/>
      <c r="K410" s="9"/>
      <c r="L410" s="8"/>
      <c r="M410" s="8"/>
      <c r="N410" s="8" t="s">
        <v>595</v>
      </c>
      <c r="O410" s="8"/>
      <c r="P410" s="10" t="n">
        <f aca="false">IF($H410="숙박",0,IF($H410=MID(P$1,3,20),IF($I410="",1,0.6),IF($I410=MID(P$1,3,20),0.4,0)))</f>
        <v>0</v>
      </c>
      <c r="Q410" s="10" t="n">
        <f aca="false">IF($H410="숙박",0,IF($H410=MID(Q$1,3,20),IF($I410="",1,0.6),IF($I410=MID(Q$1,3,20),0.4,0)))</f>
        <v>0</v>
      </c>
      <c r="R410" s="10" t="n">
        <f aca="false">IF($H410="숙박",0,IF($H410=MID(R$1,3,20),IF($I410="",1,0.6),IF($I410=MID(R$1,3,20),0.4,0)))</f>
        <v>0</v>
      </c>
      <c r="S410" s="10" t="n">
        <f aca="false">IF($H410="숙박",0,IF($H410=MID(S$1,3,20),IF($I410="",1,0.6),IF($I410=MID(S$1,3,20),0.4,0)))</f>
        <v>0</v>
      </c>
      <c r="T410" s="10" t="n">
        <f aca="false">IF($H410="숙박",0,IF($H410=MID(T$1,3,20),IF($I410="",1,0.6),IF($I410=MID(T$1,3,20),0.4,0)))</f>
        <v>0</v>
      </c>
      <c r="U410" s="10" t="n">
        <f aca="false">IF($H410="숙박",0,IF(ISNUMBER(SEARCH("야경",$J410)),1,0))</f>
        <v>0</v>
      </c>
      <c r="V410" s="10" t="n">
        <f aca="false">IF($H410="숙박",0,1)</f>
        <v>0</v>
      </c>
    </row>
    <row r="411" customFormat="false" ht="15" hidden="false" customHeight="false" outlineLevel="0" collapsed="false">
      <c r="A411" s="8" t="n">
        <v>410</v>
      </c>
      <c r="B411" s="8" t="s">
        <v>45</v>
      </c>
      <c r="C411" s="8" t="s">
        <v>1336</v>
      </c>
      <c r="D411" s="8" t="s">
        <v>1337</v>
      </c>
      <c r="E411" s="7" t="s">
        <v>1338</v>
      </c>
      <c r="F411" s="8"/>
      <c r="G411" s="8" t="s">
        <v>184</v>
      </c>
      <c r="H411" s="9" t="s">
        <v>184</v>
      </c>
      <c r="I411" s="9" t="s">
        <v>190</v>
      </c>
      <c r="J411" s="9"/>
      <c r="K411" s="9" t="s">
        <v>191</v>
      </c>
      <c r="L411" s="8"/>
      <c r="M411" s="8"/>
      <c r="N411" s="8" t="s">
        <v>483</v>
      </c>
      <c r="O411" s="8" t="s">
        <v>1339</v>
      </c>
      <c r="P411" s="10" t="n">
        <f aca="false">IF($H411="숙박",0,IF($H411=MID(P$1,3,20),IF($I411="",1,0.6),IF($I411=MID(P$1,3,20),0.4,0)))</f>
        <v>0.4</v>
      </c>
      <c r="Q411" s="10" t="n">
        <f aca="false">IF($H411="숙박",0,IF($H411=MID(Q$1,3,20),IF($I411="",1,0.6),IF($I411=MID(Q$1,3,20),0.4,0)))</f>
        <v>0</v>
      </c>
      <c r="R411" s="10" t="n">
        <f aca="false">IF($H411="숙박",0,IF($H411=MID(R$1,3,20),IF($I411="",1,0.6),IF($I411=MID(R$1,3,20),0.4,0)))</f>
        <v>0.6</v>
      </c>
      <c r="S411" s="10" t="n">
        <f aca="false">IF($H411="숙박",0,IF($H411=MID(S$1,3,20),IF($I411="",1,0.6),IF($I411=MID(S$1,3,20),0.4,0)))</f>
        <v>0</v>
      </c>
      <c r="T411" s="10" t="n">
        <f aca="false">IF($H411="숙박",0,IF($H411=MID(T$1,3,20),IF($I411="",1,0.6),IF($I411=MID(T$1,3,20),0.4,0)))</f>
        <v>0</v>
      </c>
      <c r="U411" s="10" t="n">
        <f aca="false">IF($H411="숙박",0,IF(ISNUMBER(SEARCH("야경",$J411)),1,0))</f>
        <v>0</v>
      </c>
      <c r="V411" s="10" t="n">
        <f aca="false">IF($H411="숙박",0,1)</f>
        <v>1</v>
      </c>
    </row>
    <row r="412" customFormat="false" ht="15" hidden="false" customHeight="false" outlineLevel="0" collapsed="false">
      <c r="A412" s="8" t="n">
        <v>411</v>
      </c>
      <c r="B412" s="8" t="s">
        <v>45</v>
      </c>
      <c r="C412" s="8" t="s">
        <v>331</v>
      </c>
      <c r="D412" s="8" t="s">
        <v>1340</v>
      </c>
      <c r="E412" s="7" t="s">
        <v>1341</v>
      </c>
      <c r="F412" s="8"/>
      <c r="G412" s="8" t="s">
        <v>190</v>
      </c>
      <c r="H412" s="9" t="s">
        <v>190</v>
      </c>
      <c r="I412" s="9"/>
      <c r="J412" s="9"/>
      <c r="K412" s="9" t="s">
        <v>52</v>
      </c>
      <c r="L412" s="8"/>
      <c r="M412" s="8"/>
      <c r="N412" s="8"/>
      <c r="O412" s="8" t="s">
        <v>1342</v>
      </c>
      <c r="P412" s="10" t="n">
        <f aca="false">IF($H412="숙박",0,IF($H412=MID(P$1,3,20),IF($I412="",1,0.6),IF($I412=MID(P$1,3,20),0.4,0)))</f>
        <v>1</v>
      </c>
      <c r="Q412" s="10" t="n">
        <f aca="false">IF($H412="숙박",0,IF($H412=MID(Q$1,3,20),IF($I412="",1,0.6),IF($I412=MID(Q$1,3,20),0.4,0)))</f>
        <v>0</v>
      </c>
      <c r="R412" s="10" t="n">
        <f aca="false">IF($H412="숙박",0,IF($H412=MID(R$1,3,20),IF($I412="",1,0.6),IF($I412=MID(R$1,3,20),0.4,0)))</f>
        <v>0</v>
      </c>
      <c r="S412" s="10" t="n">
        <f aca="false">IF($H412="숙박",0,IF($H412=MID(S$1,3,20),IF($I412="",1,0.6),IF($I412=MID(S$1,3,20),0.4,0)))</f>
        <v>0</v>
      </c>
      <c r="T412" s="10" t="n">
        <f aca="false">IF($H412="숙박",0,IF($H412=MID(T$1,3,20),IF($I412="",1,0.6),IF($I412=MID(T$1,3,20),0.4,0)))</f>
        <v>0</v>
      </c>
      <c r="U412" s="10" t="n">
        <f aca="false">IF($H412="숙박",0,IF(ISNUMBER(SEARCH("야경",$J412)),1,0))</f>
        <v>0</v>
      </c>
      <c r="V412" s="10" t="n">
        <f aca="false">IF($H412="숙박",0,1)</f>
        <v>1</v>
      </c>
    </row>
    <row r="413" customFormat="false" ht="15" hidden="false" customHeight="false" outlineLevel="0" collapsed="false">
      <c r="A413" s="8" t="n">
        <v>412</v>
      </c>
      <c r="B413" s="8" t="s">
        <v>45</v>
      </c>
      <c r="C413" s="8" t="s">
        <v>1343</v>
      </c>
      <c r="D413" s="8" t="s">
        <v>1344</v>
      </c>
      <c r="E413" s="7" t="s">
        <v>1345</v>
      </c>
      <c r="F413" s="8"/>
      <c r="G413" s="8" t="s">
        <v>190</v>
      </c>
      <c r="H413" s="9" t="s">
        <v>190</v>
      </c>
      <c r="I413" s="9"/>
      <c r="J413" s="9"/>
      <c r="K413" s="9" t="s">
        <v>191</v>
      </c>
      <c r="L413" s="8"/>
      <c r="M413" s="8"/>
      <c r="N413" s="8"/>
      <c r="O413" s="8" t="s">
        <v>1346</v>
      </c>
      <c r="P413" s="10" t="n">
        <f aca="false">IF($H413="숙박",0,IF($H413=MID(P$1,3,20),IF($I413="",1,0.6),IF($I413=MID(P$1,3,20),0.4,0)))</f>
        <v>1</v>
      </c>
      <c r="Q413" s="10" t="n">
        <f aca="false">IF($H413="숙박",0,IF($H413=MID(Q$1,3,20),IF($I413="",1,0.6),IF($I413=MID(Q$1,3,20),0.4,0)))</f>
        <v>0</v>
      </c>
      <c r="R413" s="10" t="n">
        <f aca="false">IF($H413="숙박",0,IF($H413=MID(R$1,3,20),IF($I413="",1,0.6),IF($I413=MID(R$1,3,20),0.4,0)))</f>
        <v>0</v>
      </c>
      <c r="S413" s="10" t="n">
        <f aca="false">IF($H413="숙박",0,IF($H413=MID(S$1,3,20),IF($I413="",1,0.6),IF($I413=MID(S$1,3,20),0.4,0)))</f>
        <v>0</v>
      </c>
      <c r="T413" s="10" t="n">
        <f aca="false">IF($H413="숙박",0,IF($H413=MID(T$1,3,20),IF($I413="",1,0.6),IF($I413=MID(T$1,3,20),0.4,0)))</f>
        <v>0</v>
      </c>
      <c r="U413" s="10" t="n">
        <f aca="false">IF($H413="숙박",0,IF(ISNUMBER(SEARCH("야경",$J413)),1,0))</f>
        <v>0</v>
      </c>
      <c r="V413" s="10" t="n">
        <f aca="false">IF($H413="숙박",0,1)</f>
        <v>1</v>
      </c>
    </row>
    <row r="414" customFormat="false" ht="15" hidden="false" customHeight="false" outlineLevel="0" collapsed="false">
      <c r="A414" s="8" t="n">
        <v>413</v>
      </c>
      <c r="B414" s="8" t="s">
        <v>45</v>
      </c>
      <c r="C414" s="8" t="s">
        <v>1347</v>
      </c>
      <c r="D414" s="8" t="s">
        <v>1348</v>
      </c>
      <c r="E414" s="7" t="s">
        <v>1349</v>
      </c>
      <c r="F414" s="8"/>
      <c r="G414" s="8" t="s">
        <v>50</v>
      </c>
      <c r="H414" s="9" t="s">
        <v>50</v>
      </c>
      <c r="I414" s="9"/>
      <c r="J414" s="9" t="s">
        <v>168</v>
      </c>
      <c r="K414" s="9" t="s">
        <v>52</v>
      </c>
      <c r="L414" s="8"/>
      <c r="M414" s="8"/>
      <c r="N414" s="8"/>
      <c r="O414" s="8" t="s">
        <v>1350</v>
      </c>
      <c r="P414" s="10" t="n">
        <f aca="false">IF($H414="숙박",0,IF($H414=MID(P$1,3,20),IF($I414="",1,0.6),IF($I414=MID(P$1,3,20),0.4,0)))</f>
        <v>0</v>
      </c>
      <c r="Q414" s="10" t="n">
        <f aca="false">IF($H414="숙박",0,IF($H414=MID(Q$1,3,20),IF($I414="",1,0.6),IF($I414=MID(Q$1,3,20),0.4,0)))</f>
        <v>0</v>
      </c>
      <c r="R414" s="10" t="n">
        <f aca="false">IF($H414="숙박",0,IF($H414=MID(R$1,3,20),IF($I414="",1,0.6),IF($I414=MID(R$1,3,20),0.4,0)))</f>
        <v>0</v>
      </c>
      <c r="S414" s="10" t="n">
        <f aca="false">IF($H414="숙박",0,IF($H414=MID(S$1,3,20),IF($I414="",1,0.6),IF($I414=MID(S$1,3,20),0.4,0)))</f>
        <v>0</v>
      </c>
      <c r="T414" s="10" t="n">
        <f aca="false">IF($H414="숙박",0,IF($H414=MID(T$1,3,20),IF($I414="",1,0.6),IF($I414=MID(T$1,3,20),0.4,0)))</f>
        <v>1</v>
      </c>
      <c r="U414" s="10" t="n">
        <f aca="false">IF($H414="숙박",0,IF(ISNUMBER(SEARCH("야경",$J414)),1,0))</f>
        <v>0</v>
      </c>
      <c r="V414" s="10" t="n">
        <f aca="false">IF($H414="숙박",0,1)</f>
        <v>1</v>
      </c>
    </row>
    <row r="415" customFormat="false" ht="15" hidden="false" customHeight="false" outlineLevel="0" collapsed="false">
      <c r="A415" s="8" t="n">
        <v>414</v>
      </c>
      <c r="B415" s="8" t="s">
        <v>45</v>
      </c>
      <c r="C415" s="8" t="s">
        <v>369</v>
      </c>
      <c r="D415" s="8" t="s">
        <v>1351</v>
      </c>
      <c r="E415" s="7" t="s">
        <v>1352</v>
      </c>
      <c r="F415" s="8"/>
      <c r="G415" s="8" t="s">
        <v>49</v>
      </c>
      <c r="H415" s="9" t="s">
        <v>49</v>
      </c>
      <c r="I415" s="9"/>
      <c r="J415" s="9"/>
      <c r="K415" s="9" t="s">
        <v>52</v>
      </c>
      <c r="L415" s="8"/>
      <c r="M415" s="8"/>
      <c r="N415" s="8"/>
      <c r="O415" s="8" t="s">
        <v>1353</v>
      </c>
      <c r="P415" s="10" t="n">
        <f aca="false">IF($H415="숙박",0,IF($H415=MID(P$1,3,20),IF($I415="",1,0.6),IF($I415=MID(P$1,3,20),0.4,0)))</f>
        <v>0</v>
      </c>
      <c r="Q415" s="10" t="n">
        <f aca="false">IF($H415="숙박",0,IF($H415=MID(Q$1,3,20),IF($I415="",1,0.6),IF($I415=MID(Q$1,3,20),0.4,0)))</f>
        <v>1</v>
      </c>
      <c r="R415" s="10" t="n">
        <f aca="false">IF($H415="숙박",0,IF($H415=MID(R$1,3,20),IF($I415="",1,0.6),IF($I415=MID(R$1,3,20),0.4,0)))</f>
        <v>0</v>
      </c>
      <c r="S415" s="10" t="n">
        <f aca="false">IF($H415="숙박",0,IF($H415=MID(S$1,3,20),IF($I415="",1,0.6),IF($I415=MID(S$1,3,20),0.4,0)))</f>
        <v>0</v>
      </c>
      <c r="T415" s="10" t="n">
        <f aca="false">IF($H415="숙박",0,IF($H415=MID(T$1,3,20),IF($I415="",1,0.6),IF($I415=MID(T$1,3,20),0.4,0)))</f>
        <v>0</v>
      </c>
      <c r="U415" s="10" t="n">
        <f aca="false">IF($H415="숙박",0,IF(ISNUMBER(SEARCH("야경",$J415)),1,0))</f>
        <v>0</v>
      </c>
      <c r="V415" s="10" t="n">
        <f aca="false">IF($H415="숙박",0,1)</f>
        <v>1</v>
      </c>
    </row>
    <row r="416" customFormat="false" ht="15" hidden="false" customHeight="false" outlineLevel="0" collapsed="false">
      <c r="A416" s="8" t="n">
        <v>415</v>
      </c>
      <c r="B416" s="8" t="s">
        <v>45</v>
      </c>
      <c r="C416" s="8" t="s">
        <v>369</v>
      </c>
      <c r="D416" s="8" t="s">
        <v>1354</v>
      </c>
      <c r="E416" s="7" t="s">
        <v>1355</v>
      </c>
      <c r="F416" s="8"/>
      <c r="G416" s="8" t="s">
        <v>50</v>
      </c>
      <c r="H416" s="9" t="s">
        <v>50</v>
      </c>
      <c r="I416" s="9"/>
      <c r="J416" s="9" t="s">
        <v>168</v>
      </c>
      <c r="K416" s="9" t="s">
        <v>52</v>
      </c>
      <c r="L416" s="8"/>
      <c r="M416" s="8"/>
      <c r="N416" s="8"/>
      <c r="O416" s="8" t="s">
        <v>1356</v>
      </c>
      <c r="P416" s="10" t="n">
        <f aca="false">IF($H416="숙박",0,IF($H416=MID(P$1,3,20),IF($I416="",1,0.6),IF($I416=MID(P$1,3,20),0.4,0)))</f>
        <v>0</v>
      </c>
      <c r="Q416" s="10" t="n">
        <f aca="false">IF($H416="숙박",0,IF($H416=MID(Q$1,3,20),IF($I416="",1,0.6),IF($I416=MID(Q$1,3,20),0.4,0)))</f>
        <v>0</v>
      </c>
      <c r="R416" s="10" t="n">
        <f aca="false">IF($H416="숙박",0,IF($H416=MID(R$1,3,20),IF($I416="",1,0.6),IF($I416=MID(R$1,3,20),0.4,0)))</f>
        <v>0</v>
      </c>
      <c r="S416" s="10" t="n">
        <f aca="false">IF($H416="숙박",0,IF($H416=MID(S$1,3,20),IF($I416="",1,0.6),IF($I416=MID(S$1,3,20),0.4,0)))</f>
        <v>0</v>
      </c>
      <c r="T416" s="10" t="n">
        <f aca="false">IF($H416="숙박",0,IF($H416=MID(T$1,3,20),IF($I416="",1,0.6),IF($I416=MID(T$1,3,20),0.4,0)))</f>
        <v>1</v>
      </c>
      <c r="U416" s="10" t="n">
        <f aca="false">IF($H416="숙박",0,IF(ISNUMBER(SEARCH("야경",$J416)),1,0))</f>
        <v>0</v>
      </c>
      <c r="V416" s="10" t="n">
        <f aca="false">IF($H416="숙박",0,1)</f>
        <v>1</v>
      </c>
    </row>
    <row r="417" customFormat="false" ht="15" hidden="false" customHeight="false" outlineLevel="0" collapsed="false">
      <c r="A417" s="8" t="n">
        <v>416</v>
      </c>
      <c r="B417" s="8" t="s">
        <v>45</v>
      </c>
      <c r="C417" s="8"/>
      <c r="D417" s="8" t="s">
        <v>1357</v>
      </c>
      <c r="E417" s="7" t="s">
        <v>1358</v>
      </c>
      <c r="F417" s="8"/>
      <c r="G417" s="8"/>
      <c r="H417" s="9" t="s">
        <v>594</v>
      </c>
      <c r="I417" s="9"/>
      <c r="J417" s="9"/>
      <c r="K417" s="9"/>
      <c r="L417" s="8"/>
      <c r="M417" s="8"/>
      <c r="N417" s="8" t="s">
        <v>595</v>
      </c>
      <c r="O417" s="8"/>
      <c r="P417" s="10" t="n">
        <f aca="false">IF($H417="숙박",0,IF($H417=MID(P$1,3,20),IF($I417="",1,0.6),IF($I417=MID(P$1,3,20),0.4,0)))</f>
        <v>0</v>
      </c>
      <c r="Q417" s="10" t="n">
        <f aca="false">IF($H417="숙박",0,IF($H417=MID(Q$1,3,20),IF($I417="",1,0.6),IF($I417=MID(Q$1,3,20),0.4,0)))</f>
        <v>0</v>
      </c>
      <c r="R417" s="10" t="n">
        <f aca="false">IF($H417="숙박",0,IF($H417=MID(R$1,3,20),IF($I417="",1,0.6),IF($I417=MID(R$1,3,20),0.4,0)))</f>
        <v>0</v>
      </c>
      <c r="S417" s="10" t="n">
        <f aca="false">IF($H417="숙박",0,IF($H417=MID(S$1,3,20),IF($I417="",1,0.6),IF($I417=MID(S$1,3,20),0.4,0)))</f>
        <v>0</v>
      </c>
      <c r="T417" s="10" t="n">
        <f aca="false">IF($H417="숙박",0,IF($H417=MID(T$1,3,20),IF($I417="",1,0.6),IF($I417=MID(T$1,3,20),0.4,0)))</f>
        <v>0</v>
      </c>
      <c r="U417" s="10" t="n">
        <f aca="false">IF($H417="숙박",0,IF(ISNUMBER(SEARCH("야경",$J417)),1,0))</f>
        <v>0</v>
      </c>
      <c r="V417" s="10" t="n">
        <f aca="false">IF($H417="숙박",0,1)</f>
        <v>0</v>
      </c>
    </row>
    <row r="418" customFormat="false" ht="15" hidden="false" customHeight="false" outlineLevel="0" collapsed="false">
      <c r="A418" s="8" t="n">
        <v>417</v>
      </c>
      <c r="B418" s="8" t="s">
        <v>45</v>
      </c>
      <c r="C418" s="8" t="s">
        <v>467</v>
      </c>
      <c r="D418" s="8" t="s">
        <v>1359</v>
      </c>
      <c r="E418" s="7" t="s">
        <v>1360</v>
      </c>
      <c r="F418" s="8"/>
      <c r="G418" s="8" t="s">
        <v>184</v>
      </c>
      <c r="H418" s="9" t="s">
        <v>184</v>
      </c>
      <c r="I418" s="9" t="s">
        <v>190</v>
      </c>
      <c r="J418" s="9" t="s">
        <v>1361</v>
      </c>
      <c r="K418" s="9" t="s">
        <v>191</v>
      </c>
      <c r="L418" s="8"/>
      <c r="M418" s="8"/>
      <c r="N418" s="8" t="s">
        <v>483</v>
      </c>
      <c r="O418" s="8" t="s">
        <v>1362</v>
      </c>
      <c r="P418" s="10" t="n">
        <f aca="false">IF($H418="숙박",0,IF($H418=MID(P$1,3,20),IF($I418="",1,0.6),IF($I418=MID(P$1,3,20),0.4,0)))</f>
        <v>0.4</v>
      </c>
      <c r="Q418" s="10" t="n">
        <f aca="false">IF($H418="숙박",0,IF($H418=MID(Q$1,3,20),IF($I418="",1,0.6),IF($I418=MID(Q$1,3,20),0.4,0)))</f>
        <v>0</v>
      </c>
      <c r="R418" s="10" t="n">
        <f aca="false">IF($H418="숙박",0,IF($H418=MID(R$1,3,20),IF($I418="",1,0.6),IF($I418=MID(R$1,3,20),0.4,0)))</f>
        <v>0.6</v>
      </c>
      <c r="S418" s="10" t="n">
        <f aca="false">IF($H418="숙박",0,IF($H418=MID(S$1,3,20),IF($I418="",1,0.6),IF($I418=MID(S$1,3,20),0.4,0)))</f>
        <v>0</v>
      </c>
      <c r="T418" s="10" t="n">
        <f aca="false">IF($H418="숙박",0,IF($H418=MID(T$1,3,20),IF($I418="",1,0.6),IF($I418=MID(T$1,3,20),0.4,0)))</f>
        <v>0</v>
      </c>
      <c r="U418" s="10" t="n">
        <f aca="false">IF($H418="숙박",0,IF(ISNUMBER(SEARCH("야경",$J418)),1,0))</f>
        <v>0</v>
      </c>
      <c r="V418" s="10" t="n">
        <f aca="false">IF($H418="숙박",0,1)</f>
        <v>1</v>
      </c>
    </row>
    <row r="419" customFormat="false" ht="15" hidden="false" customHeight="false" outlineLevel="0" collapsed="false">
      <c r="A419" s="8" t="n">
        <v>418</v>
      </c>
      <c r="B419" s="8" t="s">
        <v>45</v>
      </c>
      <c r="C419" s="8" t="s">
        <v>1363</v>
      </c>
      <c r="D419" s="8" t="s">
        <v>1364</v>
      </c>
      <c r="E419" s="7" t="s">
        <v>1365</v>
      </c>
      <c r="F419" s="8"/>
      <c r="G419" s="8" t="s">
        <v>49</v>
      </c>
      <c r="H419" s="9" t="s">
        <v>49</v>
      </c>
      <c r="I419" s="9"/>
      <c r="J419" s="9"/>
      <c r="K419" s="9" t="s">
        <v>52</v>
      </c>
      <c r="L419" s="8"/>
      <c r="M419" s="8"/>
      <c r="N419" s="8"/>
      <c r="O419" s="8" t="s">
        <v>1366</v>
      </c>
      <c r="P419" s="10" t="n">
        <f aca="false">IF($H419="숙박",0,IF($H419=MID(P$1,3,20),IF($I419="",1,0.6),IF($I419=MID(P$1,3,20),0.4,0)))</f>
        <v>0</v>
      </c>
      <c r="Q419" s="10" t="n">
        <f aca="false">IF($H419="숙박",0,IF($H419=MID(Q$1,3,20),IF($I419="",1,0.6),IF($I419=MID(Q$1,3,20),0.4,0)))</f>
        <v>1</v>
      </c>
      <c r="R419" s="10" t="n">
        <f aca="false">IF($H419="숙박",0,IF($H419=MID(R$1,3,20),IF($I419="",1,0.6),IF($I419=MID(R$1,3,20),0.4,0)))</f>
        <v>0</v>
      </c>
      <c r="S419" s="10" t="n">
        <f aca="false">IF($H419="숙박",0,IF($H419=MID(S$1,3,20),IF($I419="",1,0.6),IF($I419=MID(S$1,3,20),0.4,0)))</f>
        <v>0</v>
      </c>
      <c r="T419" s="10" t="n">
        <f aca="false">IF($H419="숙박",0,IF($H419=MID(T$1,3,20),IF($I419="",1,0.6),IF($I419=MID(T$1,3,20),0.4,0)))</f>
        <v>0</v>
      </c>
      <c r="U419" s="10" t="n">
        <f aca="false">IF($H419="숙박",0,IF(ISNUMBER(SEARCH("야경",$J419)),1,0))</f>
        <v>0</v>
      </c>
      <c r="V419" s="10" t="n">
        <f aca="false">IF($H419="숙박",0,1)</f>
        <v>1</v>
      </c>
    </row>
    <row r="420" customFormat="false" ht="15" hidden="false" customHeight="false" outlineLevel="0" collapsed="false">
      <c r="A420" s="8" t="n">
        <v>419</v>
      </c>
      <c r="B420" s="8" t="s">
        <v>45</v>
      </c>
      <c r="C420" s="8" t="s">
        <v>1367</v>
      </c>
      <c r="D420" s="8" t="s">
        <v>1368</v>
      </c>
      <c r="E420" s="7" t="s">
        <v>1369</v>
      </c>
      <c r="F420" s="8"/>
      <c r="G420" s="8" t="s">
        <v>184</v>
      </c>
      <c r="H420" s="9" t="s">
        <v>184</v>
      </c>
      <c r="I420" s="9" t="s">
        <v>49</v>
      </c>
      <c r="J420" s="9"/>
      <c r="K420" s="9" t="s">
        <v>191</v>
      </c>
      <c r="L420" s="8"/>
      <c r="M420" s="8"/>
      <c r="N420" s="8" t="s">
        <v>483</v>
      </c>
      <c r="O420" s="8" t="s">
        <v>1370</v>
      </c>
      <c r="P420" s="10" t="n">
        <f aca="false">IF($H420="숙박",0,IF($H420=MID(P$1,3,20),IF($I420="",1,0.6),IF($I420=MID(P$1,3,20),0.4,0)))</f>
        <v>0</v>
      </c>
      <c r="Q420" s="10" t="n">
        <f aca="false">IF($H420="숙박",0,IF($H420=MID(Q$1,3,20),IF($I420="",1,0.6),IF($I420=MID(Q$1,3,20),0.4,0)))</f>
        <v>0.4</v>
      </c>
      <c r="R420" s="10" t="n">
        <f aca="false">IF($H420="숙박",0,IF($H420=MID(R$1,3,20),IF($I420="",1,0.6),IF($I420=MID(R$1,3,20),0.4,0)))</f>
        <v>0.6</v>
      </c>
      <c r="S420" s="10" t="n">
        <f aca="false">IF($H420="숙박",0,IF($H420=MID(S$1,3,20),IF($I420="",1,0.6),IF($I420=MID(S$1,3,20),0.4,0)))</f>
        <v>0</v>
      </c>
      <c r="T420" s="10" t="n">
        <f aca="false">IF($H420="숙박",0,IF($H420=MID(T$1,3,20),IF($I420="",1,0.6),IF($I420=MID(T$1,3,20),0.4,0)))</f>
        <v>0</v>
      </c>
      <c r="U420" s="10" t="n">
        <f aca="false">IF($H420="숙박",0,IF(ISNUMBER(SEARCH("야경",$J420)),1,0))</f>
        <v>0</v>
      </c>
      <c r="V420" s="10" t="n">
        <f aca="false">IF($H420="숙박",0,1)</f>
        <v>1</v>
      </c>
    </row>
    <row r="421" customFormat="false" ht="15" hidden="false" customHeight="false" outlineLevel="0" collapsed="false">
      <c r="A421" s="8" t="n">
        <v>420</v>
      </c>
      <c r="B421" s="8" t="s">
        <v>45</v>
      </c>
      <c r="C421" s="8" t="s">
        <v>349</v>
      </c>
      <c r="D421" s="8" t="s">
        <v>1371</v>
      </c>
      <c r="E421" s="7" t="s">
        <v>1372</v>
      </c>
      <c r="F421" s="8"/>
      <c r="G421" s="8" t="s">
        <v>50</v>
      </c>
      <c r="H421" s="9" t="s">
        <v>50</v>
      </c>
      <c r="I421" s="9"/>
      <c r="J421" s="9" t="s">
        <v>168</v>
      </c>
      <c r="K421" s="9" t="s">
        <v>52</v>
      </c>
      <c r="L421" s="8"/>
      <c r="M421" s="8"/>
      <c r="N421" s="8"/>
      <c r="O421" s="8" t="s">
        <v>1373</v>
      </c>
      <c r="P421" s="10" t="n">
        <f aca="false">IF($H421="숙박",0,IF($H421=MID(P$1,3,20),IF($I421="",1,0.6),IF($I421=MID(P$1,3,20),0.4,0)))</f>
        <v>0</v>
      </c>
      <c r="Q421" s="10" t="n">
        <f aca="false">IF($H421="숙박",0,IF($H421=MID(Q$1,3,20),IF($I421="",1,0.6),IF($I421=MID(Q$1,3,20),0.4,0)))</f>
        <v>0</v>
      </c>
      <c r="R421" s="10" t="n">
        <f aca="false">IF($H421="숙박",0,IF($H421=MID(R$1,3,20),IF($I421="",1,0.6),IF($I421=MID(R$1,3,20),0.4,0)))</f>
        <v>0</v>
      </c>
      <c r="S421" s="10" t="n">
        <f aca="false">IF($H421="숙박",0,IF($H421=MID(S$1,3,20),IF($I421="",1,0.6),IF($I421=MID(S$1,3,20),0.4,0)))</f>
        <v>0</v>
      </c>
      <c r="T421" s="10" t="n">
        <f aca="false">IF($H421="숙박",0,IF($H421=MID(T$1,3,20),IF($I421="",1,0.6),IF($I421=MID(T$1,3,20),0.4,0)))</f>
        <v>1</v>
      </c>
      <c r="U421" s="10" t="n">
        <f aca="false">IF($H421="숙박",0,IF(ISNUMBER(SEARCH("야경",$J421)),1,0))</f>
        <v>0</v>
      </c>
      <c r="V421" s="10" t="n">
        <f aca="false">IF($H421="숙박",0,1)</f>
        <v>1</v>
      </c>
    </row>
    <row r="422" customFormat="false" ht="15" hidden="false" customHeight="false" outlineLevel="0" collapsed="false">
      <c r="A422" s="8" t="n">
        <v>421</v>
      </c>
      <c r="B422" s="8" t="s">
        <v>45</v>
      </c>
      <c r="C422" s="8"/>
      <c r="D422" s="8" t="s">
        <v>1374</v>
      </c>
      <c r="E422" s="7" t="s">
        <v>1375</v>
      </c>
      <c r="F422" s="8"/>
      <c r="G422" s="8"/>
      <c r="H422" s="9" t="s">
        <v>594</v>
      </c>
      <c r="I422" s="9"/>
      <c r="J422" s="9"/>
      <c r="K422" s="9"/>
      <c r="L422" s="8"/>
      <c r="M422" s="8"/>
      <c r="N422" s="8" t="s">
        <v>595</v>
      </c>
      <c r="O422" s="8"/>
      <c r="P422" s="10" t="n">
        <f aca="false">IF($H422="숙박",0,IF($H422=MID(P$1,3,20),IF($I422="",1,0.6),IF($I422=MID(P$1,3,20),0.4,0)))</f>
        <v>0</v>
      </c>
      <c r="Q422" s="10" t="n">
        <f aca="false">IF($H422="숙박",0,IF($H422=MID(Q$1,3,20),IF($I422="",1,0.6),IF($I422=MID(Q$1,3,20),0.4,0)))</f>
        <v>0</v>
      </c>
      <c r="R422" s="10" t="n">
        <f aca="false">IF($H422="숙박",0,IF($H422=MID(R$1,3,20),IF($I422="",1,0.6),IF($I422=MID(R$1,3,20),0.4,0)))</f>
        <v>0</v>
      </c>
      <c r="S422" s="10" t="n">
        <f aca="false">IF($H422="숙박",0,IF($H422=MID(S$1,3,20),IF($I422="",1,0.6),IF($I422=MID(S$1,3,20),0.4,0)))</f>
        <v>0</v>
      </c>
      <c r="T422" s="10" t="n">
        <f aca="false">IF($H422="숙박",0,IF($H422=MID(T$1,3,20),IF($I422="",1,0.6),IF($I422=MID(T$1,3,20),0.4,0)))</f>
        <v>0</v>
      </c>
      <c r="U422" s="10" t="n">
        <f aca="false">IF($H422="숙박",0,IF(ISNUMBER(SEARCH("야경",$J422)),1,0))</f>
        <v>0</v>
      </c>
      <c r="V422" s="10" t="n">
        <f aca="false">IF($H422="숙박",0,1)</f>
        <v>0</v>
      </c>
    </row>
    <row r="423" customFormat="false" ht="15" hidden="false" customHeight="false" outlineLevel="0" collapsed="false">
      <c r="A423" s="8" t="n">
        <v>422</v>
      </c>
      <c r="B423" s="8" t="s">
        <v>45</v>
      </c>
      <c r="C423" s="8" t="s">
        <v>170</v>
      </c>
      <c r="D423" s="8" t="s">
        <v>1376</v>
      </c>
      <c r="E423" s="7" t="s">
        <v>1377</v>
      </c>
      <c r="F423" s="8"/>
      <c r="G423" s="8" t="s">
        <v>216</v>
      </c>
      <c r="H423" s="9" t="s">
        <v>216</v>
      </c>
      <c r="I423" s="9" t="s">
        <v>50</v>
      </c>
      <c r="J423" s="9" t="s">
        <v>168</v>
      </c>
      <c r="K423" s="9" t="s">
        <v>191</v>
      </c>
      <c r="L423" s="8"/>
      <c r="M423" s="8"/>
      <c r="N423" s="8" t="s">
        <v>185</v>
      </c>
      <c r="O423" s="8" t="s">
        <v>1378</v>
      </c>
      <c r="P423" s="10" t="n">
        <f aca="false">IF($H423="숙박",0,IF($H423=MID(P$1,3,20),IF($I423="",1,0.6),IF($I423=MID(P$1,3,20),0.4,0)))</f>
        <v>0</v>
      </c>
      <c r="Q423" s="10" t="n">
        <f aca="false">IF($H423="숙박",0,IF($H423=MID(Q$1,3,20),IF($I423="",1,0.6),IF($I423=MID(Q$1,3,20),0.4,0)))</f>
        <v>0</v>
      </c>
      <c r="R423" s="10" t="n">
        <f aca="false">IF($H423="숙박",0,IF($H423=MID(R$1,3,20),IF($I423="",1,0.6),IF($I423=MID(R$1,3,20),0.4,0)))</f>
        <v>0</v>
      </c>
      <c r="S423" s="10" t="n">
        <f aca="false">IF($H423="숙박",0,IF($H423=MID(S$1,3,20),IF($I423="",1,0.6),IF($I423=MID(S$1,3,20),0.4,0)))</f>
        <v>0.6</v>
      </c>
      <c r="T423" s="10" t="n">
        <f aca="false">IF($H423="숙박",0,IF($H423=MID(T$1,3,20),IF($I423="",1,0.6),IF($I423=MID(T$1,3,20),0.4,0)))</f>
        <v>0.4</v>
      </c>
      <c r="U423" s="10" t="n">
        <f aca="false">IF($H423="숙박",0,IF(ISNUMBER(SEARCH("야경",$J423)),1,0))</f>
        <v>0</v>
      </c>
      <c r="V423" s="10" t="n">
        <f aca="false">IF($H423="숙박",0,1)</f>
        <v>1</v>
      </c>
    </row>
    <row r="424" customFormat="false" ht="15" hidden="false" customHeight="false" outlineLevel="0" collapsed="false">
      <c r="A424" s="8" t="n">
        <v>423</v>
      </c>
      <c r="B424" s="8" t="s">
        <v>45</v>
      </c>
      <c r="C424" s="8"/>
      <c r="D424" s="8" t="s">
        <v>1379</v>
      </c>
      <c r="E424" s="7" t="s">
        <v>1380</v>
      </c>
      <c r="F424" s="8"/>
      <c r="G424" s="8"/>
      <c r="H424" s="9" t="s">
        <v>594</v>
      </c>
      <c r="I424" s="9"/>
      <c r="J424" s="9"/>
      <c r="K424" s="9"/>
      <c r="L424" s="8"/>
      <c r="M424" s="8"/>
      <c r="N424" s="8" t="s">
        <v>595</v>
      </c>
      <c r="O424" s="8"/>
      <c r="P424" s="10" t="n">
        <f aca="false">IF($H424="숙박",0,IF($H424=MID(P$1,3,20),IF($I424="",1,0.6),IF($I424=MID(P$1,3,20),0.4,0)))</f>
        <v>0</v>
      </c>
      <c r="Q424" s="10" t="n">
        <f aca="false">IF($H424="숙박",0,IF($H424=MID(Q$1,3,20),IF($I424="",1,0.6),IF($I424=MID(Q$1,3,20),0.4,0)))</f>
        <v>0</v>
      </c>
      <c r="R424" s="10" t="n">
        <f aca="false">IF($H424="숙박",0,IF($H424=MID(R$1,3,20),IF($I424="",1,0.6),IF($I424=MID(R$1,3,20),0.4,0)))</f>
        <v>0</v>
      </c>
      <c r="S424" s="10" t="n">
        <f aca="false">IF($H424="숙박",0,IF($H424=MID(S$1,3,20),IF($I424="",1,0.6),IF($I424=MID(S$1,3,20),0.4,0)))</f>
        <v>0</v>
      </c>
      <c r="T424" s="10" t="n">
        <f aca="false">IF($H424="숙박",0,IF($H424=MID(T$1,3,20),IF($I424="",1,0.6),IF($I424=MID(T$1,3,20),0.4,0)))</f>
        <v>0</v>
      </c>
      <c r="U424" s="10" t="n">
        <f aca="false">IF($H424="숙박",0,IF(ISNUMBER(SEARCH("야경",$J424)),1,0))</f>
        <v>0</v>
      </c>
      <c r="V424" s="10" t="n">
        <f aca="false">IF($H424="숙박",0,1)</f>
        <v>0</v>
      </c>
    </row>
    <row r="425" customFormat="false" ht="15" hidden="false" customHeight="false" outlineLevel="0" collapsed="false">
      <c r="A425" s="8" t="n">
        <v>424</v>
      </c>
      <c r="B425" s="8" t="s">
        <v>45</v>
      </c>
      <c r="C425" s="8" t="s">
        <v>369</v>
      </c>
      <c r="D425" s="8" t="s">
        <v>1381</v>
      </c>
      <c r="E425" s="7" t="s">
        <v>1382</v>
      </c>
      <c r="F425" s="8"/>
      <c r="G425" s="8" t="s">
        <v>50</v>
      </c>
      <c r="H425" s="9" t="s">
        <v>50</v>
      </c>
      <c r="I425" s="9"/>
      <c r="J425" s="9" t="s">
        <v>168</v>
      </c>
      <c r="K425" s="9" t="s">
        <v>52</v>
      </c>
      <c r="L425" s="8"/>
      <c r="M425" s="8"/>
      <c r="N425" s="8"/>
      <c r="O425" s="8" t="s">
        <v>1383</v>
      </c>
      <c r="P425" s="10" t="n">
        <f aca="false">IF($H425="숙박",0,IF($H425=MID(P$1,3,20),IF($I425="",1,0.6),IF($I425=MID(P$1,3,20),0.4,0)))</f>
        <v>0</v>
      </c>
      <c r="Q425" s="10" t="n">
        <f aca="false">IF($H425="숙박",0,IF($H425=MID(Q$1,3,20),IF($I425="",1,0.6),IF($I425=MID(Q$1,3,20),0.4,0)))</f>
        <v>0</v>
      </c>
      <c r="R425" s="10" t="n">
        <f aca="false">IF($H425="숙박",0,IF($H425=MID(R$1,3,20),IF($I425="",1,0.6),IF($I425=MID(R$1,3,20),0.4,0)))</f>
        <v>0</v>
      </c>
      <c r="S425" s="10" t="n">
        <f aca="false">IF($H425="숙박",0,IF($H425=MID(S$1,3,20),IF($I425="",1,0.6),IF($I425=MID(S$1,3,20),0.4,0)))</f>
        <v>0</v>
      </c>
      <c r="T425" s="10" t="n">
        <f aca="false">IF($H425="숙박",0,IF($H425=MID(T$1,3,20),IF($I425="",1,0.6),IF($I425=MID(T$1,3,20),0.4,0)))</f>
        <v>1</v>
      </c>
      <c r="U425" s="10" t="n">
        <f aca="false">IF($H425="숙박",0,IF(ISNUMBER(SEARCH("야경",$J425)),1,0))</f>
        <v>0</v>
      </c>
      <c r="V425" s="10" t="n">
        <f aca="false">IF($H425="숙박",0,1)</f>
        <v>1</v>
      </c>
    </row>
    <row r="426" customFormat="false" ht="15" hidden="false" customHeight="false" outlineLevel="0" collapsed="false">
      <c r="A426" s="8" t="n">
        <v>425</v>
      </c>
      <c r="B426" s="8" t="s">
        <v>45</v>
      </c>
      <c r="C426" s="8" t="s">
        <v>301</v>
      </c>
      <c r="D426" s="8" t="s">
        <v>1384</v>
      </c>
      <c r="E426" s="7" t="s">
        <v>1385</v>
      </c>
      <c r="F426" s="8"/>
      <c r="G426" s="8" t="s">
        <v>216</v>
      </c>
      <c r="H426" s="9" t="s">
        <v>216</v>
      </c>
      <c r="I426" s="9" t="s">
        <v>190</v>
      </c>
      <c r="J426" s="9"/>
      <c r="K426" s="9" t="s">
        <v>191</v>
      </c>
      <c r="L426" s="8"/>
      <c r="M426" s="8"/>
      <c r="N426" s="8" t="s">
        <v>483</v>
      </c>
      <c r="O426" s="8" t="s">
        <v>1386</v>
      </c>
      <c r="P426" s="10" t="n">
        <f aca="false">IF($H426="숙박",0,IF($H426=MID(P$1,3,20),IF($I426="",1,0.6),IF($I426=MID(P$1,3,20),0.4,0)))</f>
        <v>0.4</v>
      </c>
      <c r="Q426" s="10" t="n">
        <f aca="false">IF($H426="숙박",0,IF($H426=MID(Q$1,3,20),IF($I426="",1,0.6),IF($I426=MID(Q$1,3,20),0.4,0)))</f>
        <v>0</v>
      </c>
      <c r="R426" s="10" t="n">
        <f aca="false">IF($H426="숙박",0,IF($H426=MID(R$1,3,20),IF($I426="",1,0.6),IF($I426=MID(R$1,3,20),0.4,0)))</f>
        <v>0</v>
      </c>
      <c r="S426" s="10" t="n">
        <f aca="false">IF($H426="숙박",0,IF($H426=MID(S$1,3,20),IF($I426="",1,0.6),IF($I426=MID(S$1,3,20),0.4,0)))</f>
        <v>0.6</v>
      </c>
      <c r="T426" s="10" t="n">
        <f aca="false">IF($H426="숙박",0,IF($H426=MID(T$1,3,20),IF($I426="",1,0.6),IF($I426=MID(T$1,3,20),0.4,0)))</f>
        <v>0</v>
      </c>
      <c r="U426" s="10" t="n">
        <f aca="false">IF($H426="숙박",0,IF(ISNUMBER(SEARCH("야경",$J426)),1,0))</f>
        <v>0</v>
      </c>
      <c r="V426" s="10" t="n">
        <f aca="false">IF($H426="숙박",0,1)</f>
        <v>1</v>
      </c>
    </row>
    <row r="427" customFormat="false" ht="15" hidden="false" customHeight="false" outlineLevel="0" collapsed="false">
      <c r="A427" s="8" t="n">
        <v>426</v>
      </c>
      <c r="B427" s="8" t="s">
        <v>45</v>
      </c>
      <c r="C427" s="8" t="s">
        <v>301</v>
      </c>
      <c r="D427" s="8" t="s">
        <v>1387</v>
      </c>
      <c r="E427" s="7" t="s">
        <v>1388</v>
      </c>
      <c r="F427" s="8"/>
      <c r="G427" s="8" t="s">
        <v>216</v>
      </c>
      <c r="H427" s="9" t="s">
        <v>216</v>
      </c>
      <c r="I427" s="9" t="s">
        <v>190</v>
      </c>
      <c r="J427" s="9" t="s">
        <v>1361</v>
      </c>
      <c r="K427" s="9" t="s">
        <v>191</v>
      </c>
      <c r="L427" s="8"/>
      <c r="M427" s="8"/>
      <c r="N427" s="8" t="s">
        <v>483</v>
      </c>
      <c r="O427" s="8" t="s">
        <v>1389</v>
      </c>
      <c r="P427" s="10" t="n">
        <f aca="false">IF($H427="숙박",0,IF($H427=MID(P$1,3,20),IF($I427="",1,0.6),IF($I427=MID(P$1,3,20),0.4,0)))</f>
        <v>0.4</v>
      </c>
      <c r="Q427" s="10" t="n">
        <f aca="false">IF($H427="숙박",0,IF($H427=MID(Q$1,3,20),IF($I427="",1,0.6),IF($I427=MID(Q$1,3,20),0.4,0)))</f>
        <v>0</v>
      </c>
      <c r="R427" s="10" t="n">
        <f aca="false">IF($H427="숙박",0,IF($H427=MID(R$1,3,20),IF($I427="",1,0.6),IF($I427=MID(R$1,3,20),0.4,0)))</f>
        <v>0</v>
      </c>
      <c r="S427" s="10" t="n">
        <f aca="false">IF($H427="숙박",0,IF($H427=MID(S$1,3,20),IF($I427="",1,0.6),IF($I427=MID(S$1,3,20),0.4,0)))</f>
        <v>0.6</v>
      </c>
      <c r="T427" s="10" t="n">
        <f aca="false">IF($H427="숙박",0,IF($H427=MID(T$1,3,20),IF($I427="",1,0.6),IF($I427=MID(T$1,3,20),0.4,0)))</f>
        <v>0</v>
      </c>
      <c r="U427" s="10" t="n">
        <f aca="false">IF($H427="숙박",0,IF(ISNUMBER(SEARCH("야경",$J427)),1,0))</f>
        <v>0</v>
      </c>
      <c r="V427" s="10" t="n">
        <f aca="false">IF($H427="숙박",0,1)</f>
        <v>1</v>
      </c>
    </row>
    <row r="428" customFormat="false" ht="15" hidden="false" customHeight="false" outlineLevel="0" collapsed="false">
      <c r="A428" s="8" t="n">
        <v>427</v>
      </c>
      <c r="B428" s="8" t="s">
        <v>45</v>
      </c>
      <c r="C428" s="8" t="s">
        <v>327</v>
      </c>
      <c r="D428" s="8" t="s">
        <v>1390</v>
      </c>
      <c r="E428" s="7" t="s">
        <v>1391</v>
      </c>
      <c r="F428" s="8"/>
      <c r="G428" s="8" t="s">
        <v>184</v>
      </c>
      <c r="H428" s="9" t="s">
        <v>184</v>
      </c>
      <c r="I428" s="9"/>
      <c r="J428" s="9"/>
      <c r="K428" s="9" t="s">
        <v>191</v>
      </c>
      <c r="L428" s="8"/>
      <c r="M428" s="8"/>
      <c r="N428" s="8"/>
      <c r="O428" s="8" t="s">
        <v>1392</v>
      </c>
      <c r="P428" s="10" t="n">
        <f aca="false">IF($H428="숙박",0,IF($H428=MID(P$1,3,20),IF($I428="",1,0.6),IF($I428=MID(P$1,3,20),0.4,0)))</f>
        <v>0</v>
      </c>
      <c r="Q428" s="10" t="n">
        <f aca="false">IF($H428="숙박",0,IF($H428=MID(Q$1,3,20),IF($I428="",1,0.6),IF($I428=MID(Q$1,3,20),0.4,0)))</f>
        <v>0</v>
      </c>
      <c r="R428" s="10" t="n">
        <f aca="false">IF($H428="숙박",0,IF($H428=MID(R$1,3,20),IF($I428="",1,0.6),IF($I428=MID(R$1,3,20),0.4,0)))</f>
        <v>1</v>
      </c>
      <c r="S428" s="10" t="n">
        <f aca="false">IF($H428="숙박",0,IF($H428=MID(S$1,3,20),IF($I428="",1,0.6),IF($I428=MID(S$1,3,20),0.4,0)))</f>
        <v>0</v>
      </c>
      <c r="T428" s="10" t="n">
        <f aca="false">IF($H428="숙박",0,IF($H428=MID(T$1,3,20),IF($I428="",1,0.6),IF($I428=MID(T$1,3,20),0.4,0)))</f>
        <v>0</v>
      </c>
      <c r="U428" s="10" t="n">
        <f aca="false">IF($H428="숙박",0,IF(ISNUMBER(SEARCH("야경",$J428)),1,0))</f>
        <v>0</v>
      </c>
      <c r="V428" s="10" t="n">
        <f aca="false">IF($H428="숙박",0,1)</f>
        <v>1</v>
      </c>
    </row>
    <row r="429" customFormat="false" ht="15" hidden="false" customHeight="false" outlineLevel="0" collapsed="false">
      <c r="A429" s="8" t="n">
        <v>428</v>
      </c>
      <c r="B429" s="8" t="s">
        <v>45</v>
      </c>
      <c r="C429" s="8" t="s">
        <v>297</v>
      </c>
      <c r="D429" s="8" t="s">
        <v>1393</v>
      </c>
      <c r="E429" s="7" t="s">
        <v>1394</v>
      </c>
      <c r="F429" s="8"/>
      <c r="G429" s="8" t="s">
        <v>190</v>
      </c>
      <c r="H429" s="9" t="s">
        <v>190</v>
      </c>
      <c r="I429" s="9"/>
      <c r="J429" s="9"/>
      <c r="K429" s="9" t="s">
        <v>191</v>
      </c>
      <c r="L429" s="8"/>
      <c r="M429" s="8"/>
      <c r="N429" s="8"/>
      <c r="O429" s="8" t="s">
        <v>1395</v>
      </c>
      <c r="P429" s="10" t="n">
        <f aca="false">IF($H429="숙박",0,IF($H429=MID(P$1,3,20),IF($I429="",1,0.6),IF($I429=MID(P$1,3,20),0.4,0)))</f>
        <v>1</v>
      </c>
      <c r="Q429" s="10" t="n">
        <f aca="false">IF($H429="숙박",0,IF($H429=MID(Q$1,3,20),IF($I429="",1,0.6),IF($I429=MID(Q$1,3,20),0.4,0)))</f>
        <v>0</v>
      </c>
      <c r="R429" s="10" t="n">
        <f aca="false">IF($H429="숙박",0,IF($H429=MID(R$1,3,20),IF($I429="",1,0.6),IF($I429=MID(R$1,3,20),0.4,0)))</f>
        <v>0</v>
      </c>
      <c r="S429" s="10" t="n">
        <f aca="false">IF($H429="숙박",0,IF($H429=MID(S$1,3,20),IF($I429="",1,0.6),IF($I429=MID(S$1,3,20),0.4,0)))</f>
        <v>0</v>
      </c>
      <c r="T429" s="10" t="n">
        <f aca="false">IF($H429="숙박",0,IF($H429=MID(T$1,3,20),IF($I429="",1,0.6),IF($I429=MID(T$1,3,20),0.4,0)))</f>
        <v>0</v>
      </c>
      <c r="U429" s="10" t="n">
        <f aca="false">IF($H429="숙박",0,IF(ISNUMBER(SEARCH("야경",$J429)),1,0))</f>
        <v>0</v>
      </c>
      <c r="V429" s="10" t="n">
        <f aca="false">IF($H429="숙박",0,1)</f>
        <v>1</v>
      </c>
    </row>
    <row r="430" customFormat="false" ht="15" hidden="false" customHeight="false" outlineLevel="0" collapsed="false">
      <c r="A430" s="8" t="n">
        <v>429</v>
      </c>
      <c r="B430" s="8" t="s">
        <v>45</v>
      </c>
      <c r="C430" s="8" t="s">
        <v>297</v>
      </c>
      <c r="D430" s="8" t="s">
        <v>1396</v>
      </c>
      <c r="E430" s="7" t="s">
        <v>1397</v>
      </c>
      <c r="F430" s="8"/>
      <c r="G430" s="8" t="s">
        <v>49</v>
      </c>
      <c r="H430" s="9" t="s">
        <v>49</v>
      </c>
      <c r="I430" s="9"/>
      <c r="J430" s="9"/>
      <c r="K430" s="9" t="s">
        <v>209</v>
      </c>
      <c r="L430" s="8"/>
      <c r="M430" s="8"/>
      <c r="N430" s="8"/>
      <c r="O430" s="8" t="s">
        <v>1398</v>
      </c>
      <c r="P430" s="10" t="n">
        <f aca="false">IF($H430="숙박",0,IF($H430=MID(P$1,3,20),IF($I430="",1,0.6),IF($I430=MID(P$1,3,20),0.4,0)))</f>
        <v>0</v>
      </c>
      <c r="Q430" s="10" t="n">
        <f aca="false">IF($H430="숙박",0,IF($H430=MID(Q$1,3,20),IF($I430="",1,0.6),IF($I430=MID(Q$1,3,20),0.4,0)))</f>
        <v>1</v>
      </c>
      <c r="R430" s="10" t="n">
        <f aca="false">IF($H430="숙박",0,IF($H430=MID(R$1,3,20),IF($I430="",1,0.6),IF($I430=MID(R$1,3,20),0.4,0)))</f>
        <v>0</v>
      </c>
      <c r="S430" s="10" t="n">
        <f aca="false">IF($H430="숙박",0,IF($H430=MID(S$1,3,20),IF($I430="",1,0.6),IF($I430=MID(S$1,3,20),0.4,0)))</f>
        <v>0</v>
      </c>
      <c r="T430" s="10" t="n">
        <f aca="false">IF($H430="숙박",0,IF($H430=MID(T$1,3,20),IF($I430="",1,0.6),IF($I430=MID(T$1,3,20),0.4,0)))</f>
        <v>0</v>
      </c>
      <c r="U430" s="10" t="n">
        <f aca="false">IF($H430="숙박",0,IF(ISNUMBER(SEARCH("야경",$J430)),1,0))</f>
        <v>0</v>
      </c>
      <c r="V430" s="10" t="n">
        <f aca="false">IF($H430="숙박",0,1)</f>
        <v>1</v>
      </c>
    </row>
    <row r="431" customFormat="false" ht="15" hidden="false" customHeight="false" outlineLevel="0" collapsed="false">
      <c r="A431" s="8" t="n">
        <v>430</v>
      </c>
      <c r="B431" s="8" t="s">
        <v>45</v>
      </c>
      <c r="C431" s="8" t="s">
        <v>297</v>
      </c>
      <c r="D431" s="8" t="s">
        <v>1399</v>
      </c>
      <c r="E431" s="7" t="s">
        <v>1400</v>
      </c>
      <c r="F431" s="8"/>
      <c r="G431" s="8" t="s">
        <v>190</v>
      </c>
      <c r="H431" s="9" t="s">
        <v>190</v>
      </c>
      <c r="I431" s="9"/>
      <c r="J431" s="9"/>
      <c r="K431" s="9" t="s">
        <v>191</v>
      </c>
      <c r="L431" s="8"/>
      <c r="M431" s="8"/>
      <c r="N431" s="8"/>
      <c r="O431" s="8" t="s">
        <v>1401</v>
      </c>
      <c r="P431" s="10" t="n">
        <f aca="false">IF($H431="숙박",0,IF($H431=MID(P$1,3,20),IF($I431="",1,0.6),IF($I431=MID(P$1,3,20),0.4,0)))</f>
        <v>1</v>
      </c>
      <c r="Q431" s="10" t="n">
        <f aca="false">IF($H431="숙박",0,IF($H431=MID(Q$1,3,20),IF($I431="",1,0.6),IF($I431=MID(Q$1,3,20),0.4,0)))</f>
        <v>0</v>
      </c>
      <c r="R431" s="10" t="n">
        <f aca="false">IF($H431="숙박",0,IF($H431=MID(R$1,3,20),IF($I431="",1,0.6),IF($I431=MID(R$1,3,20),0.4,0)))</f>
        <v>0</v>
      </c>
      <c r="S431" s="10" t="n">
        <f aca="false">IF($H431="숙박",0,IF($H431=MID(S$1,3,20),IF($I431="",1,0.6),IF($I431=MID(S$1,3,20),0.4,0)))</f>
        <v>0</v>
      </c>
      <c r="T431" s="10" t="n">
        <f aca="false">IF($H431="숙박",0,IF($H431=MID(T$1,3,20),IF($I431="",1,0.6),IF($I431=MID(T$1,3,20),0.4,0)))</f>
        <v>0</v>
      </c>
      <c r="U431" s="10" t="n">
        <f aca="false">IF($H431="숙박",0,IF(ISNUMBER(SEARCH("야경",$J431)),1,0))</f>
        <v>0</v>
      </c>
      <c r="V431" s="10" t="n">
        <f aca="false">IF($H431="숙박",0,1)</f>
        <v>1</v>
      </c>
    </row>
    <row r="432" customFormat="false" ht="15" hidden="false" customHeight="false" outlineLevel="0" collapsed="false">
      <c r="A432" s="8" t="n">
        <v>431</v>
      </c>
      <c r="B432" s="8" t="s">
        <v>45</v>
      </c>
      <c r="C432" s="8" t="s">
        <v>1402</v>
      </c>
      <c r="D432" s="8" t="s">
        <v>1403</v>
      </c>
      <c r="E432" s="7" t="s">
        <v>1404</v>
      </c>
      <c r="F432" s="8"/>
      <c r="G432" s="8" t="s">
        <v>190</v>
      </c>
      <c r="H432" s="9" t="s">
        <v>190</v>
      </c>
      <c r="I432" s="9"/>
      <c r="J432" s="9"/>
      <c r="K432" s="9" t="s">
        <v>52</v>
      </c>
      <c r="L432" s="8"/>
      <c r="M432" s="8"/>
      <c r="N432" s="8"/>
      <c r="O432" s="8" t="s">
        <v>1405</v>
      </c>
      <c r="P432" s="10" t="n">
        <f aca="false">IF($H432="숙박",0,IF($H432=MID(P$1,3,20),IF($I432="",1,0.6),IF($I432=MID(P$1,3,20),0.4,0)))</f>
        <v>1</v>
      </c>
      <c r="Q432" s="10" t="n">
        <f aca="false">IF($H432="숙박",0,IF($H432=MID(Q$1,3,20),IF($I432="",1,0.6),IF($I432=MID(Q$1,3,20),0.4,0)))</f>
        <v>0</v>
      </c>
      <c r="R432" s="10" t="n">
        <f aca="false">IF($H432="숙박",0,IF($H432=MID(R$1,3,20),IF($I432="",1,0.6),IF($I432=MID(R$1,3,20),0.4,0)))</f>
        <v>0</v>
      </c>
      <c r="S432" s="10" t="n">
        <f aca="false">IF($H432="숙박",0,IF($H432=MID(S$1,3,20),IF($I432="",1,0.6),IF($I432=MID(S$1,3,20),0.4,0)))</f>
        <v>0</v>
      </c>
      <c r="T432" s="10" t="n">
        <f aca="false">IF($H432="숙박",0,IF($H432=MID(T$1,3,20),IF($I432="",1,0.6),IF($I432=MID(T$1,3,20),0.4,0)))</f>
        <v>0</v>
      </c>
      <c r="U432" s="10" t="n">
        <f aca="false">IF($H432="숙박",0,IF(ISNUMBER(SEARCH("야경",$J432)),1,0))</f>
        <v>0</v>
      </c>
      <c r="V432" s="10" t="n">
        <f aca="false">IF($H432="숙박",0,1)</f>
        <v>1</v>
      </c>
    </row>
    <row r="433" customFormat="false" ht="15" hidden="false" customHeight="false" outlineLevel="0" collapsed="false">
      <c r="A433" s="8" t="n">
        <v>432</v>
      </c>
      <c r="B433" s="8" t="s">
        <v>45</v>
      </c>
      <c r="C433" s="8" t="s">
        <v>1347</v>
      </c>
      <c r="D433" s="8" t="s">
        <v>1406</v>
      </c>
      <c r="E433" s="7" t="s">
        <v>1407</v>
      </c>
      <c r="F433" s="8"/>
      <c r="G433" s="8" t="s">
        <v>190</v>
      </c>
      <c r="H433" s="9" t="s">
        <v>190</v>
      </c>
      <c r="I433" s="9" t="s">
        <v>49</v>
      </c>
      <c r="J433" s="9"/>
      <c r="K433" s="9" t="s">
        <v>191</v>
      </c>
      <c r="L433" s="8"/>
      <c r="M433" s="8"/>
      <c r="N433" s="8" t="s">
        <v>483</v>
      </c>
      <c r="O433" s="8" t="s">
        <v>1408</v>
      </c>
      <c r="P433" s="10" t="n">
        <f aca="false">IF($H433="숙박",0,IF($H433=MID(P$1,3,20),IF($I433="",1,0.6),IF($I433=MID(P$1,3,20),0.4,0)))</f>
        <v>0.6</v>
      </c>
      <c r="Q433" s="10" t="n">
        <f aca="false">IF($H433="숙박",0,IF($H433=MID(Q$1,3,20),IF($I433="",1,0.6),IF($I433=MID(Q$1,3,20),0.4,0)))</f>
        <v>0.4</v>
      </c>
      <c r="R433" s="10" t="n">
        <f aca="false">IF($H433="숙박",0,IF($H433=MID(R$1,3,20),IF($I433="",1,0.6),IF($I433=MID(R$1,3,20),0.4,0)))</f>
        <v>0</v>
      </c>
      <c r="S433" s="10" t="n">
        <f aca="false">IF($H433="숙박",0,IF($H433=MID(S$1,3,20),IF($I433="",1,0.6),IF($I433=MID(S$1,3,20),0.4,0)))</f>
        <v>0</v>
      </c>
      <c r="T433" s="10" t="n">
        <f aca="false">IF($H433="숙박",0,IF($H433=MID(T$1,3,20),IF($I433="",1,0.6),IF($I433=MID(T$1,3,20),0.4,0)))</f>
        <v>0</v>
      </c>
      <c r="U433" s="10" t="n">
        <f aca="false">IF($H433="숙박",0,IF(ISNUMBER(SEARCH("야경",$J433)),1,0))</f>
        <v>0</v>
      </c>
      <c r="V433" s="10" t="n">
        <f aca="false">IF($H433="숙박",0,1)</f>
        <v>1</v>
      </c>
    </row>
    <row r="434" customFormat="false" ht="15" hidden="false" customHeight="false" outlineLevel="0" collapsed="false">
      <c r="A434" s="8" t="n">
        <v>433</v>
      </c>
      <c r="B434" s="8" t="s">
        <v>45</v>
      </c>
      <c r="C434" s="8" t="s">
        <v>1409</v>
      </c>
      <c r="D434" s="8" t="s">
        <v>1410</v>
      </c>
      <c r="E434" s="7" t="s">
        <v>1411</v>
      </c>
      <c r="F434" s="8"/>
      <c r="G434" s="8" t="s">
        <v>190</v>
      </c>
      <c r="H434" s="9" t="s">
        <v>190</v>
      </c>
      <c r="I434" s="9"/>
      <c r="J434" s="9"/>
      <c r="K434" s="9" t="s">
        <v>52</v>
      </c>
      <c r="L434" s="8"/>
      <c r="M434" s="8"/>
      <c r="N434" s="8"/>
      <c r="O434" s="8" t="s">
        <v>1412</v>
      </c>
      <c r="P434" s="10" t="n">
        <f aca="false">IF($H434="숙박",0,IF($H434=MID(P$1,3,20),IF($I434="",1,0.6),IF($I434=MID(P$1,3,20),0.4,0)))</f>
        <v>1</v>
      </c>
      <c r="Q434" s="10" t="n">
        <f aca="false">IF($H434="숙박",0,IF($H434=MID(Q$1,3,20),IF($I434="",1,0.6),IF($I434=MID(Q$1,3,20),0.4,0)))</f>
        <v>0</v>
      </c>
      <c r="R434" s="10" t="n">
        <f aca="false">IF($H434="숙박",0,IF($H434=MID(R$1,3,20),IF($I434="",1,0.6),IF($I434=MID(R$1,3,20),0.4,0)))</f>
        <v>0</v>
      </c>
      <c r="S434" s="10" t="n">
        <f aca="false">IF($H434="숙박",0,IF($H434=MID(S$1,3,20),IF($I434="",1,0.6),IF($I434=MID(S$1,3,20),0.4,0)))</f>
        <v>0</v>
      </c>
      <c r="T434" s="10" t="n">
        <f aca="false">IF($H434="숙박",0,IF($H434=MID(T$1,3,20),IF($I434="",1,0.6),IF($I434=MID(T$1,3,20),0.4,0)))</f>
        <v>0</v>
      </c>
      <c r="U434" s="10" t="n">
        <f aca="false">IF($H434="숙박",0,IF(ISNUMBER(SEARCH("야경",$J434)),1,0))</f>
        <v>0</v>
      </c>
      <c r="V434" s="10" t="n">
        <f aca="false">IF($H434="숙박",0,1)</f>
        <v>1</v>
      </c>
    </row>
    <row r="435" customFormat="false" ht="15" hidden="false" customHeight="false" outlineLevel="0" collapsed="false">
      <c r="A435" s="8" t="n">
        <v>434</v>
      </c>
      <c r="B435" s="8" t="s">
        <v>45</v>
      </c>
      <c r="C435" s="8"/>
      <c r="D435" s="8" t="s">
        <v>1413</v>
      </c>
      <c r="E435" s="7" t="s">
        <v>1414</v>
      </c>
      <c r="F435" s="8"/>
      <c r="G435" s="8"/>
      <c r="H435" s="9" t="s">
        <v>594</v>
      </c>
      <c r="I435" s="9"/>
      <c r="J435" s="9"/>
      <c r="K435" s="9"/>
      <c r="L435" s="8"/>
      <c r="M435" s="8"/>
      <c r="N435" s="8" t="s">
        <v>595</v>
      </c>
      <c r="O435" s="8"/>
      <c r="P435" s="10" t="n">
        <f aca="false">IF($H435="숙박",0,IF($H435=MID(P$1,3,20),IF($I435="",1,0.6),IF($I435=MID(P$1,3,20),0.4,0)))</f>
        <v>0</v>
      </c>
      <c r="Q435" s="10" t="n">
        <f aca="false">IF($H435="숙박",0,IF($H435=MID(Q$1,3,20),IF($I435="",1,0.6),IF($I435=MID(Q$1,3,20),0.4,0)))</f>
        <v>0</v>
      </c>
      <c r="R435" s="10" t="n">
        <f aca="false">IF($H435="숙박",0,IF($H435=MID(R$1,3,20),IF($I435="",1,0.6),IF($I435=MID(R$1,3,20),0.4,0)))</f>
        <v>0</v>
      </c>
      <c r="S435" s="10" t="n">
        <f aca="false">IF($H435="숙박",0,IF($H435=MID(S$1,3,20),IF($I435="",1,0.6),IF($I435=MID(S$1,3,20),0.4,0)))</f>
        <v>0</v>
      </c>
      <c r="T435" s="10" t="n">
        <f aca="false">IF($H435="숙박",0,IF($H435=MID(T$1,3,20),IF($I435="",1,0.6),IF($I435=MID(T$1,3,20),0.4,0)))</f>
        <v>0</v>
      </c>
      <c r="U435" s="10" t="n">
        <f aca="false">IF($H435="숙박",0,IF(ISNUMBER(SEARCH("야경",$J435)),1,0))</f>
        <v>0</v>
      </c>
      <c r="V435" s="10" t="n">
        <f aca="false">IF($H435="숙박",0,1)</f>
        <v>0</v>
      </c>
    </row>
    <row r="436" customFormat="false" ht="15" hidden="false" customHeight="false" outlineLevel="0" collapsed="false">
      <c r="A436" s="8" t="n">
        <v>435</v>
      </c>
      <c r="B436" s="8" t="s">
        <v>45</v>
      </c>
      <c r="C436" s="8" t="s">
        <v>1415</v>
      </c>
      <c r="D436" s="8" t="s">
        <v>1416</v>
      </c>
      <c r="E436" s="7" t="s">
        <v>1417</v>
      </c>
      <c r="F436" s="8"/>
      <c r="G436" s="8" t="s">
        <v>184</v>
      </c>
      <c r="H436" s="9" t="s">
        <v>184</v>
      </c>
      <c r="I436" s="9" t="s">
        <v>49</v>
      </c>
      <c r="J436" s="9"/>
      <c r="K436" s="9" t="s">
        <v>52</v>
      </c>
      <c r="L436" s="8"/>
      <c r="M436" s="8"/>
      <c r="N436" s="8" t="s">
        <v>483</v>
      </c>
      <c r="O436" s="8" t="s">
        <v>1418</v>
      </c>
      <c r="P436" s="10" t="n">
        <f aca="false">IF($H436="숙박",0,IF($H436=MID(P$1,3,20),IF($I436="",1,0.6),IF($I436=MID(P$1,3,20),0.4,0)))</f>
        <v>0</v>
      </c>
      <c r="Q436" s="10" t="n">
        <f aca="false">IF($H436="숙박",0,IF($H436=MID(Q$1,3,20),IF($I436="",1,0.6),IF($I436=MID(Q$1,3,20),0.4,0)))</f>
        <v>0.4</v>
      </c>
      <c r="R436" s="10" t="n">
        <f aca="false">IF($H436="숙박",0,IF($H436=MID(R$1,3,20),IF($I436="",1,0.6),IF($I436=MID(R$1,3,20),0.4,0)))</f>
        <v>0.6</v>
      </c>
      <c r="S436" s="10" t="n">
        <f aca="false">IF($H436="숙박",0,IF($H436=MID(S$1,3,20),IF($I436="",1,0.6),IF($I436=MID(S$1,3,20),0.4,0)))</f>
        <v>0</v>
      </c>
      <c r="T436" s="10" t="n">
        <f aca="false">IF($H436="숙박",0,IF($H436=MID(T$1,3,20),IF($I436="",1,0.6),IF($I436=MID(T$1,3,20),0.4,0)))</f>
        <v>0</v>
      </c>
      <c r="U436" s="10" t="n">
        <f aca="false">IF($H436="숙박",0,IF(ISNUMBER(SEARCH("야경",$J436)),1,0))</f>
        <v>0</v>
      </c>
      <c r="V436" s="10" t="n">
        <f aca="false">IF($H436="숙박",0,1)</f>
        <v>1</v>
      </c>
    </row>
    <row r="437" customFormat="false" ht="15" hidden="false" customHeight="false" outlineLevel="0" collapsed="false">
      <c r="A437" s="8" t="n">
        <v>436</v>
      </c>
      <c r="B437" s="8" t="s">
        <v>45</v>
      </c>
      <c r="C437" s="8" t="s">
        <v>317</v>
      </c>
      <c r="D437" s="8" t="s">
        <v>1419</v>
      </c>
      <c r="E437" s="7" t="s">
        <v>1420</v>
      </c>
      <c r="F437" s="8"/>
      <c r="G437" s="8" t="s">
        <v>50</v>
      </c>
      <c r="H437" s="9" t="s">
        <v>50</v>
      </c>
      <c r="I437" s="9"/>
      <c r="J437" s="9" t="s">
        <v>168</v>
      </c>
      <c r="K437" s="9" t="s">
        <v>52</v>
      </c>
      <c r="L437" s="8"/>
      <c r="M437" s="8"/>
      <c r="N437" s="8"/>
      <c r="O437" s="8" t="s">
        <v>1421</v>
      </c>
      <c r="P437" s="10" t="n">
        <f aca="false">IF($H437="숙박",0,IF($H437=MID(P$1,3,20),IF($I437="",1,0.6),IF($I437=MID(P$1,3,20),0.4,0)))</f>
        <v>0</v>
      </c>
      <c r="Q437" s="10" t="n">
        <f aca="false">IF($H437="숙박",0,IF($H437=MID(Q$1,3,20),IF($I437="",1,0.6),IF($I437=MID(Q$1,3,20),0.4,0)))</f>
        <v>0</v>
      </c>
      <c r="R437" s="10" t="n">
        <f aca="false">IF($H437="숙박",0,IF($H437=MID(R$1,3,20),IF($I437="",1,0.6),IF($I437=MID(R$1,3,20),0.4,0)))</f>
        <v>0</v>
      </c>
      <c r="S437" s="10" t="n">
        <f aca="false">IF($H437="숙박",0,IF($H437=MID(S$1,3,20),IF($I437="",1,0.6),IF($I437=MID(S$1,3,20),0.4,0)))</f>
        <v>0</v>
      </c>
      <c r="T437" s="10" t="n">
        <f aca="false">IF($H437="숙박",0,IF($H437=MID(T$1,3,20),IF($I437="",1,0.6),IF($I437=MID(T$1,3,20),0.4,0)))</f>
        <v>1</v>
      </c>
      <c r="U437" s="10" t="n">
        <f aca="false">IF($H437="숙박",0,IF(ISNUMBER(SEARCH("야경",$J437)),1,0))</f>
        <v>0</v>
      </c>
      <c r="V437" s="10" t="n">
        <f aca="false">IF($H437="숙박",0,1)</f>
        <v>1</v>
      </c>
    </row>
    <row r="438" customFormat="false" ht="15" hidden="false" customHeight="false" outlineLevel="0" collapsed="false">
      <c r="A438" s="8" t="n">
        <v>437</v>
      </c>
      <c r="B438" s="8" t="s">
        <v>45</v>
      </c>
      <c r="C438" s="8"/>
      <c r="D438" s="8" t="s">
        <v>1422</v>
      </c>
      <c r="E438" s="7" t="s">
        <v>1423</v>
      </c>
      <c r="F438" s="8"/>
      <c r="G438" s="8" t="s">
        <v>49</v>
      </c>
      <c r="H438" s="9" t="s">
        <v>49</v>
      </c>
      <c r="I438" s="9"/>
      <c r="J438" s="9"/>
      <c r="K438" s="9" t="s">
        <v>209</v>
      </c>
      <c r="L438" s="8"/>
      <c r="M438" s="8"/>
      <c r="N438" s="8"/>
      <c r="O438" s="8" t="s">
        <v>1424</v>
      </c>
      <c r="P438" s="10" t="n">
        <f aca="false">IF($H438="숙박",0,IF($H438=MID(P$1,3,20),IF($I438="",1,0.6),IF($I438=MID(P$1,3,20),0.4,0)))</f>
        <v>0</v>
      </c>
      <c r="Q438" s="10" t="n">
        <f aca="false">IF($H438="숙박",0,IF($H438=MID(Q$1,3,20),IF($I438="",1,0.6),IF($I438=MID(Q$1,3,20),0.4,0)))</f>
        <v>1</v>
      </c>
      <c r="R438" s="10" t="n">
        <f aca="false">IF($H438="숙박",0,IF($H438=MID(R$1,3,20),IF($I438="",1,0.6),IF($I438=MID(R$1,3,20),0.4,0)))</f>
        <v>0</v>
      </c>
      <c r="S438" s="10" t="n">
        <f aca="false">IF($H438="숙박",0,IF($H438=MID(S$1,3,20),IF($I438="",1,0.6),IF($I438=MID(S$1,3,20),0.4,0)))</f>
        <v>0</v>
      </c>
      <c r="T438" s="10" t="n">
        <f aca="false">IF($H438="숙박",0,IF($H438=MID(T$1,3,20),IF($I438="",1,0.6),IF($I438=MID(T$1,3,20),0.4,0)))</f>
        <v>0</v>
      </c>
      <c r="U438" s="10" t="n">
        <f aca="false">IF($H438="숙박",0,IF(ISNUMBER(SEARCH("야경",$J438)),1,0))</f>
        <v>0</v>
      </c>
      <c r="V438" s="10" t="n">
        <f aca="false">IF($H438="숙박",0,1)</f>
        <v>1</v>
      </c>
    </row>
    <row r="439" customFormat="false" ht="15" hidden="false" customHeight="false" outlineLevel="0" collapsed="false">
      <c r="A439" s="8" t="n">
        <v>438</v>
      </c>
      <c r="B439" s="8" t="s">
        <v>45</v>
      </c>
      <c r="C439" s="8" t="s">
        <v>1363</v>
      </c>
      <c r="D439" s="8" t="s">
        <v>1425</v>
      </c>
      <c r="E439" s="7" t="s">
        <v>1426</v>
      </c>
      <c r="F439" s="8"/>
      <c r="G439" s="8" t="s">
        <v>49</v>
      </c>
      <c r="H439" s="9" t="s">
        <v>49</v>
      </c>
      <c r="I439" s="9"/>
      <c r="J439" s="9"/>
      <c r="K439" s="9" t="s">
        <v>52</v>
      </c>
      <c r="L439" s="8"/>
      <c r="M439" s="8"/>
      <c r="N439" s="8"/>
      <c r="O439" s="8" t="s">
        <v>1427</v>
      </c>
      <c r="P439" s="10" t="n">
        <f aca="false">IF($H439="숙박",0,IF($H439=MID(P$1,3,20),IF($I439="",1,0.6),IF($I439=MID(P$1,3,20),0.4,0)))</f>
        <v>0</v>
      </c>
      <c r="Q439" s="10" t="n">
        <f aca="false">IF($H439="숙박",0,IF($H439=MID(Q$1,3,20),IF($I439="",1,0.6),IF($I439=MID(Q$1,3,20),0.4,0)))</f>
        <v>1</v>
      </c>
      <c r="R439" s="10" t="n">
        <f aca="false">IF($H439="숙박",0,IF($H439=MID(R$1,3,20),IF($I439="",1,0.6),IF($I439=MID(R$1,3,20),0.4,0)))</f>
        <v>0</v>
      </c>
      <c r="S439" s="10" t="n">
        <f aca="false">IF($H439="숙박",0,IF($H439=MID(S$1,3,20),IF($I439="",1,0.6),IF($I439=MID(S$1,3,20),0.4,0)))</f>
        <v>0</v>
      </c>
      <c r="T439" s="10" t="n">
        <f aca="false">IF($H439="숙박",0,IF($H439=MID(T$1,3,20),IF($I439="",1,0.6),IF($I439=MID(T$1,3,20),0.4,0)))</f>
        <v>0</v>
      </c>
      <c r="U439" s="10" t="n">
        <f aca="false">IF($H439="숙박",0,IF(ISNUMBER(SEARCH("야경",$J439)),1,0))</f>
        <v>0</v>
      </c>
      <c r="V439" s="10" t="n">
        <f aca="false">IF($H439="숙박",0,1)</f>
        <v>1</v>
      </c>
    </row>
    <row r="440" customFormat="false" ht="15" hidden="false" customHeight="false" outlineLevel="0" collapsed="false">
      <c r="A440" s="8" t="n">
        <v>439</v>
      </c>
      <c r="B440" s="8" t="s">
        <v>45</v>
      </c>
      <c r="C440" s="8" t="s">
        <v>1363</v>
      </c>
      <c r="D440" s="8" t="s">
        <v>1428</v>
      </c>
      <c r="E440" s="7" t="s">
        <v>1429</v>
      </c>
      <c r="F440" s="8"/>
      <c r="G440" s="8" t="s">
        <v>190</v>
      </c>
      <c r="H440" s="9" t="s">
        <v>190</v>
      </c>
      <c r="I440" s="9"/>
      <c r="J440" s="9" t="s">
        <v>1361</v>
      </c>
      <c r="K440" s="9" t="s">
        <v>191</v>
      </c>
      <c r="L440" s="8"/>
      <c r="M440" s="8"/>
      <c r="N440" s="8"/>
      <c r="O440" s="8" t="s">
        <v>1430</v>
      </c>
      <c r="P440" s="10" t="n">
        <f aca="false">IF($H440="숙박",0,IF($H440=MID(P$1,3,20),IF($I440="",1,0.6),IF($I440=MID(P$1,3,20),0.4,0)))</f>
        <v>1</v>
      </c>
      <c r="Q440" s="10" t="n">
        <f aca="false">IF($H440="숙박",0,IF($H440=MID(Q$1,3,20),IF($I440="",1,0.6),IF($I440=MID(Q$1,3,20),0.4,0)))</f>
        <v>0</v>
      </c>
      <c r="R440" s="10" t="n">
        <f aca="false">IF($H440="숙박",0,IF($H440=MID(R$1,3,20),IF($I440="",1,0.6),IF($I440=MID(R$1,3,20),0.4,0)))</f>
        <v>0</v>
      </c>
      <c r="S440" s="10" t="n">
        <f aca="false">IF($H440="숙박",0,IF($H440=MID(S$1,3,20),IF($I440="",1,0.6),IF($I440=MID(S$1,3,20),0.4,0)))</f>
        <v>0</v>
      </c>
      <c r="T440" s="10" t="n">
        <f aca="false">IF($H440="숙박",0,IF($H440=MID(T$1,3,20),IF($I440="",1,0.6),IF($I440=MID(T$1,3,20),0.4,0)))</f>
        <v>0</v>
      </c>
      <c r="U440" s="10" t="n">
        <f aca="false">IF($H440="숙박",0,IF(ISNUMBER(SEARCH("야경",$J440)),1,0))</f>
        <v>0</v>
      </c>
      <c r="V440" s="10" t="n">
        <f aca="false">IF($H440="숙박",0,1)</f>
        <v>1</v>
      </c>
    </row>
    <row r="441" customFormat="false" ht="15" hidden="false" customHeight="false" outlineLevel="0" collapsed="false">
      <c r="A441" s="8" t="n">
        <v>440</v>
      </c>
      <c r="B441" s="8" t="s">
        <v>45</v>
      </c>
      <c r="C441" s="8" t="s">
        <v>1363</v>
      </c>
      <c r="D441" s="8" t="s">
        <v>1431</v>
      </c>
      <c r="E441" s="7" t="s">
        <v>1432</v>
      </c>
      <c r="F441" s="8"/>
      <c r="G441" s="8" t="s">
        <v>190</v>
      </c>
      <c r="H441" s="9" t="s">
        <v>190</v>
      </c>
      <c r="I441" s="9" t="s">
        <v>49</v>
      </c>
      <c r="J441" s="9"/>
      <c r="K441" s="9" t="s">
        <v>52</v>
      </c>
      <c r="L441" s="8"/>
      <c r="M441" s="8"/>
      <c r="N441" s="8" t="s">
        <v>483</v>
      </c>
      <c r="O441" s="8" t="s">
        <v>1433</v>
      </c>
      <c r="P441" s="10" t="n">
        <f aca="false">IF($H441="숙박",0,IF($H441=MID(P$1,3,20),IF($I441="",1,0.6),IF($I441=MID(P$1,3,20),0.4,0)))</f>
        <v>0.6</v>
      </c>
      <c r="Q441" s="10" t="n">
        <f aca="false">IF($H441="숙박",0,IF($H441=MID(Q$1,3,20),IF($I441="",1,0.6),IF($I441=MID(Q$1,3,20),0.4,0)))</f>
        <v>0.4</v>
      </c>
      <c r="R441" s="10" t="n">
        <f aca="false">IF($H441="숙박",0,IF($H441=MID(R$1,3,20),IF($I441="",1,0.6),IF($I441=MID(R$1,3,20),0.4,0)))</f>
        <v>0</v>
      </c>
      <c r="S441" s="10" t="n">
        <f aca="false">IF($H441="숙박",0,IF($H441=MID(S$1,3,20),IF($I441="",1,0.6),IF($I441=MID(S$1,3,20),0.4,0)))</f>
        <v>0</v>
      </c>
      <c r="T441" s="10" t="n">
        <f aca="false">IF($H441="숙박",0,IF($H441=MID(T$1,3,20),IF($I441="",1,0.6),IF($I441=MID(T$1,3,20),0.4,0)))</f>
        <v>0</v>
      </c>
      <c r="U441" s="10" t="n">
        <f aca="false">IF($H441="숙박",0,IF(ISNUMBER(SEARCH("야경",$J441)),1,0))</f>
        <v>0</v>
      </c>
      <c r="V441" s="10" t="n">
        <f aca="false">IF($H441="숙박",0,1)</f>
        <v>1</v>
      </c>
    </row>
    <row r="442" customFormat="false" ht="15" hidden="false" customHeight="false" outlineLevel="0" collapsed="false">
      <c r="A442" s="8" t="n">
        <v>441</v>
      </c>
      <c r="B442" s="8" t="s">
        <v>45</v>
      </c>
      <c r="C442" s="8" t="s">
        <v>1434</v>
      </c>
      <c r="D442" s="8" t="s">
        <v>1435</v>
      </c>
      <c r="E442" s="7" t="s">
        <v>1436</v>
      </c>
      <c r="F442" s="8"/>
      <c r="G442" s="8" t="s">
        <v>49</v>
      </c>
      <c r="H442" s="9" t="s">
        <v>49</v>
      </c>
      <c r="I442" s="9"/>
      <c r="J442" s="9"/>
      <c r="K442" s="9" t="s">
        <v>52</v>
      </c>
      <c r="L442" s="8"/>
      <c r="M442" s="8"/>
      <c r="N442" s="8"/>
      <c r="O442" s="8" t="s">
        <v>1437</v>
      </c>
      <c r="P442" s="10" t="n">
        <f aca="false">IF($H442="숙박",0,IF($H442=MID(P$1,3,20),IF($I442="",1,0.6),IF($I442=MID(P$1,3,20),0.4,0)))</f>
        <v>0</v>
      </c>
      <c r="Q442" s="10" t="n">
        <f aca="false">IF($H442="숙박",0,IF($H442=MID(Q$1,3,20),IF($I442="",1,0.6),IF($I442=MID(Q$1,3,20),0.4,0)))</f>
        <v>1</v>
      </c>
      <c r="R442" s="10" t="n">
        <f aca="false">IF($H442="숙박",0,IF($H442=MID(R$1,3,20),IF($I442="",1,0.6),IF($I442=MID(R$1,3,20),0.4,0)))</f>
        <v>0</v>
      </c>
      <c r="S442" s="10" t="n">
        <f aca="false">IF($H442="숙박",0,IF($H442=MID(S$1,3,20),IF($I442="",1,0.6),IF($I442=MID(S$1,3,20),0.4,0)))</f>
        <v>0</v>
      </c>
      <c r="T442" s="10" t="n">
        <f aca="false">IF($H442="숙박",0,IF($H442=MID(T$1,3,20),IF($I442="",1,0.6),IF($I442=MID(T$1,3,20),0.4,0)))</f>
        <v>0</v>
      </c>
      <c r="U442" s="10" t="n">
        <f aca="false">IF($H442="숙박",0,IF(ISNUMBER(SEARCH("야경",$J442)),1,0))</f>
        <v>0</v>
      </c>
      <c r="V442" s="10" t="n">
        <f aca="false">IF($H442="숙박",0,1)</f>
        <v>1</v>
      </c>
    </row>
    <row r="443" customFormat="false" ht="15" hidden="false" customHeight="false" outlineLevel="0" collapsed="false">
      <c r="A443" s="8" t="n">
        <v>442</v>
      </c>
      <c r="B443" s="8" t="s">
        <v>45</v>
      </c>
      <c r="C443" s="8"/>
      <c r="D443" s="8" t="s">
        <v>1438</v>
      </c>
      <c r="E443" s="7" t="s">
        <v>1439</v>
      </c>
      <c r="F443" s="8"/>
      <c r="G443" s="8"/>
      <c r="H443" s="9" t="s">
        <v>594</v>
      </c>
      <c r="I443" s="9"/>
      <c r="J443" s="9"/>
      <c r="K443" s="9"/>
      <c r="L443" s="8"/>
      <c r="M443" s="8"/>
      <c r="N443" s="8" t="s">
        <v>595</v>
      </c>
      <c r="O443" s="8"/>
      <c r="P443" s="10" t="n">
        <f aca="false">IF($H443="숙박",0,IF($H443=MID(P$1,3,20),IF($I443="",1,0.6),IF($I443=MID(P$1,3,20),0.4,0)))</f>
        <v>0</v>
      </c>
      <c r="Q443" s="10" t="n">
        <f aca="false">IF($H443="숙박",0,IF($H443=MID(Q$1,3,20),IF($I443="",1,0.6),IF($I443=MID(Q$1,3,20),0.4,0)))</f>
        <v>0</v>
      </c>
      <c r="R443" s="10" t="n">
        <f aca="false">IF($H443="숙박",0,IF($H443=MID(R$1,3,20),IF($I443="",1,0.6),IF($I443=MID(R$1,3,20),0.4,0)))</f>
        <v>0</v>
      </c>
      <c r="S443" s="10" t="n">
        <f aca="false">IF($H443="숙박",0,IF($H443=MID(S$1,3,20),IF($I443="",1,0.6),IF($I443=MID(S$1,3,20),0.4,0)))</f>
        <v>0</v>
      </c>
      <c r="T443" s="10" t="n">
        <f aca="false">IF($H443="숙박",0,IF($H443=MID(T$1,3,20),IF($I443="",1,0.6),IF($I443=MID(T$1,3,20),0.4,0)))</f>
        <v>0</v>
      </c>
      <c r="U443" s="10" t="n">
        <f aca="false">IF($H443="숙박",0,IF(ISNUMBER(SEARCH("야경",$J443)),1,0))</f>
        <v>0</v>
      </c>
      <c r="V443" s="10" t="n">
        <f aca="false">IF($H443="숙박",0,1)</f>
        <v>0</v>
      </c>
    </row>
    <row r="444" customFormat="false" ht="15" hidden="false" customHeight="false" outlineLevel="0" collapsed="false">
      <c r="A444" s="8" t="n">
        <v>443</v>
      </c>
      <c r="B444" s="8" t="s">
        <v>45</v>
      </c>
      <c r="C444" s="8" t="s">
        <v>1440</v>
      </c>
      <c r="D444" s="8" t="s">
        <v>1441</v>
      </c>
      <c r="E444" s="7" t="s">
        <v>1442</v>
      </c>
      <c r="F444" s="8"/>
      <c r="G444" s="8" t="s">
        <v>190</v>
      </c>
      <c r="H444" s="9" t="s">
        <v>190</v>
      </c>
      <c r="I444" s="9"/>
      <c r="J444" s="9" t="s">
        <v>1361</v>
      </c>
      <c r="K444" s="9" t="s">
        <v>191</v>
      </c>
      <c r="L444" s="8"/>
      <c r="M444" s="8"/>
      <c r="N444" s="8"/>
      <c r="O444" s="8" t="s">
        <v>1443</v>
      </c>
      <c r="P444" s="10" t="n">
        <f aca="false">IF($H444="숙박",0,IF($H444=MID(P$1,3,20),IF($I444="",1,0.6),IF($I444=MID(P$1,3,20),0.4,0)))</f>
        <v>1</v>
      </c>
      <c r="Q444" s="10" t="n">
        <f aca="false">IF($H444="숙박",0,IF($H444=MID(Q$1,3,20),IF($I444="",1,0.6),IF($I444=MID(Q$1,3,20),0.4,0)))</f>
        <v>0</v>
      </c>
      <c r="R444" s="10" t="n">
        <f aca="false">IF($H444="숙박",0,IF($H444=MID(R$1,3,20),IF($I444="",1,0.6),IF($I444=MID(R$1,3,20),0.4,0)))</f>
        <v>0</v>
      </c>
      <c r="S444" s="10" t="n">
        <f aca="false">IF($H444="숙박",0,IF($H444=MID(S$1,3,20),IF($I444="",1,0.6),IF($I444=MID(S$1,3,20),0.4,0)))</f>
        <v>0</v>
      </c>
      <c r="T444" s="10" t="n">
        <f aca="false">IF($H444="숙박",0,IF($H444=MID(T$1,3,20),IF($I444="",1,0.6),IF($I444=MID(T$1,3,20),0.4,0)))</f>
        <v>0</v>
      </c>
      <c r="U444" s="10" t="n">
        <f aca="false">IF($H444="숙박",0,IF(ISNUMBER(SEARCH("야경",$J444)),1,0))</f>
        <v>0</v>
      </c>
      <c r="V444" s="10" t="n">
        <f aca="false">IF($H444="숙박",0,1)</f>
        <v>1</v>
      </c>
    </row>
    <row r="445" customFormat="false" ht="15" hidden="false" customHeight="false" outlineLevel="0" collapsed="false">
      <c r="A445" s="8" t="n">
        <v>444</v>
      </c>
      <c r="B445" s="8" t="s">
        <v>45</v>
      </c>
      <c r="C445" s="8" t="s">
        <v>1444</v>
      </c>
      <c r="D445" s="8" t="s">
        <v>1445</v>
      </c>
      <c r="E445" s="7" t="s">
        <v>1446</v>
      </c>
      <c r="F445" s="8"/>
      <c r="G445" s="8" t="s">
        <v>190</v>
      </c>
      <c r="H445" s="9" t="s">
        <v>190</v>
      </c>
      <c r="I445" s="9" t="s">
        <v>49</v>
      </c>
      <c r="J445" s="9"/>
      <c r="K445" s="9" t="s">
        <v>52</v>
      </c>
      <c r="L445" s="8"/>
      <c r="M445" s="8"/>
      <c r="N445" s="8" t="s">
        <v>483</v>
      </c>
      <c r="O445" s="8" t="s">
        <v>1447</v>
      </c>
      <c r="P445" s="10" t="n">
        <f aca="false">IF($H445="숙박",0,IF($H445=MID(P$1,3,20),IF($I445="",1,0.6),IF($I445=MID(P$1,3,20),0.4,0)))</f>
        <v>0.6</v>
      </c>
      <c r="Q445" s="10" t="n">
        <f aca="false">IF($H445="숙박",0,IF($H445=MID(Q$1,3,20),IF($I445="",1,0.6),IF($I445=MID(Q$1,3,20),0.4,0)))</f>
        <v>0.4</v>
      </c>
      <c r="R445" s="10" t="n">
        <f aca="false">IF($H445="숙박",0,IF($H445=MID(R$1,3,20),IF($I445="",1,0.6),IF($I445=MID(R$1,3,20),0.4,0)))</f>
        <v>0</v>
      </c>
      <c r="S445" s="10" t="n">
        <f aca="false">IF($H445="숙박",0,IF($H445=MID(S$1,3,20),IF($I445="",1,0.6),IF($I445=MID(S$1,3,20),0.4,0)))</f>
        <v>0</v>
      </c>
      <c r="T445" s="10" t="n">
        <f aca="false">IF($H445="숙박",0,IF($H445=MID(T$1,3,20),IF($I445="",1,0.6),IF($I445=MID(T$1,3,20),0.4,0)))</f>
        <v>0</v>
      </c>
      <c r="U445" s="10" t="n">
        <f aca="false">IF($H445="숙박",0,IF(ISNUMBER(SEARCH("야경",$J445)),1,0))</f>
        <v>0</v>
      </c>
      <c r="V445" s="10" t="n">
        <f aca="false">IF($H445="숙박",0,1)</f>
        <v>1</v>
      </c>
    </row>
    <row r="446" customFormat="false" ht="15" hidden="false" customHeight="false" outlineLevel="0" collapsed="false">
      <c r="A446" s="8" t="n">
        <v>445</v>
      </c>
      <c r="B446" s="8" t="s">
        <v>45</v>
      </c>
      <c r="C446" s="8" t="s">
        <v>1448</v>
      </c>
      <c r="D446" s="8" t="s">
        <v>1449</v>
      </c>
      <c r="E446" s="7" t="s">
        <v>1450</v>
      </c>
      <c r="F446" s="8"/>
      <c r="G446" s="8" t="s">
        <v>49</v>
      </c>
      <c r="H446" s="9" t="s">
        <v>49</v>
      </c>
      <c r="I446" s="9" t="s">
        <v>190</v>
      </c>
      <c r="J446" s="9" t="s">
        <v>1361</v>
      </c>
      <c r="K446" s="9" t="s">
        <v>52</v>
      </c>
      <c r="L446" s="8"/>
      <c r="M446" s="8"/>
      <c r="N446" s="8" t="s">
        <v>483</v>
      </c>
      <c r="O446" s="8" t="s">
        <v>1451</v>
      </c>
      <c r="P446" s="10" t="n">
        <f aca="false">IF($H446="숙박",0,IF($H446=MID(P$1,3,20),IF($I446="",1,0.6),IF($I446=MID(P$1,3,20),0.4,0)))</f>
        <v>0.4</v>
      </c>
      <c r="Q446" s="10" t="n">
        <f aca="false">IF($H446="숙박",0,IF($H446=MID(Q$1,3,20),IF($I446="",1,0.6),IF($I446=MID(Q$1,3,20),0.4,0)))</f>
        <v>0.6</v>
      </c>
      <c r="R446" s="10" t="n">
        <f aca="false">IF($H446="숙박",0,IF($H446=MID(R$1,3,20),IF($I446="",1,0.6),IF($I446=MID(R$1,3,20),0.4,0)))</f>
        <v>0</v>
      </c>
      <c r="S446" s="10" t="n">
        <f aca="false">IF($H446="숙박",0,IF($H446=MID(S$1,3,20),IF($I446="",1,0.6),IF($I446=MID(S$1,3,20),0.4,0)))</f>
        <v>0</v>
      </c>
      <c r="T446" s="10" t="n">
        <f aca="false">IF($H446="숙박",0,IF($H446=MID(T$1,3,20),IF($I446="",1,0.6),IF($I446=MID(T$1,3,20),0.4,0)))</f>
        <v>0</v>
      </c>
      <c r="U446" s="10" t="n">
        <f aca="false">IF($H446="숙박",0,IF(ISNUMBER(SEARCH("야경",$J446)),1,0))</f>
        <v>0</v>
      </c>
      <c r="V446" s="10" t="n">
        <f aca="false">IF($H446="숙박",0,1)</f>
        <v>1</v>
      </c>
    </row>
    <row r="447" customFormat="false" ht="15" hidden="false" customHeight="false" outlineLevel="0" collapsed="false">
      <c r="A447" s="8" t="n">
        <v>446</v>
      </c>
      <c r="B447" s="8" t="s">
        <v>45</v>
      </c>
      <c r="C447" s="8" t="s">
        <v>438</v>
      </c>
      <c r="D447" s="8" t="s">
        <v>1452</v>
      </c>
      <c r="E447" s="7" t="s">
        <v>1453</v>
      </c>
      <c r="F447" s="8"/>
      <c r="G447" s="8" t="s">
        <v>184</v>
      </c>
      <c r="H447" s="9" t="s">
        <v>184</v>
      </c>
      <c r="I447" s="9" t="s">
        <v>190</v>
      </c>
      <c r="J447" s="9"/>
      <c r="K447" s="9" t="s">
        <v>52</v>
      </c>
      <c r="L447" s="8"/>
      <c r="M447" s="8"/>
      <c r="N447" s="8" t="s">
        <v>483</v>
      </c>
      <c r="O447" s="8" t="s">
        <v>1454</v>
      </c>
      <c r="P447" s="10" t="n">
        <f aca="false">IF($H447="숙박",0,IF($H447=MID(P$1,3,20),IF($I447="",1,0.6),IF($I447=MID(P$1,3,20),0.4,0)))</f>
        <v>0.4</v>
      </c>
      <c r="Q447" s="10" t="n">
        <f aca="false">IF($H447="숙박",0,IF($H447=MID(Q$1,3,20),IF($I447="",1,0.6),IF($I447=MID(Q$1,3,20),0.4,0)))</f>
        <v>0</v>
      </c>
      <c r="R447" s="10" t="n">
        <f aca="false">IF($H447="숙박",0,IF($H447=MID(R$1,3,20),IF($I447="",1,0.6),IF($I447=MID(R$1,3,20),0.4,0)))</f>
        <v>0.6</v>
      </c>
      <c r="S447" s="10" t="n">
        <f aca="false">IF($H447="숙박",0,IF($H447=MID(S$1,3,20),IF($I447="",1,0.6),IF($I447=MID(S$1,3,20),0.4,0)))</f>
        <v>0</v>
      </c>
      <c r="T447" s="10" t="n">
        <f aca="false">IF($H447="숙박",0,IF($H447=MID(T$1,3,20),IF($I447="",1,0.6),IF($I447=MID(T$1,3,20),0.4,0)))</f>
        <v>0</v>
      </c>
      <c r="U447" s="10" t="n">
        <f aca="false">IF($H447="숙박",0,IF(ISNUMBER(SEARCH("야경",$J447)),1,0))</f>
        <v>0</v>
      </c>
      <c r="V447" s="10" t="n">
        <f aca="false">IF($H447="숙박",0,1)</f>
        <v>1</v>
      </c>
    </row>
    <row r="448" customFormat="false" ht="15" hidden="false" customHeight="false" outlineLevel="0" collapsed="false">
      <c r="A448" s="8" t="n">
        <v>447</v>
      </c>
      <c r="B448" s="8" t="s">
        <v>45</v>
      </c>
      <c r="C448" s="8" t="s">
        <v>1455</v>
      </c>
      <c r="D448" s="8" t="s">
        <v>1456</v>
      </c>
      <c r="E448" s="7" t="s">
        <v>1457</v>
      </c>
      <c r="F448" s="8"/>
      <c r="G448" s="8" t="s">
        <v>49</v>
      </c>
      <c r="H448" s="9" t="s">
        <v>49</v>
      </c>
      <c r="I448" s="9" t="s">
        <v>184</v>
      </c>
      <c r="J448" s="9"/>
      <c r="K448" s="9" t="s">
        <v>52</v>
      </c>
      <c r="L448" s="8"/>
      <c r="M448" s="8"/>
      <c r="N448" s="8" t="s">
        <v>483</v>
      </c>
      <c r="O448" s="8" t="s">
        <v>1458</v>
      </c>
      <c r="P448" s="10" t="n">
        <f aca="false">IF($H448="숙박",0,IF($H448=MID(P$1,3,20),IF($I448="",1,0.6),IF($I448=MID(P$1,3,20),0.4,0)))</f>
        <v>0</v>
      </c>
      <c r="Q448" s="10" t="n">
        <f aca="false">IF($H448="숙박",0,IF($H448=MID(Q$1,3,20),IF($I448="",1,0.6),IF($I448=MID(Q$1,3,20),0.4,0)))</f>
        <v>0.6</v>
      </c>
      <c r="R448" s="10" t="n">
        <f aca="false">IF($H448="숙박",0,IF($H448=MID(R$1,3,20),IF($I448="",1,0.6),IF($I448=MID(R$1,3,20),0.4,0)))</f>
        <v>0.4</v>
      </c>
      <c r="S448" s="10" t="n">
        <f aca="false">IF($H448="숙박",0,IF($H448=MID(S$1,3,20),IF($I448="",1,0.6),IF($I448=MID(S$1,3,20),0.4,0)))</f>
        <v>0</v>
      </c>
      <c r="T448" s="10" t="n">
        <f aca="false">IF($H448="숙박",0,IF($H448=MID(T$1,3,20),IF($I448="",1,0.6),IF($I448=MID(T$1,3,20),0.4,0)))</f>
        <v>0</v>
      </c>
      <c r="U448" s="10" t="n">
        <f aca="false">IF($H448="숙박",0,IF(ISNUMBER(SEARCH("야경",$J448)),1,0))</f>
        <v>0</v>
      </c>
      <c r="V448" s="10" t="n">
        <f aca="false">IF($H448="숙박",0,1)</f>
        <v>1</v>
      </c>
    </row>
    <row r="449" customFormat="false" ht="15" hidden="false" customHeight="false" outlineLevel="0" collapsed="false">
      <c r="A449" s="8" t="n">
        <v>448</v>
      </c>
      <c r="B449" s="8" t="s">
        <v>45</v>
      </c>
      <c r="C449" s="8" t="s">
        <v>301</v>
      </c>
      <c r="D449" s="8" t="s">
        <v>1459</v>
      </c>
      <c r="E449" s="7" t="s">
        <v>1460</v>
      </c>
      <c r="F449" s="8"/>
      <c r="G449" s="8" t="s">
        <v>50</v>
      </c>
      <c r="H449" s="9" t="s">
        <v>50</v>
      </c>
      <c r="I449" s="9" t="s">
        <v>49</v>
      </c>
      <c r="J449" s="9" t="s">
        <v>168</v>
      </c>
      <c r="K449" s="9" t="s">
        <v>52</v>
      </c>
      <c r="L449" s="8"/>
      <c r="M449" s="8"/>
      <c r="N449" s="8" t="s">
        <v>483</v>
      </c>
      <c r="O449" s="8" t="s">
        <v>1461</v>
      </c>
      <c r="P449" s="10" t="n">
        <f aca="false">IF($H449="숙박",0,IF($H449=MID(P$1,3,20),IF($I449="",1,0.6),IF($I449=MID(P$1,3,20),0.4,0)))</f>
        <v>0</v>
      </c>
      <c r="Q449" s="10" t="n">
        <f aca="false">IF($H449="숙박",0,IF($H449=MID(Q$1,3,20),IF($I449="",1,0.6),IF($I449=MID(Q$1,3,20),0.4,0)))</f>
        <v>0.4</v>
      </c>
      <c r="R449" s="10" t="n">
        <f aca="false">IF($H449="숙박",0,IF($H449=MID(R$1,3,20),IF($I449="",1,0.6),IF($I449=MID(R$1,3,20),0.4,0)))</f>
        <v>0</v>
      </c>
      <c r="S449" s="10" t="n">
        <f aca="false">IF($H449="숙박",0,IF($H449=MID(S$1,3,20),IF($I449="",1,0.6),IF($I449=MID(S$1,3,20),0.4,0)))</f>
        <v>0</v>
      </c>
      <c r="T449" s="10" t="n">
        <f aca="false">IF($H449="숙박",0,IF($H449=MID(T$1,3,20),IF($I449="",1,0.6),IF($I449=MID(T$1,3,20),0.4,0)))</f>
        <v>0.6</v>
      </c>
      <c r="U449" s="10" t="n">
        <f aca="false">IF($H449="숙박",0,IF(ISNUMBER(SEARCH("야경",$J449)),1,0))</f>
        <v>0</v>
      </c>
      <c r="V449" s="10" t="n">
        <f aca="false">IF($H449="숙박",0,1)</f>
        <v>1</v>
      </c>
    </row>
    <row r="450" customFormat="false" ht="15" hidden="false" customHeight="false" outlineLevel="0" collapsed="false">
      <c r="A450" s="8" t="n">
        <v>449</v>
      </c>
      <c r="B450" s="8" t="s">
        <v>45</v>
      </c>
      <c r="C450" s="8"/>
      <c r="D450" s="8" t="s">
        <v>1462</v>
      </c>
      <c r="E450" s="7" t="s">
        <v>1463</v>
      </c>
      <c r="F450" s="8"/>
      <c r="G450" s="8"/>
      <c r="H450" s="9" t="s">
        <v>594</v>
      </c>
      <c r="I450" s="9"/>
      <c r="J450" s="9"/>
      <c r="K450" s="9"/>
      <c r="L450" s="8"/>
      <c r="M450" s="8"/>
      <c r="N450" s="8" t="s">
        <v>595</v>
      </c>
      <c r="O450" s="8"/>
      <c r="P450" s="10" t="n">
        <f aca="false">IF($H450="숙박",0,IF($H450=MID(P$1,3,20),IF($I450="",1,0.6),IF($I450=MID(P$1,3,20),0.4,0)))</f>
        <v>0</v>
      </c>
      <c r="Q450" s="10" t="n">
        <f aca="false">IF($H450="숙박",0,IF($H450=MID(Q$1,3,20),IF($I450="",1,0.6),IF($I450=MID(Q$1,3,20),0.4,0)))</f>
        <v>0</v>
      </c>
      <c r="R450" s="10" t="n">
        <f aca="false">IF($H450="숙박",0,IF($H450=MID(R$1,3,20),IF($I450="",1,0.6),IF($I450=MID(R$1,3,20),0.4,0)))</f>
        <v>0</v>
      </c>
      <c r="S450" s="10" t="n">
        <f aca="false">IF($H450="숙박",0,IF($H450=MID(S$1,3,20),IF($I450="",1,0.6),IF($I450=MID(S$1,3,20),0.4,0)))</f>
        <v>0</v>
      </c>
      <c r="T450" s="10" t="n">
        <f aca="false">IF($H450="숙박",0,IF($H450=MID(T$1,3,20),IF($I450="",1,0.6),IF($I450=MID(T$1,3,20),0.4,0)))</f>
        <v>0</v>
      </c>
      <c r="U450" s="10" t="n">
        <f aca="false">IF($H450="숙박",0,IF(ISNUMBER(SEARCH("야경",$J450)),1,0))</f>
        <v>0</v>
      </c>
      <c r="V450" s="10" t="n">
        <f aca="false">IF($H450="숙박",0,1)</f>
        <v>0</v>
      </c>
    </row>
    <row r="451" customFormat="false" ht="15" hidden="false" customHeight="false" outlineLevel="0" collapsed="false">
      <c r="A451" s="8" t="n">
        <v>450</v>
      </c>
      <c r="B451" s="8" t="s">
        <v>45</v>
      </c>
      <c r="C451" s="8" t="s">
        <v>342</v>
      </c>
      <c r="D451" s="8" t="s">
        <v>1464</v>
      </c>
      <c r="E451" s="7" t="s">
        <v>1465</v>
      </c>
      <c r="F451" s="8"/>
      <c r="G451" s="8" t="s">
        <v>49</v>
      </c>
      <c r="H451" s="9" t="s">
        <v>49</v>
      </c>
      <c r="I451" s="9"/>
      <c r="J451" s="9"/>
      <c r="K451" s="9" t="s">
        <v>52</v>
      </c>
      <c r="L451" s="8"/>
      <c r="M451" s="8"/>
      <c r="N451" s="8"/>
      <c r="O451" s="8" t="s">
        <v>1466</v>
      </c>
      <c r="P451" s="10" t="n">
        <f aca="false">IF($H451="숙박",0,IF($H451=MID(P$1,3,20),IF($I451="",1,0.6),IF($I451=MID(P$1,3,20),0.4,0)))</f>
        <v>0</v>
      </c>
      <c r="Q451" s="10" t="n">
        <f aca="false">IF($H451="숙박",0,IF($H451=MID(Q$1,3,20),IF($I451="",1,0.6),IF($I451=MID(Q$1,3,20),0.4,0)))</f>
        <v>1</v>
      </c>
      <c r="R451" s="10" t="n">
        <f aca="false">IF($H451="숙박",0,IF($H451=MID(R$1,3,20),IF($I451="",1,0.6),IF($I451=MID(R$1,3,20),0.4,0)))</f>
        <v>0</v>
      </c>
      <c r="S451" s="10" t="n">
        <f aca="false">IF($H451="숙박",0,IF($H451=MID(S$1,3,20),IF($I451="",1,0.6),IF($I451=MID(S$1,3,20),0.4,0)))</f>
        <v>0</v>
      </c>
      <c r="T451" s="10" t="n">
        <f aca="false">IF($H451="숙박",0,IF($H451=MID(T$1,3,20),IF($I451="",1,0.6),IF($I451=MID(T$1,3,20),0.4,0)))</f>
        <v>0</v>
      </c>
      <c r="U451" s="10" t="n">
        <f aca="false">IF($H451="숙박",0,IF(ISNUMBER(SEARCH("야경",$J451)),1,0))</f>
        <v>0</v>
      </c>
      <c r="V451" s="10" t="n">
        <f aca="false">IF($H451="숙박",0,1)</f>
        <v>1</v>
      </c>
    </row>
    <row r="452" customFormat="false" ht="15" hidden="false" customHeight="false" outlineLevel="0" collapsed="false">
      <c r="A452" s="8" t="n">
        <v>451</v>
      </c>
      <c r="B452" s="8" t="s">
        <v>45</v>
      </c>
      <c r="C452" s="8" t="s">
        <v>1467</v>
      </c>
      <c r="D452" s="8" t="s">
        <v>1468</v>
      </c>
      <c r="E452" s="7" t="s">
        <v>1469</v>
      </c>
      <c r="F452" s="8"/>
      <c r="G452" s="8" t="s">
        <v>190</v>
      </c>
      <c r="H452" s="9" t="s">
        <v>190</v>
      </c>
      <c r="I452" s="9"/>
      <c r="J452" s="9"/>
      <c r="K452" s="9" t="s">
        <v>191</v>
      </c>
      <c r="L452" s="8"/>
      <c r="M452" s="8"/>
      <c r="N452" s="8"/>
      <c r="O452" s="8" t="s">
        <v>1470</v>
      </c>
      <c r="P452" s="10" t="n">
        <f aca="false">IF($H452="숙박",0,IF($H452=MID(P$1,3,20),IF($I452="",1,0.6),IF($I452=MID(P$1,3,20),0.4,0)))</f>
        <v>1</v>
      </c>
      <c r="Q452" s="10" t="n">
        <f aca="false">IF($H452="숙박",0,IF($H452=MID(Q$1,3,20),IF($I452="",1,0.6),IF($I452=MID(Q$1,3,20),0.4,0)))</f>
        <v>0</v>
      </c>
      <c r="R452" s="10" t="n">
        <f aca="false">IF($H452="숙박",0,IF($H452=MID(R$1,3,20),IF($I452="",1,0.6),IF($I452=MID(R$1,3,20),0.4,0)))</f>
        <v>0</v>
      </c>
      <c r="S452" s="10" t="n">
        <f aca="false">IF($H452="숙박",0,IF($H452=MID(S$1,3,20),IF($I452="",1,0.6),IF($I452=MID(S$1,3,20),0.4,0)))</f>
        <v>0</v>
      </c>
      <c r="T452" s="10" t="n">
        <f aca="false">IF($H452="숙박",0,IF($H452=MID(T$1,3,20),IF($I452="",1,0.6),IF($I452=MID(T$1,3,20),0.4,0)))</f>
        <v>0</v>
      </c>
      <c r="U452" s="10" t="n">
        <f aca="false">IF($H452="숙박",0,IF(ISNUMBER(SEARCH("야경",$J452)),1,0))</f>
        <v>0</v>
      </c>
      <c r="V452" s="10" t="n">
        <f aca="false">IF($H452="숙박",0,1)</f>
        <v>1</v>
      </c>
    </row>
    <row r="453" customFormat="false" ht="15" hidden="false" customHeight="false" outlineLevel="0" collapsed="false">
      <c r="A453" s="8" t="n">
        <v>452</v>
      </c>
      <c r="B453" s="8" t="s">
        <v>45</v>
      </c>
      <c r="C453" s="8" t="s">
        <v>1467</v>
      </c>
      <c r="D453" s="8" t="s">
        <v>1471</v>
      </c>
      <c r="E453" s="7" t="s">
        <v>1472</v>
      </c>
      <c r="F453" s="8"/>
      <c r="G453" s="8" t="s">
        <v>190</v>
      </c>
      <c r="H453" s="9" t="s">
        <v>190</v>
      </c>
      <c r="I453" s="9"/>
      <c r="J453" s="9"/>
      <c r="K453" s="9" t="s">
        <v>191</v>
      </c>
      <c r="L453" s="8"/>
      <c r="M453" s="8"/>
      <c r="N453" s="8"/>
      <c r="O453" s="8" t="s">
        <v>1473</v>
      </c>
      <c r="P453" s="10" t="n">
        <f aca="false">IF($H453="숙박",0,IF($H453=MID(P$1,3,20),IF($I453="",1,0.6),IF($I453=MID(P$1,3,20),0.4,0)))</f>
        <v>1</v>
      </c>
      <c r="Q453" s="10" t="n">
        <f aca="false">IF($H453="숙박",0,IF($H453=MID(Q$1,3,20),IF($I453="",1,0.6),IF($I453=MID(Q$1,3,20),0.4,0)))</f>
        <v>0</v>
      </c>
      <c r="R453" s="10" t="n">
        <f aca="false">IF($H453="숙박",0,IF($H453=MID(R$1,3,20),IF($I453="",1,0.6),IF($I453=MID(R$1,3,20),0.4,0)))</f>
        <v>0</v>
      </c>
      <c r="S453" s="10" t="n">
        <f aca="false">IF($H453="숙박",0,IF($H453=MID(S$1,3,20),IF($I453="",1,0.6),IF($I453=MID(S$1,3,20),0.4,0)))</f>
        <v>0</v>
      </c>
      <c r="T453" s="10" t="n">
        <f aca="false">IF($H453="숙박",0,IF($H453=MID(T$1,3,20),IF($I453="",1,0.6),IF($I453=MID(T$1,3,20),0.4,0)))</f>
        <v>0</v>
      </c>
      <c r="U453" s="10" t="n">
        <f aca="false">IF($H453="숙박",0,IF(ISNUMBER(SEARCH("야경",$J453)),1,0))</f>
        <v>0</v>
      </c>
      <c r="V453" s="10" t="n">
        <f aca="false">IF($H453="숙박",0,1)</f>
        <v>1</v>
      </c>
    </row>
    <row r="454" customFormat="false" ht="15" hidden="false" customHeight="false" outlineLevel="0" collapsed="false">
      <c r="A454" s="8" t="n">
        <v>453</v>
      </c>
      <c r="B454" s="8" t="s">
        <v>45</v>
      </c>
      <c r="C454" s="8" t="s">
        <v>1467</v>
      </c>
      <c r="D454" s="8" t="s">
        <v>1474</v>
      </c>
      <c r="E454" s="7" t="s">
        <v>1475</v>
      </c>
      <c r="F454" s="8"/>
      <c r="G454" s="8" t="s">
        <v>190</v>
      </c>
      <c r="H454" s="9" t="s">
        <v>190</v>
      </c>
      <c r="I454" s="9"/>
      <c r="J454" s="9"/>
      <c r="K454" s="9" t="s">
        <v>191</v>
      </c>
      <c r="L454" s="8"/>
      <c r="M454" s="8"/>
      <c r="N454" s="8"/>
      <c r="O454" s="8" t="s">
        <v>1476</v>
      </c>
      <c r="P454" s="10" t="n">
        <f aca="false">IF($H454="숙박",0,IF($H454=MID(P$1,3,20),IF($I454="",1,0.6),IF($I454=MID(P$1,3,20),0.4,0)))</f>
        <v>1</v>
      </c>
      <c r="Q454" s="10" t="n">
        <f aca="false">IF($H454="숙박",0,IF($H454=MID(Q$1,3,20),IF($I454="",1,0.6),IF($I454=MID(Q$1,3,20),0.4,0)))</f>
        <v>0</v>
      </c>
      <c r="R454" s="10" t="n">
        <f aca="false">IF($H454="숙박",0,IF($H454=MID(R$1,3,20),IF($I454="",1,0.6),IF($I454=MID(R$1,3,20),0.4,0)))</f>
        <v>0</v>
      </c>
      <c r="S454" s="10" t="n">
        <f aca="false">IF($H454="숙박",0,IF($H454=MID(S$1,3,20),IF($I454="",1,0.6),IF($I454=MID(S$1,3,20),0.4,0)))</f>
        <v>0</v>
      </c>
      <c r="T454" s="10" t="n">
        <f aca="false">IF($H454="숙박",0,IF($H454=MID(T$1,3,20),IF($I454="",1,0.6),IF($I454=MID(T$1,3,20),0.4,0)))</f>
        <v>0</v>
      </c>
      <c r="U454" s="10" t="n">
        <f aca="false">IF($H454="숙박",0,IF(ISNUMBER(SEARCH("야경",$J454)),1,0))</f>
        <v>0</v>
      </c>
      <c r="V454" s="10" t="n">
        <f aca="false">IF($H454="숙박",0,1)</f>
        <v>1</v>
      </c>
    </row>
    <row r="455" customFormat="false" ht="15" hidden="false" customHeight="false" outlineLevel="0" collapsed="false">
      <c r="A455" s="8" t="n">
        <v>454</v>
      </c>
      <c r="B455" s="8" t="s">
        <v>45</v>
      </c>
      <c r="C455" s="8" t="s">
        <v>678</v>
      </c>
      <c r="D455" s="8" t="s">
        <v>1477</v>
      </c>
      <c r="E455" s="7" t="s">
        <v>1478</v>
      </c>
      <c r="F455" s="8"/>
      <c r="G455" s="8" t="s">
        <v>49</v>
      </c>
      <c r="H455" s="9" t="s">
        <v>49</v>
      </c>
      <c r="I455" s="9"/>
      <c r="J455" s="9"/>
      <c r="K455" s="9" t="s">
        <v>52</v>
      </c>
      <c r="L455" s="8"/>
      <c r="M455" s="8"/>
      <c r="N455" s="8"/>
      <c r="O455" s="8" t="s">
        <v>1479</v>
      </c>
      <c r="P455" s="10" t="n">
        <f aca="false">IF($H455="숙박",0,IF($H455=MID(P$1,3,20),IF($I455="",1,0.6),IF($I455=MID(P$1,3,20),0.4,0)))</f>
        <v>0</v>
      </c>
      <c r="Q455" s="10" t="n">
        <f aca="false">IF($H455="숙박",0,IF($H455=MID(Q$1,3,20),IF($I455="",1,0.6),IF($I455=MID(Q$1,3,20),0.4,0)))</f>
        <v>1</v>
      </c>
      <c r="R455" s="10" t="n">
        <f aca="false">IF($H455="숙박",0,IF($H455=MID(R$1,3,20),IF($I455="",1,0.6),IF($I455=MID(R$1,3,20),0.4,0)))</f>
        <v>0</v>
      </c>
      <c r="S455" s="10" t="n">
        <f aca="false">IF($H455="숙박",0,IF($H455=MID(S$1,3,20),IF($I455="",1,0.6),IF($I455=MID(S$1,3,20),0.4,0)))</f>
        <v>0</v>
      </c>
      <c r="T455" s="10" t="n">
        <f aca="false">IF($H455="숙박",0,IF($H455=MID(T$1,3,20),IF($I455="",1,0.6),IF($I455=MID(T$1,3,20),0.4,0)))</f>
        <v>0</v>
      </c>
      <c r="U455" s="10" t="n">
        <f aca="false">IF($H455="숙박",0,IF(ISNUMBER(SEARCH("야경",$J455)),1,0))</f>
        <v>0</v>
      </c>
      <c r="V455" s="10" t="n">
        <f aca="false">IF($H455="숙박",0,1)</f>
        <v>1</v>
      </c>
    </row>
    <row r="456" customFormat="false" ht="15" hidden="false" customHeight="false" outlineLevel="0" collapsed="false">
      <c r="A456" s="8" t="n">
        <v>455</v>
      </c>
      <c r="B456" s="8" t="s">
        <v>45</v>
      </c>
      <c r="C456" s="8" t="s">
        <v>1363</v>
      </c>
      <c r="D456" s="8" t="s">
        <v>1480</v>
      </c>
      <c r="E456" s="7" t="s">
        <v>1481</v>
      </c>
      <c r="F456" s="8"/>
      <c r="G456" s="8" t="s">
        <v>190</v>
      </c>
      <c r="H456" s="9" t="s">
        <v>190</v>
      </c>
      <c r="I456" s="9" t="s">
        <v>49</v>
      </c>
      <c r="J456" s="9"/>
      <c r="K456" s="9" t="s">
        <v>191</v>
      </c>
      <c r="L456" s="8"/>
      <c r="M456" s="8"/>
      <c r="N456" s="8" t="s">
        <v>483</v>
      </c>
      <c r="O456" s="8" t="s">
        <v>1482</v>
      </c>
      <c r="P456" s="10" t="n">
        <f aca="false">IF($H456="숙박",0,IF($H456=MID(P$1,3,20),IF($I456="",1,0.6),IF($I456=MID(P$1,3,20),0.4,0)))</f>
        <v>0.6</v>
      </c>
      <c r="Q456" s="10" t="n">
        <f aca="false">IF($H456="숙박",0,IF($H456=MID(Q$1,3,20),IF($I456="",1,0.6),IF($I456=MID(Q$1,3,20),0.4,0)))</f>
        <v>0.4</v>
      </c>
      <c r="R456" s="10" t="n">
        <f aca="false">IF($H456="숙박",0,IF($H456=MID(R$1,3,20),IF($I456="",1,0.6),IF($I456=MID(R$1,3,20),0.4,0)))</f>
        <v>0</v>
      </c>
      <c r="S456" s="10" t="n">
        <f aca="false">IF($H456="숙박",0,IF($H456=MID(S$1,3,20),IF($I456="",1,0.6),IF($I456=MID(S$1,3,20),0.4,0)))</f>
        <v>0</v>
      </c>
      <c r="T456" s="10" t="n">
        <f aca="false">IF($H456="숙박",0,IF($H456=MID(T$1,3,20),IF($I456="",1,0.6),IF($I456=MID(T$1,3,20),0.4,0)))</f>
        <v>0</v>
      </c>
      <c r="U456" s="10" t="n">
        <f aca="false">IF($H456="숙박",0,IF(ISNUMBER(SEARCH("야경",$J456)),1,0))</f>
        <v>0</v>
      </c>
      <c r="V456" s="10" t="n">
        <f aca="false">IF($H456="숙박",0,1)</f>
        <v>1</v>
      </c>
    </row>
    <row r="457" customFormat="false" ht="15" hidden="false" customHeight="false" outlineLevel="0" collapsed="false">
      <c r="A457" s="8" t="n">
        <v>456</v>
      </c>
      <c r="B457" s="8" t="s">
        <v>45</v>
      </c>
      <c r="C457" s="8" t="s">
        <v>1467</v>
      </c>
      <c r="D457" s="8" t="s">
        <v>1483</v>
      </c>
      <c r="E457" s="7" t="s">
        <v>1484</v>
      </c>
      <c r="F457" s="8"/>
      <c r="G457" s="8" t="s">
        <v>190</v>
      </c>
      <c r="H457" s="9" t="s">
        <v>190</v>
      </c>
      <c r="I457" s="9" t="s">
        <v>49</v>
      </c>
      <c r="J457" s="9"/>
      <c r="K457" s="9" t="s">
        <v>52</v>
      </c>
      <c r="L457" s="8"/>
      <c r="M457" s="8"/>
      <c r="N457" s="8" t="s">
        <v>483</v>
      </c>
      <c r="O457" s="8" t="s">
        <v>1485</v>
      </c>
      <c r="P457" s="10" t="n">
        <f aca="false">IF($H457="숙박",0,IF($H457=MID(P$1,3,20),IF($I457="",1,0.6),IF($I457=MID(P$1,3,20),0.4,0)))</f>
        <v>0.6</v>
      </c>
      <c r="Q457" s="10" t="n">
        <f aca="false">IF($H457="숙박",0,IF($H457=MID(Q$1,3,20),IF($I457="",1,0.6),IF($I457=MID(Q$1,3,20),0.4,0)))</f>
        <v>0.4</v>
      </c>
      <c r="R457" s="10" t="n">
        <f aca="false">IF($H457="숙박",0,IF($H457=MID(R$1,3,20),IF($I457="",1,0.6),IF($I457=MID(R$1,3,20),0.4,0)))</f>
        <v>0</v>
      </c>
      <c r="S457" s="10" t="n">
        <f aca="false">IF($H457="숙박",0,IF($H457=MID(S$1,3,20),IF($I457="",1,0.6),IF($I457=MID(S$1,3,20),0.4,0)))</f>
        <v>0</v>
      </c>
      <c r="T457" s="10" t="n">
        <f aca="false">IF($H457="숙박",0,IF($H457=MID(T$1,3,20),IF($I457="",1,0.6),IF($I457=MID(T$1,3,20),0.4,0)))</f>
        <v>0</v>
      </c>
      <c r="U457" s="10" t="n">
        <f aca="false">IF($H457="숙박",0,IF(ISNUMBER(SEARCH("야경",$J457)),1,0))</f>
        <v>0</v>
      </c>
      <c r="V457" s="10" t="n">
        <f aca="false">IF($H457="숙박",0,1)</f>
        <v>1</v>
      </c>
    </row>
    <row r="458" customFormat="false" ht="15" hidden="false" customHeight="false" outlineLevel="0" collapsed="false">
      <c r="A458" s="8" t="n">
        <v>457</v>
      </c>
      <c r="B458" s="8" t="s">
        <v>45</v>
      </c>
      <c r="C458" s="8" t="s">
        <v>384</v>
      </c>
      <c r="D458" s="8" t="s">
        <v>1486</v>
      </c>
      <c r="E458" s="7" t="s">
        <v>1487</v>
      </c>
      <c r="F458" s="8"/>
      <c r="G458" s="8" t="s">
        <v>49</v>
      </c>
      <c r="H458" s="9" t="s">
        <v>49</v>
      </c>
      <c r="I458" s="9"/>
      <c r="J458" s="9"/>
      <c r="K458" s="9" t="s">
        <v>52</v>
      </c>
      <c r="L458" s="8"/>
      <c r="M458" s="8"/>
      <c r="N458" s="8"/>
      <c r="O458" s="8" t="s">
        <v>1488</v>
      </c>
      <c r="P458" s="10" t="n">
        <f aca="false">IF($H458="숙박",0,IF($H458=MID(P$1,3,20),IF($I458="",1,0.6),IF($I458=MID(P$1,3,20),0.4,0)))</f>
        <v>0</v>
      </c>
      <c r="Q458" s="10" t="n">
        <f aca="false">IF($H458="숙박",0,IF($H458=MID(Q$1,3,20),IF($I458="",1,0.6),IF($I458=MID(Q$1,3,20),0.4,0)))</f>
        <v>1</v>
      </c>
      <c r="R458" s="10" t="n">
        <f aca="false">IF($H458="숙박",0,IF($H458=MID(R$1,3,20),IF($I458="",1,0.6),IF($I458=MID(R$1,3,20),0.4,0)))</f>
        <v>0</v>
      </c>
      <c r="S458" s="10" t="n">
        <f aca="false">IF($H458="숙박",0,IF($H458=MID(S$1,3,20),IF($I458="",1,0.6),IF($I458=MID(S$1,3,20),0.4,0)))</f>
        <v>0</v>
      </c>
      <c r="T458" s="10" t="n">
        <f aca="false">IF($H458="숙박",0,IF($H458=MID(T$1,3,20),IF($I458="",1,0.6),IF($I458=MID(T$1,3,20),0.4,0)))</f>
        <v>0</v>
      </c>
      <c r="U458" s="10" t="n">
        <f aca="false">IF($H458="숙박",0,IF(ISNUMBER(SEARCH("야경",$J458)),1,0))</f>
        <v>0</v>
      </c>
      <c r="V458" s="10" t="n">
        <f aca="false">IF($H458="숙박",0,1)</f>
        <v>1</v>
      </c>
    </row>
    <row r="459" customFormat="false" ht="15" hidden="false" customHeight="false" outlineLevel="0" collapsed="false">
      <c r="A459" s="8" t="n">
        <v>458</v>
      </c>
      <c r="B459" s="8" t="s">
        <v>45</v>
      </c>
      <c r="C459" s="8" t="s">
        <v>1489</v>
      </c>
      <c r="D459" s="8" t="s">
        <v>1490</v>
      </c>
      <c r="E459" s="7" t="s">
        <v>1491</v>
      </c>
      <c r="F459" s="8"/>
      <c r="G459" s="8" t="s">
        <v>49</v>
      </c>
      <c r="H459" s="9" t="s">
        <v>49</v>
      </c>
      <c r="I459" s="9" t="s">
        <v>190</v>
      </c>
      <c r="J459" s="9"/>
      <c r="K459" s="9" t="s">
        <v>52</v>
      </c>
      <c r="L459" s="8"/>
      <c r="M459" s="8"/>
      <c r="N459" s="8" t="s">
        <v>483</v>
      </c>
      <c r="O459" s="8" t="s">
        <v>1492</v>
      </c>
      <c r="P459" s="10" t="n">
        <f aca="false">IF($H459="숙박",0,IF($H459=MID(P$1,3,20),IF($I459="",1,0.6),IF($I459=MID(P$1,3,20),0.4,0)))</f>
        <v>0.4</v>
      </c>
      <c r="Q459" s="10" t="n">
        <f aca="false">IF($H459="숙박",0,IF($H459=MID(Q$1,3,20),IF($I459="",1,0.6),IF($I459=MID(Q$1,3,20),0.4,0)))</f>
        <v>0.6</v>
      </c>
      <c r="R459" s="10" t="n">
        <f aca="false">IF($H459="숙박",0,IF($H459=MID(R$1,3,20),IF($I459="",1,0.6),IF($I459=MID(R$1,3,20),0.4,0)))</f>
        <v>0</v>
      </c>
      <c r="S459" s="10" t="n">
        <f aca="false">IF($H459="숙박",0,IF($H459=MID(S$1,3,20),IF($I459="",1,0.6),IF($I459=MID(S$1,3,20),0.4,0)))</f>
        <v>0</v>
      </c>
      <c r="T459" s="10" t="n">
        <f aca="false">IF($H459="숙박",0,IF($H459=MID(T$1,3,20),IF($I459="",1,0.6),IF($I459=MID(T$1,3,20),0.4,0)))</f>
        <v>0</v>
      </c>
      <c r="U459" s="10" t="n">
        <f aca="false">IF($H459="숙박",0,IF(ISNUMBER(SEARCH("야경",$J459)),1,0))</f>
        <v>0</v>
      </c>
      <c r="V459" s="10" t="n">
        <f aca="false">IF($H459="숙박",0,1)</f>
        <v>1</v>
      </c>
    </row>
    <row r="460" customFormat="false" ht="15" hidden="false" customHeight="false" outlineLevel="0" collapsed="false">
      <c r="A460" s="8" t="n">
        <v>459</v>
      </c>
      <c r="B460" s="8" t="s">
        <v>45</v>
      </c>
      <c r="C460" s="8" t="s">
        <v>1493</v>
      </c>
      <c r="D460" s="8" t="s">
        <v>1494</v>
      </c>
      <c r="E460" s="7" t="s">
        <v>1495</v>
      </c>
      <c r="F460" s="8"/>
      <c r="G460" s="8" t="s">
        <v>49</v>
      </c>
      <c r="H460" s="9" t="s">
        <v>49</v>
      </c>
      <c r="I460" s="9"/>
      <c r="J460" s="9"/>
      <c r="K460" s="9" t="s">
        <v>52</v>
      </c>
      <c r="L460" s="8"/>
      <c r="M460" s="8"/>
      <c r="N460" s="8"/>
      <c r="O460" s="8" t="s">
        <v>1496</v>
      </c>
      <c r="P460" s="10" t="n">
        <f aca="false">IF($H460="숙박",0,IF($H460=MID(P$1,3,20),IF($I460="",1,0.6),IF($I460=MID(P$1,3,20),0.4,0)))</f>
        <v>0</v>
      </c>
      <c r="Q460" s="10" t="n">
        <f aca="false">IF($H460="숙박",0,IF($H460=MID(Q$1,3,20),IF($I460="",1,0.6),IF($I460=MID(Q$1,3,20),0.4,0)))</f>
        <v>1</v>
      </c>
      <c r="R460" s="10" t="n">
        <f aca="false">IF($H460="숙박",0,IF($H460=MID(R$1,3,20),IF($I460="",1,0.6),IF($I460=MID(R$1,3,20),0.4,0)))</f>
        <v>0</v>
      </c>
      <c r="S460" s="10" t="n">
        <f aca="false">IF($H460="숙박",0,IF($H460=MID(S$1,3,20),IF($I460="",1,0.6),IF($I460=MID(S$1,3,20),0.4,0)))</f>
        <v>0</v>
      </c>
      <c r="T460" s="10" t="n">
        <f aca="false">IF($H460="숙박",0,IF($H460=MID(T$1,3,20),IF($I460="",1,0.6),IF($I460=MID(T$1,3,20),0.4,0)))</f>
        <v>0</v>
      </c>
      <c r="U460" s="10" t="n">
        <f aca="false">IF($H460="숙박",0,IF(ISNUMBER(SEARCH("야경",$J460)),1,0))</f>
        <v>0</v>
      </c>
      <c r="V460" s="10" t="n">
        <f aca="false">IF($H460="숙박",0,1)</f>
        <v>1</v>
      </c>
    </row>
    <row r="461" customFormat="false" ht="15" hidden="false" customHeight="false" outlineLevel="0" collapsed="false">
      <c r="A461" s="8" t="n">
        <v>460</v>
      </c>
      <c r="B461" s="8" t="s">
        <v>45</v>
      </c>
      <c r="C461" s="8" t="s">
        <v>1497</v>
      </c>
      <c r="D461" s="8" t="s">
        <v>1498</v>
      </c>
      <c r="E461" s="7" t="s">
        <v>1499</v>
      </c>
      <c r="F461" s="8"/>
      <c r="G461" s="8" t="s">
        <v>190</v>
      </c>
      <c r="H461" s="9" t="s">
        <v>190</v>
      </c>
      <c r="I461" s="9" t="s">
        <v>184</v>
      </c>
      <c r="J461" s="9"/>
      <c r="K461" s="9" t="s">
        <v>191</v>
      </c>
      <c r="L461" s="8"/>
      <c r="M461" s="8"/>
      <c r="N461" s="8" t="s">
        <v>483</v>
      </c>
      <c r="O461" s="8" t="s">
        <v>1500</v>
      </c>
      <c r="P461" s="10" t="n">
        <f aca="false">IF($H461="숙박",0,IF($H461=MID(P$1,3,20),IF($I461="",1,0.6),IF($I461=MID(P$1,3,20),0.4,0)))</f>
        <v>0.6</v>
      </c>
      <c r="Q461" s="10" t="n">
        <f aca="false">IF($H461="숙박",0,IF($H461=MID(Q$1,3,20),IF($I461="",1,0.6),IF($I461=MID(Q$1,3,20),0.4,0)))</f>
        <v>0</v>
      </c>
      <c r="R461" s="10" t="n">
        <f aca="false">IF($H461="숙박",0,IF($H461=MID(R$1,3,20),IF($I461="",1,0.6),IF($I461=MID(R$1,3,20),0.4,0)))</f>
        <v>0.4</v>
      </c>
      <c r="S461" s="10" t="n">
        <f aca="false">IF($H461="숙박",0,IF($H461=MID(S$1,3,20),IF($I461="",1,0.6),IF($I461=MID(S$1,3,20),0.4,0)))</f>
        <v>0</v>
      </c>
      <c r="T461" s="10" t="n">
        <f aca="false">IF($H461="숙박",0,IF($H461=MID(T$1,3,20),IF($I461="",1,0.6),IF($I461=MID(T$1,3,20),0.4,0)))</f>
        <v>0</v>
      </c>
      <c r="U461" s="10" t="n">
        <f aca="false">IF($H461="숙박",0,IF(ISNUMBER(SEARCH("야경",$J461)),1,0))</f>
        <v>0</v>
      </c>
      <c r="V461" s="10" t="n">
        <f aca="false">IF($H461="숙박",0,1)</f>
        <v>1</v>
      </c>
    </row>
    <row r="462" customFormat="false" ht="15" hidden="false" customHeight="false" outlineLevel="0" collapsed="false">
      <c r="A462" s="8" t="n">
        <v>461</v>
      </c>
      <c r="B462" s="8" t="s">
        <v>45</v>
      </c>
      <c r="C462" s="8" t="s">
        <v>317</v>
      </c>
      <c r="D462" s="8" t="s">
        <v>1501</v>
      </c>
      <c r="E462" s="7" t="s">
        <v>1502</v>
      </c>
      <c r="F462" s="8"/>
      <c r="G462" s="8" t="s">
        <v>184</v>
      </c>
      <c r="H462" s="9" t="s">
        <v>184</v>
      </c>
      <c r="I462" s="9" t="s">
        <v>216</v>
      </c>
      <c r="J462" s="9"/>
      <c r="K462" s="9" t="s">
        <v>52</v>
      </c>
      <c r="L462" s="8"/>
      <c r="M462" s="8"/>
      <c r="N462" s="8" t="s">
        <v>483</v>
      </c>
      <c r="O462" s="7" t="s">
        <v>1503</v>
      </c>
      <c r="P462" s="10" t="n">
        <f aca="false">IF($H462="숙박",0,IF($H462=MID(P$1,3,20),IF($I462="",1,0.6),IF($I462=MID(P$1,3,20),0.4,0)))</f>
        <v>0</v>
      </c>
      <c r="Q462" s="10" t="n">
        <f aca="false">IF($H462="숙박",0,IF($H462=MID(Q$1,3,20),IF($I462="",1,0.6),IF($I462=MID(Q$1,3,20),0.4,0)))</f>
        <v>0</v>
      </c>
      <c r="R462" s="10" t="n">
        <f aca="false">IF($H462="숙박",0,IF($H462=MID(R$1,3,20),IF($I462="",1,0.6),IF($I462=MID(R$1,3,20),0.4,0)))</f>
        <v>0.6</v>
      </c>
      <c r="S462" s="10" t="n">
        <f aca="false">IF($H462="숙박",0,IF($H462=MID(S$1,3,20),IF($I462="",1,0.6),IF($I462=MID(S$1,3,20),0.4,0)))</f>
        <v>0.4</v>
      </c>
      <c r="T462" s="10" t="n">
        <f aca="false">IF($H462="숙박",0,IF($H462=MID(T$1,3,20),IF($I462="",1,0.6),IF($I462=MID(T$1,3,20),0.4,0)))</f>
        <v>0</v>
      </c>
      <c r="U462" s="10" t="n">
        <f aca="false">IF($H462="숙박",0,IF(ISNUMBER(SEARCH("야경",$J462)),1,0))</f>
        <v>0</v>
      </c>
      <c r="V462" s="10" t="n">
        <f aca="false">IF($H462="숙박",0,1)</f>
        <v>1</v>
      </c>
    </row>
    <row r="463" customFormat="false" ht="15" hidden="false" customHeight="false" outlineLevel="0" collapsed="false">
      <c r="A463" s="8" t="n">
        <v>462</v>
      </c>
      <c r="B463" s="8" t="s">
        <v>45</v>
      </c>
      <c r="C463" s="8" t="s">
        <v>1504</v>
      </c>
      <c r="D463" s="8" t="s">
        <v>1505</v>
      </c>
      <c r="E463" s="7" t="s">
        <v>1506</v>
      </c>
      <c r="F463" s="8"/>
      <c r="G463" s="8" t="s">
        <v>49</v>
      </c>
      <c r="H463" s="9" t="s">
        <v>49</v>
      </c>
      <c r="I463" s="9"/>
      <c r="J463" s="9"/>
      <c r="K463" s="9" t="s">
        <v>52</v>
      </c>
      <c r="L463" s="8"/>
      <c r="M463" s="8"/>
      <c r="N463" s="8"/>
      <c r="O463" s="8" t="s">
        <v>1507</v>
      </c>
      <c r="P463" s="10" t="n">
        <f aca="false">IF($H463="숙박",0,IF($H463=MID(P$1,3,20),IF($I463="",1,0.6),IF($I463=MID(P$1,3,20),0.4,0)))</f>
        <v>0</v>
      </c>
      <c r="Q463" s="10" t="n">
        <f aca="false">IF($H463="숙박",0,IF($H463=MID(Q$1,3,20),IF($I463="",1,0.6),IF($I463=MID(Q$1,3,20),0.4,0)))</f>
        <v>1</v>
      </c>
      <c r="R463" s="10" t="n">
        <f aca="false">IF($H463="숙박",0,IF($H463=MID(R$1,3,20),IF($I463="",1,0.6),IF($I463=MID(R$1,3,20),0.4,0)))</f>
        <v>0</v>
      </c>
      <c r="S463" s="10" t="n">
        <f aca="false">IF($H463="숙박",0,IF($H463=MID(S$1,3,20),IF($I463="",1,0.6),IF($I463=MID(S$1,3,20),0.4,0)))</f>
        <v>0</v>
      </c>
      <c r="T463" s="10" t="n">
        <f aca="false">IF($H463="숙박",0,IF($H463=MID(T$1,3,20),IF($I463="",1,0.6),IF($I463=MID(T$1,3,20),0.4,0)))</f>
        <v>0</v>
      </c>
      <c r="U463" s="10" t="n">
        <f aca="false">IF($H463="숙박",0,IF(ISNUMBER(SEARCH("야경",$J463)),1,0))</f>
        <v>0</v>
      </c>
      <c r="V463" s="10" t="n">
        <f aca="false">IF($H463="숙박",0,1)</f>
        <v>1</v>
      </c>
    </row>
    <row r="464" customFormat="false" ht="15" hidden="false" customHeight="false" outlineLevel="0" collapsed="false">
      <c r="A464" s="8" t="n">
        <v>463</v>
      </c>
      <c r="B464" s="8" t="s">
        <v>45</v>
      </c>
      <c r="C464" s="8" t="s">
        <v>1508</v>
      </c>
      <c r="D464" s="8" t="s">
        <v>1509</v>
      </c>
      <c r="E464" s="7" t="s">
        <v>1510</v>
      </c>
      <c r="F464" s="8"/>
      <c r="G464" s="8" t="s">
        <v>190</v>
      </c>
      <c r="H464" s="9" t="s">
        <v>190</v>
      </c>
      <c r="I464" s="9"/>
      <c r="J464" s="9"/>
      <c r="K464" s="9" t="s">
        <v>191</v>
      </c>
      <c r="L464" s="8"/>
      <c r="M464" s="8"/>
      <c r="N464" s="8"/>
      <c r="O464" s="8" t="s">
        <v>1511</v>
      </c>
      <c r="P464" s="10" t="n">
        <f aca="false">IF($H464="숙박",0,IF($H464=MID(P$1,3,20),IF($I464="",1,0.6),IF($I464=MID(P$1,3,20),0.4,0)))</f>
        <v>1</v>
      </c>
      <c r="Q464" s="10" t="n">
        <f aca="false">IF($H464="숙박",0,IF($H464=MID(Q$1,3,20),IF($I464="",1,0.6),IF($I464=MID(Q$1,3,20),0.4,0)))</f>
        <v>0</v>
      </c>
      <c r="R464" s="10" t="n">
        <f aca="false">IF($H464="숙박",0,IF($H464=MID(R$1,3,20),IF($I464="",1,0.6),IF($I464=MID(R$1,3,20),0.4,0)))</f>
        <v>0</v>
      </c>
      <c r="S464" s="10" t="n">
        <f aca="false">IF($H464="숙박",0,IF($H464=MID(S$1,3,20),IF($I464="",1,0.6),IF($I464=MID(S$1,3,20),0.4,0)))</f>
        <v>0</v>
      </c>
      <c r="T464" s="10" t="n">
        <f aca="false">IF($H464="숙박",0,IF($H464=MID(T$1,3,20),IF($I464="",1,0.6),IF($I464=MID(T$1,3,20),0.4,0)))</f>
        <v>0</v>
      </c>
      <c r="U464" s="10" t="n">
        <f aca="false">IF($H464="숙박",0,IF(ISNUMBER(SEARCH("야경",$J464)),1,0))</f>
        <v>0</v>
      </c>
      <c r="V464" s="10" t="n">
        <f aca="false">IF($H464="숙박",0,1)</f>
        <v>1</v>
      </c>
    </row>
    <row r="465" customFormat="false" ht="15" hidden="false" customHeight="false" outlineLevel="0" collapsed="false">
      <c r="A465" s="8" t="n">
        <v>464</v>
      </c>
      <c r="B465" s="8" t="s">
        <v>45</v>
      </c>
      <c r="C465" s="8" t="s">
        <v>1512</v>
      </c>
      <c r="D465" s="8" t="s">
        <v>1513</v>
      </c>
      <c r="E465" s="7" t="s">
        <v>1514</v>
      </c>
      <c r="F465" s="8"/>
      <c r="G465" s="8" t="s">
        <v>190</v>
      </c>
      <c r="H465" s="9" t="s">
        <v>190</v>
      </c>
      <c r="I465" s="9"/>
      <c r="J465" s="9" t="s">
        <v>1361</v>
      </c>
      <c r="K465" s="9" t="s">
        <v>191</v>
      </c>
      <c r="L465" s="8"/>
      <c r="M465" s="8"/>
      <c r="N465" s="8"/>
      <c r="O465" s="8" t="s">
        <v>1515</v>
      </c>
      <c r="P465" s="10" t="n">
        <f aca="false">IF($H465="숙박",0,IF($H465=MID(P$1,3,20),IF($I465="",1,0.6),IF($I465=MID(P$1,3,20),0.4,0)))</f>
        <v>1</v>
      </c>
      <c r="Q465" s="10" t="n">
        <f aca="false">IF($H465="숙박",0,IF($H465=MID(Q$1,3,20),IF($I465="",1,0.6),IF($I465=MID(Q$1,3,20),0.4,0)))</f>
        <v>0</v>
      </c>
      <c r="R465" s="10" t="n">
        <f aca="false">IF($H465="숙박",0,IF($H465=MID(R$1,3,20),IF($I465="",1,0.6),IF($I465=MID(R$1,3,20),0.4,0)))</f>
        <v>0</v>
      </c>
      <c r="S465" s="10" t="n">
        <f aca="false">IF($H465="숙박",0,IF($H465=MID(S$1,3,20),IF($I465="",1,0.6),IF($I465=MID(S$1,3,20),0.4,0)))</f>
        <v>0</v>
      </c>
      <c r="T465" s="10" t="n">
        <f aca="false">IF($H465="숙박",0,IF($H465=MID(T$1,3,20),IF($I465="",1,0.6),IF($I465=MID(T$1,3,20),0.4,0)))</f>
        <v>0</v>
      </c>
      <c r="U465" s="10" t="n">
        <f aca="false">IF($H465="숙박",0,IF(ISNUMBER(SEARCH("야경",$J465)),1,0))</f>
        <v>0</v>
      </c>
      <c r="V465" s="10" t="n">
        <f aca="false">IF($H465="숙박",0,1)</f>
        <v>1</v>
      </c>
    </row>
    <row r="466" customFormat="false" ht="15" hidden="false" customHeight="false" outlineLevel="0" collapsed="false">
      <c r="A466" s="8" t="n">
        <v>465</v>
      </c>
      <c r="B466" s="8" t="s">
        <v>45</v>
      </c>
      <c r="C466" s="8" t="s">
        <v>1516</v>
      </c>
      <c r="D466" s="8" t="s">
        <v>1517</v>
      </c>
      <c r="E466" s="7" t="s">
        <v>1518</v>
      </c>
      <c r="F466" s="8"/>
      <c r="G466" s="8" t="s">
        <v>190</v>
      </c>
      <c r="H466" s="9" t="s">
        <v>190</v>
      </c>
      <c r="I466" s="9"/>
      <c r="J466" s="9"/>
      <c r="K466" s="9" t="s">
        <v>191</v>
      </c>
      <c r="L466" s="8"/>
      <c r="M466" s="8"/>
      <c r="N466" s="8"/>
      <c r="O466" s="8" t="s">
        <v>1519</v>
      </c>
      <c r="P466" s="10" t="n">
        <f aca="false">IF($H466="숙박",0,IF($H466=MID(P$1,3,20),IF($I466="",1,0.6),IF($I466=MID(P$1,3,20),0.4,0)))</f>
        <v>1</v>
      </c>
      <c r="Q466" s="10" t="n">
        <f aca="false">IF($H466="숙박",0,IF($H466=MID(Q$1,3,20),IF($I466="",1,0.6),IF($I466=MID(Q$1,3,20),0.4,0)))</f>
        <v>0</v>
      </c>
      <c r="R466" s="10" t="n">
        <f aca="false">IF($H466="숙박",0,IF($H466=MID(R$1,3,20),IF($I466="",1,0.6),IF($I466=MID(R$1,3,20),0.4,0)))</f>
        <v>0</v>
      </c>
      <c r="S466" s="10" t="n">
        <f aca="false">IF($H466="숙박",0,IF($H466=MID(S$1,3,20),IF($I466="",1,0.6),IF($I466=MID(S$1,3,20),0.4,0)))</f>
        <v>0</v>
      </c>
      <c r="T466" s="10" t="n">
        <f aca="false">IF($H466="숙박",0,IF($H466=MID(T$1,3,20),IF($I466="",1,0.6),IF($I466=MID(T$1,3,20),0.4,0)))</f>
        <v>0</v>
      </c>
      <c r="U466" s="10" t="n">
        <f aca="false">IF($H466="숙박",0,IF(ISNUMBER(SEARCH("야경",$J466)),1,0))</f>
        <v>0</v>
      </c>
      <c r="V466" s="10" t="n">
        <f aca="false">IF($H466="숙박",0,1)</f>
        <v>1</v>
      </c>
    </row>
    <row r="467" customFormat="false" ht="15" hidden="false" customHeight="false" outlineLevel="0" collapsed="false">
      <c r="A467" s="8" t="n">
        <v>466</v>
      </c>
      <c r="B467" s="8" t="s">
        <v>45</v>
      </c>
      <c r="C467" s="8" t="s">
        <v>1516</v>
      </c>
      <c r="D467" s="8" t="s">
        <v>1520</v>
      </c>
      <c r="E467" s="7" t="s">
        <v>1521</v>
      </c>
      <c r="F467" s="8"/>
      <c r="G467" s="8" t="s">
        <v>190</v>
      </c>
      <c r="H467" s="9" t="s">
        <v>190</v>
      </c>
      <c r="I467" s="9"/>
      <c r="J467" s="9"/>
      <c r="K467" s="9" t="s">
        <v>191</v>
      </c>
      <c r="L467" s="8"/>
      <c r="M467" s="8"/>
      <c r="N467" s="8"/>
      <c r="O467" s="8" t="s">
        <v>1522</v>
      </c>
      <c r="P467" s="10" t="n">
        <f aca="false">IF($H467="숙박",0,IF($H467=MID(P$1,3,20),IF($I467="",1,0.6),IF($I467=MID(P$1,3,20),0.4,0)))</f>
        <v>1</v>
      </c>
      <c r="Q467" s="10" t="n">
        <f aca="false">IF($H467="숙박",0,IF($H467=MID(Q$1,3,20),IF($I467="",1,0.6),IF($I467=MID(Q$1,3,20),0.4,0)))</f>
        <v>0</v>
      </c>
      <c r="R467" s="10" t="n">
        <f aca="false">IF($H467="숙박",0,IF($H467=MID(R$1,3,20),IF($I467="",1,0.6),IF($I467=MID(R$1,3,20),0.4,0)))</f>
        <v>0</v>
      </c>
      <c r="S467" s="10" t="n">
        <f aca="false">IF($H467="숙박",0,IF($H467=MID(S$1,3,20),IF($I467="",1,0.6),IF($I467=MID(S$1,3,20),0.4,0)))</f>
        <v>0</v>
      </c>
      <c r="T467" s="10" t="n">
        <f aca="false">IF($H467="숙박",0,IF($H467=MID(T$1,3,20),IF($I467="",1,0.6),IF($I467=MID(T$1,3,20),0.4,0)))</f>
        <v>0</v>
      </c>
      <c r="U467" s="10" t="n">
        <f aca="false">IF($H467="숙박",0,IF(ISNUMBER(SEARCH("야경",$J467)),1,0))</f>
        <v>0</v>
      </c>
      <c r="V467" s="10" t="n">
        <f aca="false">IF($H467="숙박",0,1)</f>
        <v>1</v>
      </c>
    </row>
    <row r="468" customFormat="false" ht="15" hidden="false" customHeight="false" outlineLevel="0" collapsed="false">
      <c r="A468" s="8" t="n">
        <v>467</v>
      </c>
      <c r="B468" s="8" t="s">
        <v>45</v>
      </c>
      <c r="C468" s="8" t="s">
        <v>380</v>
      </c>
      <c r="D468" s="8" t="s">
        <v>1523</v>
      </c>
      <c r="E468" s="7" t="s">
        <v>1524</v>
      </c>
      <c r="F468" s="8"/>
      <c r="G468" s="8" t="s">
        <v>184</v>
      </c>
      <c r="H468" s="9" t="s">
        <v>184</v>
      </c>
      <c r="I468" s="9"/>
      <c r="J468" s="9"/>
      <c r="K468" s="9" t="s">
        <v>191</v>
      </c>
      <c r="L468" s="8"/>
      <c r="M468" s="8"/>
      <c r="N468" s="8"/>
      <c r="O468" s="8" t="s">
        <v>1525</v>
      </c>
      <c r="P468" s="10" t="n">
        <f aca="false">IF($H468="숙박",0,IF($H468=MID(P$1,3,20),IF($I468="",1,0.6),IF($I468=MID(P$1,3,20),0.4,0)))</f>
        <v>0</v>
      </c>
      <c r="Q468" s="10" t="n">
        <f aca="false">IF($H468="숙박",0,IF($H468=MID(Q$1,3,20),IF($I468="",1,0.6),IF($I468=MID(Q$1,3,20),0.4,0)))</f>
        <v>0</v>
      </c>
      <c r="R468" s="10" t="n">
        <f aca="false">IF($H468="숙박",0,IF($H468=MID(R$1,3,20),IF($I468="",1,0.6),IF($I468=MID(R$1,3,20),0.4,0)))</f>
        <v>1</v>
      </c>
      <c r="S468" s="10" t="n">
        <f aca="false">IF($H468="숙박",0,IF($H468=MID(S$1,3,20),IF($I468="",1,0.6),IF($I468=MID(S$1,3,20),0.4,0)))</f>
        <v>0</v>
      </c>
      <c r="T468" s="10" t="n">
        <f aca="false">IF($H468="숙박",0,IF($H468=MID(T$1,3,20),IF($I468="",1,0.6),IF($I468=MID(T$1,3,20),0.4,0)))</f>
        <v>0</v>
      </c>
      <c r="U468" s="10" t="n">
        <f aca="false">IF($H468="숙박",0,IF(ISNUMBER(SEARCH("야경",$J468)),1,0))</f>
        <v>0</v>
      </c>
      <c r="V468" s="10" t="n">
        <f aca="false">IF($H468="숙박",0,1)</f>
        <v>1</v>
      </c>
    </row>
    <row r="469" customFormat="false" ht="15" hidden="false" customHeight="false" outlineLevel="0" collapsed="false">
      <c r="A469" s="8" t="n">
        <v>468</v>
      </c>
      <c r="B469" s="8" t="s">
        <v>45</v>
      </c>
      <c r="C469" s="8" t="s">
        <v>349</v>
      </c>
      <c r="D469" s="8" t="s">
        <v>1526</v>
      </c>
      <c r="E469" s="7" t="s">
        <v>1527</v>
      </c>
      <c r="F469" s="8"/>
      <c r="G469" s="8" t="s">
        <v>50</v>
      </c>
      <c r="H469" s="9" t="s">
        <v>50</v>
      </c>
      <c r="I469" s="9" t="s">
        <v>184</v>
      </c>
      <c r="J469" s="9" t="s">
        <v>168</v>
      </c>
      <c r="K469" s="9" t="s">
        <v>52</v>
      </c>
      <c r="L469" s="8"/>
      <c r="M469" s="8"/>
      <c r="N469" s="8" t="s">
        <v>483</v>
      </c>
      <c r="O469" s="8" t="s">
        <v>1528</v>
      </c>
      <c r="P469" s="10" t="n">
        <f aca="false">IF($H469="숙박",0,IF($H469=MID(P$1,3,20),IF($I469="",1,0.6),IF($I469=MID(P$1,3,20),0.4,0)))</f>
        <v>0</v>
      </c>
      <c r="Q469" s="10" t="n">
        <f aca="false">IF($H469="숙박",0,IF($H469=MID(Q$1,3,20),IF($I469="",1,0.6),IF($I469=MID(Q$1,3,20),0.4,0)))</f>
        <v>0</v>
      </c>
      <c r="R469" s="10" t="n">
        <f aca="false">IF($H469="숙박",0,IF($H469=MID(R$1,3,20),IF($I469="",1,0.6),IF($I469=MID(R$1,3,20),0.4,0)))</f>
        <v>0.4</v>
      </c>
      <c r="S469" s="10" t="n">
        <f aca="false">IF($H469="숙박",0,IF($H469=MID(S$1,3,20),IF($I469="",1,0.6),IF($I469=MID(S$1,3,20),0.4,0)))</f>
        <v>0</v>
      </c>
      <c r="T469" s="10" t="n">
        <f aca="false">IF($H469="숙박",0,IF($H469=MID(T$1,3,20),IF($I469="",1,0.6),IF($I469=MID(T$1,3,20),0.4,0)))</f>
        <v>0.6</v>
      </c>
      <c r="U469" s="10" t="n">
        <f aca="false">IF($H469="숙박",0,IF(ISNUMBER(SEARCH("야경",$J469)),1,0))</f>
        <v>0</v>
      </c>
      <c r="V469" s="10" t="n">
        <f aca="false">IF($H469="숙박",0,1)</f>
        <v>1</v>
      </c>
    </row>
    <row r="470" customFormat="false" ht="15" hidden="false" customHeight="false" outlineLevel="0" collapsed="false">
      <c r="A470" s="8" t="n">
        <v>469</v>
      </c>
      <c r="B470" s="8" t="s">
        <v>45</v>
      </c>
      <c r="C470" s="8"/>
      <c r="D470" s="8" t="s">
        <v>1529</v>
      </c>
      <c r="E470" s="7" t="s">
        <v>1530</v>
      </c>
      <c r="F470" s="8"/>
      <c r="G470" s="8"/>
      <c r="H470" s="9" t="s">
        <v>594</v>
      </c>
      <c r="I470" s="9"/>
      <c r="J470" s="9"/>
      <c r="K470" s="9"/>
      <c r="L470" s="8"/>
      <c r="M470" s="8"/>
      <c r="N470" s="8" t="s">
        <v>595</v>
      </c>
      <c r="O470" s="8"/>
      <c r="P470" s="10" t="n">
        <f aca="false">IF($H470="숙박",0,IF($H470=MID(P$1,3,20),IF($I470="",1,0.6),IF($I470=MID(P$1,3,20),0.4,0)))</f>
        <v>0</v>
      </c>
      <c r="Q470" s="10" t="n">
        <f aca="false">IF($H470="숙박",0,IF($H470=MID(Q$1,3,20),IF($I470="",1,0.6),IF($I470=MID(Q$1,3,20),0.4,0)))</f>
        <v>0</v>
      </c>
      <c r="R470" s="10" t="n">
        <f aca="false">IF($H470="숙박",0,IF($H470=MID(R$1,3,20),IF($I470="",1,0.6),IF($I470=MID(R$1,3,20),0.4,0)))</f>
        <v>0</v>
      </c>
      <c r="S470" s="10" t="n">
        <f aca="false">IF($H470="숙박",0,IF($H470=MID(S$1,3,20),IF($I470="",1,0.6),IF($I470=MID(S$1,3,20),0.4,0)))</f>
        <v>0</v>
      </c>
      <c r="T470" s="10" t="n">
        <f aca="false">IF($H470="숙박",0,IF($H470=MID(T$1,3,20),IF($I470="",1,0.6),IF($I470=MID(T$1,3,20),0.4,0)))</f>
        <v>0</v>
      </c>
      <c r="U470" s="10" t="n">
        <f aca="false">IF($H470="숙박",0,IF(ISNUMBER(SEARCH("야경",$J470)),1,0))</f>
        <v>0</v>
      </c>
      <c r="V470" s="10" t="n">
        <f aca="false">IF($H470="숙박",0,1)</f>
        <v>0</v>
      </c>
    </row>
    <row r="471" customFormat="false" ht="15" hidden="false" customHeight="false" outlineLevel="0" collapsed="false">
      <c r="A471" s="8" t="n">
        <v>470</v>
      </c>
      <c r="B471" s="8" t="s">
        <v>45</v>
      </c>
      <c r="C471" s="8" t="s">
        <v>1531</v>
      </c>
      <c r="D471" s="8" t="s">
        <v>1532</v>
      </c>
      <c r="E471" s="7" t="s">
        <v>1533</v>
      </c>
      <c r="F471" s="8"/>
      <c r="G471" s="8" t="s">
        <v>184</v>
      </c>
      <c r="H471" s="9" t="s">
        <v>184</v>
      </c>
      <c r="I471" s="9" t="s">
        <v>49</v>
      </c>
      <c r="J471" s="9"/>
      <c r="K471" s="9" t="s">
        <v>52</v>
      </c>
      <c r="L471" s="8"/>
      <c r="M471" s="8"/>
      <c r="N471" s="8" t="s">
        <v>483</v>
      </c>
      <c r="O471" s="8" t="s">
        <v>1534</v>
      </c>
      <c r="P471" s="10" t="n">
        <f aca="false">IF($H471="숙박",0,IF($H471=MID(P$1,3,20),IF($I471="",1,0.6),IF($I471=MID(P$1,3,20),0.4,0)))</f>
        <v>0</v>
      </c>
      <c r="Q471" s="10" t="n">
        <f aca="false">IF($H471="숙박",0,IF($H471=MID(Q$1,3,20),IF($I471="",1,0.6),IF($I471=MID(Q$1,3,20),0.4,0)))</f>
        <v>0.4</v>
      </c>
      <c r="R471" s="10" t="n">
        <f aca="false">IF($H471="숙박",0,IF($H471=MID(R$1,3,20),IF($I471="",1,0.6),IF($I471=MID(R$1,3,20),0.4,0)))</f>
        <v>0.6</v>
      </c>
      <c r="S471" s="10" t="n">
        <f aca="false">IF($H471="숙박",0,IF($H471=MID(S$1,3,20),IF($I471="",1,0.6),IF($I471=MID(S$1,3,20),0.4,0)))</f>
        <v>0</v>
      </c>
      <c r="T471" s="10" t="n">
        <f aca="false">IF($H471="숙박",0,IF($H471=MID(T$1,3,20),IF($I471="",1,0.6),IF($I471=MID(T$1,3,20),0.4,0)))</f>
        <v>0</v>
      </c>
      <c r="U471" s="10" t="n">
        <f aca="false">IF($H471="숙박",0,IF(ISNUMBER(SEARCH("야경",$J471)),1,0))</f>
        <v>0</v>
      </c>
      <c r="V471" s="10" t="n">
        <f aca="false">IF($H471="숙박",0,1)</f>
        <v>1</v>
      </c>
    </row>
    <row r="472" customFormat="false" ht="15" hidden="false" customHeight="false" outlineLevel="0" collapsed="false">
      <c r="A472" s="8" t="n">
        <v>471</v>
      </c>
      <c r="B472" s="8" t="s">
        <v>45</v>
      </c>
      <c r="C472" s="8" t="s">
        <v>1535</v>
      </c>
      <c r="D472" s="8" t="s">
        <v>1536</v>
      </c>
      <c r="E472" s="7" t="s">
        <v>1537</v>
      </c>
      <c r="F472" s="8"/>
      <c r="G472" s="8" t="s">
        <v>190</v>
      </c>
      <c r="H472" s="9" t="s">
        <v>190</v>
      </c>
      <c r="I472" s="9"/>
      <c r="J472" s="9"/>
      <c r="K472" s="9" t="s">
        <v>191</v>
      </c>
      <c r="L472" s="8"/>
      <c r="M472" s="8"/>
      <c r="N472" s="8"/>
      <c r="O472" s="8" t="s">
        <v>1538</v>
      </c>
      <c r="P472" s="10" t="n">
        <f aca="false">IF($H472="숙박",0,IF($H472=MID(P$1,3,20),IF($I472="",1,0.6),IF($I472=MID(P$1,3,20),0.4,0)))</f>
        <v>1</v>
      </c>
      <c r="Q472" s="10" t="n">
        <f aca="false">IF($H472="숙박",0,IF($H472=MID(Q$1,3,20),IF($I472="",1,0.6),IF($I472=MID(Q$1,3,20),0.4,0)))</f>
        <v>0</v>
      </c>
      <c r="R472" s="10" t="n">
        <f aca="false">IF($H472="숙박",0,IF($H472=MID(R$1,3,20),IF($I472="",1,0.6),IF($I472=MID(R$1,3,20),0.4,0)))</f>
        <v>0</v>
      </c>
      <c r="S472" s="10" t="n">
        <f aca="false">IF($H472="숙박",0,IF($H472=MID(S$1,3,20),IF($I472="",1,0.6),IF($I472=MID(S$1,3,20),0.4,0)))</f>
        <v>0</v>
      </c>
      <c r="T472" s="10" t="n">
        <f aca="false">IF($H472="숙박",0,IF($H472=MID(T$1,3,20),IF($I472="",1,0.6),IF($I472=MID(T$1,3,20),0.4,0)))</f>
        <v>0</v>
      </c>
      <c r="U472" s="10" t="n">
        <f aca="false">IF($H472="숙박",0,IF(ISNUMBER(SEARCH("야경",$J472)),1,0))</f>
        <v>0</v>
      </c>
      <c r="V472" s="10" t="n">
        <f aca="false">IF($H472="숙박",0,1)</f>
        <v>1</v>
      </c>
    </row>
    <row r="473" customFormat="false" ht="15" hidden="false" customHeight="false" outlineLevel="0" collapsed="false">
      <c r="A473" s="8" t="n">
        <v>472</v>
      </c>
      <c r="B473" s="8" t="s">
        <v>45</v>
      </c>
      <c r="C473" s="8" t="s">
        <v>1539</v>
      </c>
      <c r="D473" s="8" t="s">
        <v>1540</v>
      </c>
      <c r="E473" s="7" t="s">
        <v>1541</v>
      </c>
      <c r="F473" s="8"/>
      <c r="G473" s="8" t="s">
        <v>184</v>
      </c>
      <c r="H473" s="9" t="s">
        <v>184</v>
      </c>
      <c r="I473" s="9"/>
      <c r="J473" s="9"/>
      <c r="K473" s="9" t="s">
        <v>191</v>
      </c>
      <c r="L473" s="8"/>
      <c r="M473" s="8"/>
      <c r="N473" s="8"/>
      <c r="O473" s="8" t="s">
        <v>1542</v>
      </c>
      <c r="P473" s="10" t="n">
        <f aca="false">IF($H473="숙박",0,IF($H473=MID(P$1,3,20),IF($I473="",1,0.6),IF($I473=MID(P$1,3,20),0.4,0)))</f>
        <v>0</v>
      </c>
      <c r="Q473" s="10" t="n">
        <f aca="false">IF($H473="숙박",0,IF($H473=MID(Q$1,3,20),IF($I473="",1,0.6),IF($I473=MID(Q$1,3,20),0.4,0)))</f>
        <v>0</v>
      </c>
      <c r="R473" s="10" t="n">
        <f aca="false">IF($H473="숙박",0,IF($H473=MID(R$1,3,20),IF($I473="",1,0.6),IF($I473=MID(R$1,3,20),0.4,0)))</f>
        <v>1</v>
      </c>
      <c r="S473" s="10" t="n">
        <f aca="false">IF($H473="숙박",0,IF($H473=MID(S$1,3,20),IF($I473="",1,0.6),IF($I473=MID(S$1,3,20),0.4,0)))</f>
        <v>0</v>
      </c>
      <c r="T473" s="10" t="n">
        <f aca="false">IF($H473="숙박",0,IF($H473=MID(T$1,3,20),IF($I473="",1,0.6),IF($I473=MID(T$1,3,20),0.4,0)))</f>
        <v>0</v>
      </c>
      <c r="U473" s="10" t="n">
        <f aca="false">IF($H473="숙박",0,IF(ISNUMBER(SEARCH("야경",$J473)),1,0))</f>
        <v>0</v>
      </c>
      <c r="V473" s="10" t="n">
        <f aca="false">IF($H473="숙박",0,1)</f>
        <v>1</v>
      </c>
    </row>
    <row r="474" customFormat="false" ht="15" hidden="false" customHeight="false" outlineLevel="0" collapsed="false">
      <c r="A474" s="8" t="n">
        <v>473</v>
      </c>
      <c r="B474" s="8" t="s">
        <v>45</v>
      </c>
      <c r="C474" s="8" t="s">
        <v>1467</v>
      </c>
      <c r="D474" s="8" t="s">
        <v>1543</v>
      </c>
      <c r="E474" s="7" t="s">
        <v>1544</v>
      </c>
      <c r="F474" s="8"/>
      <c r="G474" s="8" t="s">
        <v>190</v>
      </c>
      <c r="H474" s="9" t="s">
        <v>190</v>
      </c>
      <c r="I474" s="9"/>
      <c r="J474" s="9"/>
      <c r="K474" s="9" t="s">
        <v>191</v>
      </c>
      <c r="L474" s="8"/>
      <c r="M474" s="8"/>
      <c r="N474" s="8"/>
      <c r="O474" s="8" t="s">
        <v>1545</v>
      </c>
      <c r="P474" s="10" t="n">
        <f aca="false">IF($H474="숙박",0,IF($H474=MID(P$1,3,20),IF($I474="",1,0.6),IF($I474=MID(P$1,3,20),0.4,0)))</f>
        <v>1</v>
      </c>
      <c r="Q474" s="10" t="n">
        <f aca="false">IF($H474="숙박",0,IF($H474=MID(Q$1,3,20),IF($I474="",1,0.6),IF($I474=MID(Q$1,3,20),0.4,0)))</f>
        <v>0</v>
      </c>
      <c r="R474" s="10" t="n">
        <f aca="false">IF($H474="숙박",0,IF($H474=MID(R$1,3,20),IF($I474="",1,0.6),IF($I474=MID(R$1,3,20),0.4,0)))</f>
        <v>0</v>
      </c>
      <c r="S474" s="10" t="n">
        <f aca="false">IF($H474="숙박",0,IF($H474=MID(S$1,3,20),IF($I474="",1,0.6),IF($I474=MID(S$1,3,20),0.4,0)))</f>
        <v>0</v>
      </c>
      <c r="T474" s="10" t="n">
        <f aca="false">IF($H474="숙박",0,IF($H474=MID(T$1,3,20),IF($I474="",1,0.6),IF($I474=MID(T$1,3,20),0.4,0)))</f>
        <v>0</v>
      </c>
      <c r="U474" s="10" t="n">
        <f aca="false">IF($H474="숙박",0,IF(ISNUMBER(SEARCH("야경",$J474)),1,0))</f>
        <v>0</v>
      </c>
      <c r="V474" s="10" t="n">
        <f aca="false">IF($H474="숙박",0,1)</f>
        <v>1</v>
      </c>
    </row>
    <row r="475" customFormat="false" ht="15" hidden="false" customHeight="false" outlineLevel="0" collapsed="false">
      <c r="A475" s="8" t="n">
        <v>474</v>
      </c>
      <c r="B475" s="8" t="s">
        <v>45</v>
      </c>
      <c r="C475" s="8" t="s">
        <v>1546</v>
      </c>
      <c r="D475" s="8" t="s">
        <v>1547</v>
      </c>
      <c r="E475" s="7" t="s">
        <v>1548</v>
      </c>
      <c r="F475" s="8"/>
      <c r="G475" s="8" t="s">
        <v>190</v>
      </c>
      <c r="H475" s="9" t="s">
        <v>190</v>
      </c>
      <c r="I475" s="9"/>
      <c r="J475" s="9"/>
      <c r="K475" s="9" t="s">
        <v>191</v>
      </c>
      <c r="L475" s="8"/>
      <c r="M475" s="8"/>
      <c r="N475" s="8"/>
      <c r="O475" s="8" t="s">
        <v>1549</v>
      </c>
      <c r="P475" s="10" t="n">
        <f aca="false">IF($H475="숙박",0,IF($H475=MID(P$1,3,20),IF($I475="",1,0.6),IF($I475=MID(P$1,3,20),0.4,0)))</f>
        <v>1</v>
      </c>
      <c r="Q475" s="10" t="n">
        <f aca="false">IF($H475="숙박",0,IF($H475=MID(Q$1,3,20),IF($I475="",1,0.6),IF($I475=MID(Q$1,3,20),0.4,0)))</f>
        <v>0</v>
      </c>
      <c r="R475" s="10" t="n">
        <f aca="false">IF($H475="숙박",0,IF($H475=MID(R$1,3,20),IF($I475="",1,0.6),IF($I475=MID(R$1,3,20),0.4,0)))</f>
        <v>0</v>
      </c>
      <c r="S475" s="10" t="n">
        <f aca="false">IF($H475="숙박",0,IF($H475=MID(S$1,3,20),IF($I475="",1,0.6),IF($I475=MID(S$1,3,20),0.4,0)))</f>
        <v>0</v>
      </c>
      <c r="T475" s="10" t="n">
        <f aca="false">IF($H475="숙박",0,IF($H475=MID(T$1,3,20),IF($I475="",1,0.6),IF($I475=MID(T$1,3,20),0.4,0)))</f>
        <v>0</v>
      </c>
      <c r="U475" s="10" t="n">
        <f aca="false">IF($H475="숙박",0,IF(ISNUMBER(SEARCH("야경",$J475)),1,0))</f>
        <v>0</v>
      </c>
      <c r="V475" s="10" t="n">
        <f aca="false">IF($H475="숙박",0,1)</f>
        <v>1</v>
      </c>
    </row>
    <row r="476" customFormat="false" ht="15" hidden="false" customHeight="false" outlineLevel="0" collapsed="false">
      <c r="A476" s="8" t="n">
        <v>475</v>
      </c>
      <c r="B476" s="8" t="s">
        <v>45</v>
      </c>
      <c r="C476" s="8" t="s">
        <v>1467</v>
      </c>
      <c r="D476" s="8" t="s">
        <v>1550</v>
      </c>
      <c r="E476" s="7" t="s">
        <v>1551</v>
      </c>
      <c r="F476" s="8"/>
      <c r="G476" s="8" t="s">
        <v>216</v>
      </c>
      <c r="H476" s="9" t="s">
        <v>216</v>
      </c>
      <c r="I476" s="9" t="s">
        <v>190</v>
      </c>
      <c r="J476" s="9" t="s">
        <v>43</v>
      </c>
      <c r="K476" s="9" t="s">
        <v>191</v>
      </c>
      <c r="L476" s="8"/>
      <c r="M476" s="8"/>
      <c r="N476" s="8" t="s">
        <v>483</v>
      </c>
      <c r="O476" s="8" t="s">
        <v>1552</v>
      </c>
      <c r="P476" s="10" t="n">
        <f aca="false">IF($H476="숙박",0,IF($H476=MID(P$1,3,20),IF($I476="",1,0.6),IF($I476=MID(P$1,3,20),0.4,0)))</f>
        <v>0.4</v>
      </c>
      <c r="Q476" s="10" t="n">
        <f aca="false">IF($H476="숙박",0,IF($H476=MID(Q$1,3,20),IF($I476="",1,0.6),IF($I476=MID(Q$1,3,20),0.4,0)))</f>
        <v>0</v>
      </c>
      <c r="R476" s="10" t="n">
        <f aca="false">IF($H476="숙박",0,IF($H476=MID(R$1,3,20),IF($I476="",1,0.6),IF($I476=MID(R$1,3,20),0.4,0)))</f>
        <v>0</v>
      </c>
      <c r="S476" s="10" t="n">
        <f aca="false">IF($H476="숙박",0,IF($H476=MID(S$1,3,20),IF($I476="",1,0.6),IF($I476=MID(S$1,3,20),0.4,0)))</f>
        <v>0.6</v>
      </c>
      <c r="T476" s="10" t="n">
        <f aca="false">IF($H476="숙박",0,IF($H476=MID(T$1,3,20),IF($I476="",1,0.6),IF($I476=MID(T$1,3,20),0.4,0)))</f>
        <v>0</v>
      </c>
      <c r="U476" s="10" t="n">
        <f aca="false">IF($H476="숙박",0,IF(ISNUMBER(SEARCH("야경",$J476)),1,0))</f>
        <v>1</v>
      </c>
      <c r="V476" s="10" t="n">
        <f aca="false">IF($H476="숙박",0,1)</f>
        <v>1</v>
      </c>
    </row>
    <row r="477" customFormat="false" ht="15" hidden="false" customHeight="false" outlineLevel="0" collapsed="false">
      <c r="A477" s="8" t="n">
        <v>476</v>
      </c>
      <c r="B477" s="8" t="s">
        <v>45</v>
      </c>
      <c r="C477" s="8" t="s">
        <v>1467</v>
      </c>
      <c r="D477" s="8" t="s">
        <v>1553</v>
      </c>
      <c r="E477" s="7" t="s">
        <v>1554</v>
      </c>
      <c r="F477" s="8"/>
      <c r="G477" s="8" t="s">
        <v>190</v>
      </c>
      <c r="H477" s="9" t="s">
        <v>190</v>
      </c>
      <c r="I477" s="9"/>
      <c r="J477" s="9" t="s">
        <v>1361</v>
      </c>
      <c r="K477" s="9" t="s">
        <v>191</v>
      </c>
      <c r="L477" s="8"/>
      <c r="M477" s="8"/>
      <c r="N477" s="8"/>
      <c r="O477" s="8" t="s">
        <v>1555</v>
      </c>
      <c r="P477" s="10" t="n">
        <f aca="false">IF($H477="숙박",0,IF($H477=MID(P$1,3,20),IF($I477="",1,0.6),IF($I477=MID(P$1,3,20),0.4,0)))</f>
        <v>1</v>
      </c>
      <c r="Q477" s="10" t="n">
        <f aca="false">IF($H477="숙박",0,IF($H477=MID(Q$1,3,20),IF($I477="",1,0.6),IF($I477=MID(Q$1,3,20),0.4,0)))</f>
        <v>0</v>
      </c>
      <c r="R477" s="10" t="n">
        <f aca="false">IF($H477="숙박",0,IF($H477=MID(R$1,3,20),IF($I477="",1,0.6),IF($I477=MID(R$1,3,20),0.4,0)))</f>
        <v>0</v>
      </c>
      <c r="S477" s="10" t="n">
        <f aca="false">IF($H477="숙박",0,IF($H477=MID(S$1,3,20),IF($I477="",1,0.6),IF($I477=MID(S$1,3,20),0.4,0)))</f>
        <v>0</v>
      </c>
      <c r="T477" s="10" t="n">
        <f aca="false">IF($H477="숙박",0,IF($H477=MID(T$1,3,20),IF($I477="",1,0.6),IF($I477=MID(T$1,3,20),0.4,0)))</f>
        <v>0</v>
      </c>
      <c r="U477" s="10" t="n">
        <f aca="false">IF($H477="숙박",0,IF(ISNUMBER(SEARCH("야경",$J477)),1,0))</f>
        <v>0</v>
      </c>
      <c r="V477" s="10" t="n">
        <f aca="false">IF($H477="숙박",0,1)</f>
        <v>1</v>
      </c>
    </row>
    <row r="478" customFormat="false" ht="15" hidden="false" customHeight="false" outlineLevel="0" collapsed="false">
      <c r="A478" s="8" t="n">
        <v>477</v>
      </c>
      <c r="B478" s="8" t="s">
        <v>45</v>
      </c>
      <c r="C478" s="8"/>
      <c r="D478" s="8" t="s">
        <v>1556</v>
      </c>
      <c r="E478" s="7" t="s">
        <v>1557</v>
      </c>
      <c r="F478" s="8"/>
      <c r="G478" s="8"/>
      <c r="H478" s="9" t="s">
        <v>594</v>
      </c>
      <c r="I478" s="9"/>
      <c r="J478" s="9"/>
      <c r="K478" s="9"/>
      <c r="L478" s="8"/>
      <c r="M478" s="8"/>
      <c r="N478" s="8" t="s">
        <v>595</v>
      </c>
      <c r="O478" s="8"/>
      <c r="P478" s="10" t="n">
        <f aca="false">IF($H478="숙박",0,IF($H478=MID(P$1,3,20),IF($I478="",1,0.6),IF($I478=MID(P$1,3,20),0.4,0)))</f>
        <v>0</v>
      </c>
      <c r="Q478" s="10" t="n">
        <f aca="false">IF($H478="숙박",0,IF($H478=MID(Q$1,3,20),IF($I478="",1,0.6),IF($I478=MID(Q$1,3,20),0.4,0)))</f>
        <v>0</v>
      </c>
      <c r="R478" s="10" t="n">
        <f aca="false">IF($H478="숙박",0,IF($H478=MID(R$1,3,20),IF($I478="",1,0.6),IF($I478=MID(R$1,3,20),0.4,0)))</f>
        <v>0</v>
      </c>
      <c r="S478" s="10" t="n">
        <f aca="false">IF($H478="숙박",0,IF($H478=MID(S$1,3,20),IF($I478="",1,0.6),IF($I478=MID(S$1,3,20),0.4,0)))</f>
        <v>0</v>
      </c>
      <c r="T478" s="10" t="n">
        <f aca="false">IF($H478="숙박",0,IF($H478=MID(T$1,3,20),IF($I478="",1,0.6),IF($I478=MID(T$1,3,20),0.4,0)))</f>
        <v>0</v>
      </c>
      <c r="U478" s="10" t="n">
        <f aca="false">IF($H478="숙박",0,IF(ISNUMBER(SEARCH("야경",$J478)),1,0))</f>
        <v>0</v>
      </c>
      <c r="V478" s="10" t="n">
        <f aca="false">IF($H478="숙박",0,1)</f>
        <v>0</v>
      </c>
    </row>
    <row r="479" customFormat="false" ht="15" hidden="false" customHeight="false" outlineLevel="0" collapsed="false">
      <c r="A479" s="8" t="n">
        <v>478</v>
      </c>
      <c r="B479" s="8" t="s">
        <v>45</v>
      </c>
      <c r="C479" s="8" t="s">
        <v>1467</v>
      </c>
      <c r="D479" s="8" t="s">
        <v>1558</v>
      </c>
      <c r="E479" s="7" t="s">
        <v>1559</v>
      </c>
      <c r="F479" s="8"/>
      <c r="G479" s="8" t="s">
        <v>49</v>
      </c>
      <c r="H479" s="9" t="s">
        <v>49</v>
      </c>
      <c r="I479" s="9"/>
      <c r="J479" s="9"/>
      <c r="K479" s="9" t="s">
        <v>52</v>
      </c>
      <c r="L479" s="8"/>
      <c r="M479" s="8"/>
      <c r="N479" s="8"/>
      <c r="O479" s="8" t="s">
        <v>1560</v>
      </c>
      <c r="P479" s="10" t="n">
        <f aca="false">IF($H479="숙박",0,IF($H479=MID(P$1,3,20),IF($I479="",1,0.6),IF($I479=MID(P$1,3,20),0.4,0)))</f>
        <v>0</v>
      </c>
      <c r="Q479" s="10" t="n">
        <f aca="false">IF($H479="숙박",0,IF($H479=MID(Q$1,3,20),IF($I479="",1,0.6),IF($I479=MID(Q$1,3,20),0.4,0)))</f>
        <v>1</v>
      </c>
      <c r="R479" s="10" t="n">
        <f aca="false">IF($H479="숙박",0,IF($H479=MID(R$1,3,20),IF($I479="",1,0.6),IF($I479=MID(R$1,3,20),0.4,0)))</f>
        <v>0</v>
      </c>
      <c r="S479" s="10" t="n">
        <f aca="false">IF($H479="숙박",0,IF($H479=MID(S$1,3,20),IF($I479="",1,0.6),IF($I479=MID(S$1,3,20),0.4,0)))</f>
        <v>0</v>
      </c>
      <c r="T479" s="10" t="n">
        <f aca="false">IF($H479="숙박",0,IF($H479=MID(T$1,3,20),IF($I479="",1,0.6),IF($I479=MID(T$1,3,20),0.4,0)))</f>
        <v>0</v>
      </c>
      <c r="U479" s="10" t="n">
        <f aca="false">IF($H479="숙박",0,IF(ISNUMBER(SEARCH("야경",$J479)),1,0))</f>
        <v>0</v>
      </c>
      <c r="V479" s="10" t="n">
        <f aca="false">IF($H479="숙박",0,1)</f>
        <v>1</v>
      </c>
    </row>
    <row r="480" customFormat="false" ht="15" hidden="false" customHeight="false" outlineLevel="0" collapsed="false">
      <c r="A480" s="8" t="n">
        <v>479</v>
      </c>
      <c r="B480" s="8" t="s">
        <v>45</v>
      </c>
      <c r="C480" s="8" t="s">
        <v>1467</v>
      </c>
      <c r="D480" s="8" t="s">
        <v>1561</v>
      </c>
      <c r="E480" s="7" t="s">
        <v>1562</v>
      </c>
      <c r="F480" s="8"/>
      <c r="G480" s="8" t="s">
        <v>190</v>
      </c>
      <c r="H480" s="9" t="s">
        <v>190</v>
      </c>
      <c r="I480" s="9"/>
      <c r="J480" s="9"/>
      <c r="K480" s="9" t="s">
        <v>52</v>
      </c>
      <c r="L480" s="8"/>
      <c r="M480" s="8"/>
      <c r="N480" s="8"/>
      <c r="O480" s="8" t="s">
        <v>1563</v>
      </c>
      <c r="P480" s="10" t="n">
        <f aca="false">IF($H480="숙박",0,IF($H480=MID(P$1,3,20),IF($I480="",1,0.6),IF($I480=MID(P$1,3,20),0.4,0)))</f>
        <v>1</v>
      </c>
      <c r="Q480" s="10" t="n">
        <f aca="false">IF($H480="숙박",0,IF($H480=MID(Q$1,3,20),IF($I480="",1,0.6),IF($I480=MID(Q$1,3,20),0.4,0)))</f>
        <v>0</v>
      </c>
      <c r="R480" s="10" t="n">
        <f aca="false">IF($H480="숙박",0,IF($H480=MID(R$1,3,20),IF($I480="",1,0.6),IF($I480=MID(R$1,3,20),0.4,0)))</f>
        <v>0</v>
      </c>
      <c r="S480" s="10" t="n">
        <f aca="false">IF($H480="숙박",0,IF($H480=MID(S$1,3,20),IF($I480="",1,0.6),IF($I480=MID(S$1,3,20),0.4,0)))</f>
        <v>0</v>
      </c>
      <c r="T480" s="10" t="n">
        <f aca="false">IF($H480="숙박",0,IF($H480=MID(T$1,3,20),IF($I480="",1,0.6),IF($I480=MID(T$1,3,20),0.4,0)))</f>
        <v>0</v>
      </c>
      <c r="U480" s="10" t="n">
        <f aca="false">IF($H480="숙박",0,IF(ISNUMBER(SEARCH("야경",$J480)),1,0))</f>
        <v>0</v>
      </c>
      <c r="V480" s="10" t="n">
        <f aca="false">IF($H480="숙박",0,1)</f>
        <v>1</v>
      </c>
    </row>
    <row r="481" customFormat="false" ht="15" hidden="false" customHeight="false" outlineLevel="0" collapsed="false">
      <c r="A481" s="8" t="n">
        <v>480</v>
      </c>
      <c r="B481" s="8" t="s">
        <v>45</v>
      </c>
      <c r="C481" s="8" t="s">
        <v>1467</v>
      </c>
      <c r="D481" s="8" t="s">
        <v>1564</v>
      </c>
      <c r="E481" s="7" t="s">
        <v>1565</v>
      </c>
      <c r="F481" s="8"/>
      <c r="G481" s="8" t="s">
        <v>190</v>
      </c>
      <c r="H481" s="9" t="s">
        <v>190</v>
      </c>
      <c r="I481" s="9"/>
      <c r="J481" s="9"/>
      <c r="K481" s="9" t="s">
        <v>191</v>
      </c>
      <c r="L481" s="8"/>
      <c r="M481" s="8"/>
      <c r="N481" s="8"/>
      <c r="O481" s="8" t="s">
        <v>1566</v>
      </c>
      <c r="P481" s="10" t="n">
        <f aca="false">IF($H481="숙박",0,IF($H481=MID(P$1,3,20),IF($I481="",1,0.6),IF($I481=MID(P$1,3,20),0.4,0)))</f>
        <v>1</v>
      </c>
      <c r="Q481" s="10" t="n">
        <f aca="false">IF($H481="숙박",0,IF($H481=MID(Q$1,3,20),IF($I481="",1,0.6),IF($I481=MID(Q$1,3,20),0.4,0)))</f>
        <v>0</v>
      </c>
      <c r="R481" s="10" t="n">
        <f aca="false">IF($H481="숙박",0,IF($H481=MID(R$1,3,20),IF($I481="",1,0.6),IF($I481=MID(R$1,3,20),0.4,0)))</f>
        <v>0</v>
      </c>
      <c r="S481" s="10" t="n">
        <f aca="false">IF($H481="숙박",0,IF($H481=MID(S$1,3,20),IF($I481="",1,0.6),IF($I481=MID(S$1,3,20),0.4,0)))</f>
        <v>0</v>
      </c>
      <c r="T481" s="10" t="n">
        <f aca="false">IF($H481="숙박",0,IF($H481=MID(T$1,3,20),IF($I481="",1,0.6),IF($I481=MID(T$1,3,20),0.4,0)))</f>
        <v>0</v>
      </c>
      <c r="U481" s="10" t="n">
        <f aca="false">IF($H481="숙박",0,IF(ISNUMBER(SEARCH("야경",$J481)),1,0))</f>
        <v>0</v>
      </c>
      <c r="V481" s="10" t="n">
        <f aca="false">IF($H481="숙박",0,1)</f>
        <v>1</v>
      </c>
    </row>
    <row r="482" customFormat="false" ht="15" hidden="false" customHeight="false" outlineLevel="0" collapsed="false">
      <c r="A482" s="8" t="n">
        <v>481</v>
      </c>
      <c r="B482" s="8" t="s">
        <v>45</v>
      </c>
      <c r="C482" s="8" t="s">
        <v>1567</v>
      </c>
      <c r="D482" s="8" t="s">
        <v>1568</v>
      </c>
      <c r="E482" s="7" t="s">
        <v>1569</v>
      </c>
      <c r="F482" s="8"/>
      <c r="G482" s="8" t="s">
        <v>49</v>
      </c>
      <c r="H482" s="9" t="s">
        <v>49</v>
      </c>
      <c r="I482" s="9"/>
      <c r="J482" s="9"/>
      <c r="K482" s="9" t="s">
        <v>52</v>
      </c>
      <c r="L482" s="8"/>
      <c r="M482" s="8"/>
      <c r="N482" s="8"/>
      <c r="O482" s="8" t="s">
        <v>1570</v>
      </c>
      <c r="P482" s="10" t="n">
        <f aca="false">IF($H482="숙박",0,IF($H482=MID(P$1,3,20),IF($I482="",1,0.6),IF($I482=MID(P$1,3,20),0.4,0)))</f>
        <v>0</v>
      </c>
      <c r="Q482" s="10" t="n">
        <f aca="false">IF($H482="숙박",0,IF($H482=MID(Q$1,3,20),IF($I482="",1,0.6),IF($I482=MID(Q$1,3,20),0.4,0)))</f>
        <v>1</v>
      </c>
      <c r="R482" s="10" t="n">
        <f aca="false">IF($H482="숙박",0,IF($H482=MID(R$1,3,20),IF($I482="",1,0.6),IF($I482=MID(R$1,3,20),0.4,0)))</f>
        <v>0</v>
      </c>
      <c r="S482" s="10" t="n">
        <f aca="false">IF($H482="숙박",0,IF($H482=MID(S$1,3,20),IF($I482="",1,0.6),IF($I482=MID(S$1,3,20),0.4,0)))</f>
        <v>0</v>
      </c>
      <c r="T482" s="10" t="n">
        <f aca="false">IF($H482="숙박",0,IF($H482=MID(T$1,3,20),IF($I482="",1,0.6),IF($I482=MID(T$1,3,20),0.4,0)))</f>
        <v>0</v>
      </c>
      <c r="U482" s="10" t="n">
        <f aca="false">IF($H482="숙박",0,IF(ISNUMBER(SEARCH("야경",$J482)),1,0))</f>
        <v>0</v>
      </c>
      <c r="V482" s="10" t="n">
        <f aca="false">IF($H482="숙박",0,1)</f>
        <v>1</v>
      </c>
    </row>
    <row r="483" customFormat="false" ht="15" hidden="false" customHeight="false" outlineLevel="0" collapsed="false">
      <c r="A483" s="8" t="n">
        <v>482</v>
      </c>
      <c r="B483" s="8" t="s">
        <v>45</v>
      </c>
      <c r="C483" s="8" t="s">
        <v>376</v>
      </c>
      <c r="D483" s="8" t="s">
        <v>1571</v>
      </c>
      <c r="E483" s="7" t="s">
        <v>1572</v>
      </c>
      <c r="F483" s="8"/>
      <c r="G483" s="8" t="s">
        <v>50</v>
      </c>
      <c r="H483" s="9" t="s">
        <v>50</v>
      </c>
      <c r="I483" s="9"/>
      <c r="J483" s="9" t="s">
        <v>168</v>
      </c>
      <c r="K483" s="9" t="s">
        <v>52</v>
      </c>
      <c r="L483" s="8"/>
      <c r="M483" s="8"/>
      <c r="N483" s="8"/>
      <c r="O483" s="8" t="s">
        <v>1573</v>
      </c>
      <c r="P483" s="10" t="n">
        <f aca="false">IF($H483="숙박",0,IF($H483=MID(P$1,3,20),IF($I483="",1,0.6),IF($I483=MID(P$1,3,20),0.4,0)))</f>
        <v>0</v>
      </c>
      <c r="Q483" s="10" t="n">
        <f aca="false">IF($H483="숙박",0,IF($H483=MID(Q$1,3,20),IF($I483="",1,0.6),IF($I483=MID(Q$1,3,20),0.4,0)))</f>
        <v>0</v>
      </c>
      <c r="R483" s="10" t="n">
        <f aca="false">IF($H483="숙박",0,IF($H483=MID(R$1,3,20),IF($I483="",1,0.6),IF($I483=MID(R$1,3,20),0.4,0)))</f>
        <v>0</v>
      </c>
      <c r="S483" s="10" t="n">
        <f aca="false">IF($H483="숙박",0,IF($H483=MID(S$1,3,20),IF($I483="",1,0.6),IF($I483=MID(S$1,3,20),0.4,0)))</f>
        <v>0</v>
      </c>
      <c r="T483" s="10" t="n">
        <f aca="false">IF($H483="숙박",0,IF($H483=MID(T$1,3,20),IF($I483="",1,0.6),IF($I483=MID(T$1,3,20),0.4,0)))</f>
        <v>1</v>
      </c>
      <c r="U483" s="10" t="n">
        <f aca="false">IF($H483="숙박",0,IF(ISNUMBER(SEARCH("야경",$J483)),1,0))</f>
        <v>0</v>
      </c>
      <c r="V483" s="10" t="n">
        <f aca="false">IF($H483="숙박",0,1)</f>
        <v>1</v>
      </c>
    </row>
    <row r="484" customFormat="false" ht="15" hidden="false" customHeight="false" outlineLevel="0" collapsed="false">
      <c r="A484" s="8" t="n">
        <v>483</v>
      </c>
      <c r="B484" s="8" t="s">
        <v>45</v>
      </c>
      <c r="C484" s="8" t="s">
        <v>290</v>
      </c>
      <c r="D484" s="8" t="s">
        <v>1574</v>
      </c>
      <c r="E484" s="7" t="s">
        <v>1575</v>
      </c>
      <c r="F484" s="8"/>
      <c r="G484" s="8" t="s">
        <v>190</v>
      </c>
      <c r="H484" s="9" t="s">
        <v>190</v>
      </c>
      <c r="I484" s="9"/>
      <c r="J484" s="9"/>
      <c r="K484" s="9" t="s">
        <v>191</v>
      </c>
      <c r="L484" s="8"/>
      <c r="M484" s="8"/>
      <c r="N484" s="8"/>
      <c r="O484" s="8" t="s">
        <v>1576</v>
      </c>
      <c r="P484" s="10" t="n">
        <f aca="false">IF($H484="숙박",0,IF($H484=MID(P$1,3,20),IF($I484="",1,0.6),IF($I484=MID(P$1,3,20),0.4,0)))</f>
        <v>1</v>
      </c>
      <c r="Q484" s="10" t="n">
        <f aca="false">IF($H484="숙박",0,IF($H484=MID(Q$1,3,20),IF($I484="",1,0.6),IF($I484=MID(Q$1,3,20),0.4,0)))</f>
        <v>0</v>
      </c>
      <c r="R484" s="10" t="n">
        <f aca="false">IF($H484="숙박",0,IF($H484=MID(R$1,3,20),IF($I484="",1,0.6),IF($I484=MID(R$1,3,20),0.4,0)))</f>
        <v>0</v>
      </c>
      <c r="S484" s="10" t="n">
        <f aca="false">IF($H484="숙박",0,IF($H484=MID(S$1,3,20),IF($I484="",1,0.6),IF($I484=MID(S$1,3,20),0.4,0)))</f>
        <v>0</v>
      </c>
      <c r="T484" s="10" t="n">
        <f aca="false">IF($H484="숙박",0,IF($H484=MID(T$1,3,20),IF($I484="",1,0.6),IF($I484=MID(T$1,3,20),0.4,0)))</f>
        <v>0</v>
      </c>
      <c r="U484" s="10" t="n">
        <f aca="false">IF($H484="숙박",0,IF(ISNUMBER(SEARCH("야경",$J484)),1,0))</f>
        <v>0</v>
      </c>
      <c r="V484" s="10" t="n">
        <f aca="false">IF($H484="숙박",0,1)</f>
        <v>1</v>
      </c>
    </row>
    <row r="485" customFormat="false" ht="15" hidden="false" customHeight="false" outlineLevel="0" collapsed="false">
      <c r="A485" s="8" t="n">
        <v>484</v>
      </c>
      <c r="B485" s="8" t="s">
        <v>45</v>
      </c>
      <c r="C485" s="8" t="s">
        <v>579</v>
      </c>
      <c r="D485" s="8" t="s">
        <v>1577</v>
      </c>
      <c r="E485" s="7" t="s">
        <v>1578</v>
      </c>
      <c r="F485" s="8"/>
      <c r="G485" s="8" t="s">
        <v>184</v>
      </c>
      <c r="H485" s="9" t="s">
        <v>184</v>
      </c>
      <c r="I485" s="9"/>
      <c r="J485" s="9" t="s">
        <v>1361</v>
      </c>
      <c r="K485" s="9" t="s">
        <v>191</v>
      </c>
      <c r="L485" s="8"/>
      <c r="M485" s="8"/>
      <c r="N485" s="8"/>
      <c r="O485" s="7" t="s">
        <v>1579</v>
      </c>
      <c r="P485" s="10" t="n">
        <f aca="false">IF($H485="숙박",0,IF($H485=MID(P$1,3,20),IF($I485="",1,0.6),IF($I485=MID(P$1,3,20),0.4,0)))</f>
        <v>0</v>
      </c>
      <c r="Q485" s="10" t="n">
        <f aca="false">IF($H485="숙박",0,IF($H485=MID(Q$1,3,20),IF($I485="",1,0.6),IF($I485=MID(Q$1,3,20),0.4,0)))</f>
        <v>0</v>
      </c>
      <c r="R485" s="10" t="n">
        <f aca="false">IF($H485="숙박",0,IF($H485=MID(R$1,3,20),IF($I485="",1,0.6),IF($I485=MID(R$1,3,20),0.4,0)))</f>
        <v>1</v>
      </c>
      <c r="S485" s="10" t="n">
        <f aca="false">IF($H485="숙박",0,IF($H485=MID(S$1,3,20),IF($I485="",1,0.6),IF($I485=MID(S$1,3,20),0.4,0)))</f>
        <v>0</v>
      </c>
      <c r="T485" s="10" t="n">
        <f aca="false">IF($H485="숙박",0,IF($H485=MID(T$1,3,20),IF($I485="",1,0.6),IF($I485=MID(T$1,3,20),0.4,0)))</f>
        <v>0</v>
      </c>
      <c r="U485" s="10" t="n">
        <f aca="false">IF($H485="숙박",0,IF(ISNUMBER(SEARCH("야경",$J485)),1,0))</f>
        <v>0</v>
      </c>
      <c r="V485" s="10" t="n">
        <f aca="false">IF($H485="숙박",0,1)</f>
        <v>1</v>
      </c>
    </row>
    <row r="486" customFormat="false" ht="15" hidden="false" customHeight="false" outlineLevel="0" collapsed="false">
      <c r="A486" s="8" t="n">
        <v>485</v>
      </c>
      <c r="B486" s="8" t="s">
        <v>45</v>
      </c>
      <c r="C486" s="8" t="s">
        <v>579</v>
      </c>
      <c r="D486" s="8" t="s">
        <v>1580</v>
      </c>
      <c r="E486" s="7" t="s">
        <v>1581</v>
      </c>
      <c r="F486" s="8"/>
      <c r="G486" s="8" t="s">
        <v>49</v>
      </c>
      <c r="H486" s="9" t="s">
        <v>49</v>
      </c>
      <c r="I486" s="9"/>
      <c r="J486" s="9"/>
      <c r="K486" s="9" t="s">
        <v>209</v>
      </c>
      <c r="L486" s="8"/>
      <c r="M486" s="8"/>
      <c r="N486" s="8"/>
      <c r="O486" s="8" t="s">
        <v>1582</v>
      </c>
      <c r="P486" s="10" t="n">
        <f aca="false">IF($H486="숙박",0,IF($H486=MID(P$1,3,20),IF($I486="",1,0.6),IF($I486=MID(P$1,3,20),0.4,0)))</f>
        <v>0</v>
      </c>
      <c r="Q486" s="10" t="n">
        <f aca="false">IF($H486="숙박",0,IF($H486=MID(Q$1,3,20),IF($I486="",1,0.6),IF($I486=MID(Q$1,3,20),0.4,0)))</f>
        <v>1</v>
      </c>
      <c r="R486" s="10" t="n">
        <f aca="false">IF($H486="숙박",0,IF($H486=MID(R$1,3,20),IF($I486="",1,0.6),IF($I486=MID(R$1,3,20),0.4,0)))</f>
        <v>0</v>
      </c>
      <c r="S486" s="10" t="n">
        <f aca="false">IF($H486="숙박",0,IF($H486=MID(S$1,3,20),IF($I486="",1,0.6),IF($I486=MID(S$1,3,20),0.4,0)))</f>
        <v>0</v>
      </c>
      <c r="T486" s="10" t="n">
        <f aca="false">IF($H486="숙박",0,IF($H486=MID(T$1,3,20),IF($I486="",1,0.6),IF($I486=MID(T$1,3,20),0.4,0)))</f>
        <v>0</v>
      </c>
      <c r="U486" s="10" t="n">
        <f aca="false">IF($H486="숙박",0,IF(ISNUMBER(SEARCH("야경",$J486)),1,0))</f>
        <v>0</v>
      </c>
      <c r="V486" s="10" t="n">
        <f aca="false">IF($H486="숙박",0,1)</f>
        <v>1</v>
      </c>
    </row>
    <row r="487" customFormat="false" ht="15" hidden="false" customHeight="false" outlineLevel="0" collapsed="false">
      <c r="A487" s="8" t="n">
        <v>486</v>
      </c>
      <c r="B487" s="8" t="s">
        <v>45</v>
      </c>
      <c r="C487" s="8" t="s">
        <v>1343</v>
      </c>
      <c r="D487" s="8" t="s">
        <v>1583</v>
      </c>
      <c r="E487" s="7" t="s">
        <v>1584</v>
      </c>
      <c r="F487" s="8"/>
      <c r="G487" s="8" t="s">
        <v>190</v>
      </c>
      <c r="H487" s="9" t="s">
        <v>190</v>
      </c>
      <c r="I487" s="9"/>
      <c r="J487" s="9"/>
      <c r="K487" s="9" t="s">
        <v>191</v>
      </c>
      <c r="L487" s="8"/>
      <c r="M487" s="8"/>
      <c r="N487" s="8"/>
      <c r="O487" s="8" t="s">
        <v>1585</v>
      </c>
      <c r="P487" s="10" t="n">
        <f aca="false">IF($H487="숙박",0,IF($H487=MID(P$1,3,20),IF($I487="",1,0.6),IF($I487=MID(P$1,3,20),0.4,0)))</f>
        <v>1</v>
      </c>
      <c r="Q487" s="10" t="n">
        <f aca="false">IF($H487="숙박",0,IF($H487=MID(Q$1,3,20),IF($I487="",1,0.6),IF($I487=MID(Q$1,3,20),0.4,0)))</f>
        <v>0</v>
      </c>
      <c r="R487" s="10" t="n">
        <f aca="false">IF($H487="숙박",0,IF($H487=MID(R$1,3,20),IF($I487="",1,0.6),IF($I487=MID(R$1,3,20),0.4,0)))</f>
        <v>0</v>
      </c>
      <c r="S487" s="10" t="n">
        <f aca="false">IF($H487="숙박",0,IF($H487=MID(S$1,3,20),IF($I487="",1,0.6),IF($I487=MID(S$1,3,20),0.4,0)))</f>
        <v>0</v>
      </c>
      <c r="T487" s="10" t="n">
        <f aca="false">IF($H487="숙박",0,IF($H487=MID(T$1,3,20),IF($I487="",1,0.6),IF($I487=MID(T$1,3,20),0.4,0)))</f>
        <v>0</v>
      </c>
      <c r="U487" s="10" t="n">
        <f aca="false">IF($H487="숙박",0,IF(ISNUMBER(SEARCH("야경",$J487)),1,0))</f>
        <v>0</v>
      </c>
      <c r="V487" s="10" t="n">
        <f aca="false">IF($H487="숙박",0,1)</f>
        <v>1</v>
      </c>
    </row>
    <row r="488" customFormat="false" ht="15" hidden="false" customHeight="false" outlineLevel="0" collapsed="false">
      <c r="A488" s="8" t="n">
        <v>487</v>
      </c>
      <c r="B488" s="8" t="s">
        <v>45</v>
      </c>
      <c r="C488" s="8"/>
      <c r="D488" s="8" t="s">
        <v>1586</v>
      </c>
      <c r="E488" s="7" t="s">
        <v>1587</v>
      </c>
      <c r="F488" s="8"/>
      <c r="G488" s="8"/>
      <c r="H488" s="9" t="s">
        <v>594</v>
      </c>
      <c r="I488" s="9"/>
      <c r="J488" s="9"/>
      <c r="K488" s="9"/>
      <c r="L488" s="8"/>
      <c r="M488" s="8"/>
      <c r="N488" s="8" t="s">
        <v>595</v>
      </c>
      <c r="O488" s="8"/>
      <c r="P488" s="10" t="n">
        <f aca="false">IF($H488="숙박",0,IF($H488=MID(P$1,3,20),IF($I488="",1,0.6),IF($I488=MID(P$1,3,20),0.4,0)))</f>
        <v>0</v>
      </c>
      <c r="Q488" s="10" t="n">
        <f aca="false">IF($H488="숙박",0,IF($H488=MID(Q$1,3,20),IF($I488="",1,0.6),IF($I488=MID(Q$1,3,20),0.4,0)))</f>
        <v>0</v>
      </c>
      <c r="R488" s="10" t="n">
        <f aca="false">IF($H488="숙박",0,IF($H488=MID(R$1,3,20),IF($I488="",1,0.6),IF($I488=MID(R$1,3,20),0.4,0)))</f>
        <v>0</v>
      </c>
      <c r="S488" s="10" t="n">
        <f aca="false">IF($H488="숙박",0,IF($H488=MID(S$1,3,20),IF($I488="",1,0.6),IF($I488=MID(S$1,3,20),0.4,0)))</f>
        <v>0</v>
      </c>
      <c r="T488" s="10" t="n">
        <f aca="false">IF($H488="숙박",0,IF($H488=MID(T$1,3,20),IF($I488="",1,0.6),IF($I488=MID(T$1,3,20),0.4,0)))</f>
        <v>0</v>
      </c>
      <c r="U488" s="10" t="n">
        <f aca="false">IF($H488="숙박",0,IF(ISNUMBER(SEARCH("야경",$J488)),1,0))</f>
        <v>0</v>
      </c>
      <c r="V488" s="10" t="n">
        <f aca="false">IF($H488="숙박",0,1)</f>
        <v>0</v>
      </c>
    </row>
    <row r="489" customFormat="false" ht="15" hidden="false" customHeight="false" outlineLevel="0" collapsed="false">
      <c r="A489" s="8" t="n">
        <v>488</v>
      </c>
      <c r="B489" s="8" t="s">
        <v>45</v>
      </c>
      <c r="C489" s="8" t="s">
        <v>342</v>
      </c>
      <c r="D489" s="8" t="s">
        <v>1588</v>
      </c>
      <c r="E489" s="7" t="s">
        <v>1589</v>
      </c>
      <c r="F489" s="8"/>
      <c r="G489" s="8" t="s">
        <v>50</v>
      </c>
      <c r="H489" s="9" t="s">
        <v>50</v>
      </c>
      <c r="I489" s="9"/>
      <c r="J489" s="9" t="s">
        <v>168</v>
      </c>
      <c r="K489" s="9" t="s">
        <v>52</v>
      </c>
      <c r="L489" s="8"/>
      <c r="M489" s="8"/>
      <c r="N489" s="8"/>
      <c r="O489" s="8" t="s">
        <v>1590</v>
      </c>
      <c r="P489" s="10" t="n">
        <f aca="false">IF($H489="숙박",0,IF($H489=MID(P$1,3,20),IF($I489="",1,0.6),IF($I489=MID(P$1,3,20),0.4,0)))</f>
        <v>0</v>
      </c>
      <c r="Q489" s="10" t="n">
        <f aca="false">IF($H489="숙박",0,IF($H489=MID(Q$1,3,20),IF($I489="",1,0.6),IF($I489=MID(Q$1,3,20),0.4,0)))</f>
        <v>0</v>
      </c>
      <c r="R489" s="10" t="n">
        <f aca="false">IF($H489="숙박",0,IF($H489=MID(R$1,3,20),IF($I489="",1,0.6),IF($I489=MID(R$1,3,20),0.4,0)))</f>
        <v>0</v>
      </c>
      <c r="S489" s="10" t="n">
        <f aca="false">IF($H489="숙박",0,IF($H489=MID(S$1,3,20),IF($I489="",1,0.6),IF($I489=MID(S$1,3,20),0.4,0)))</f>
        <v>0</v>
      </c>
      <c r="T489" s="10" t="n">
        <f aca="false">IF($H489="숙박",0,IF($H489=MID(T$1,3,20),IF($I489="",1,0.6),IF($I489=MID(T$1,3,20),0.4,0)))</f>
        <v>1</v>
      </c>
      <c r="U489" s="10" t="n">
        <f aca="false">IF($H489="숙박",0,IF(ISNUMBER(SEARCH("야경",$J489)),1,0))</f>
        <v>0</v>
      </c>
      <c r="V489" s="10" t="n">
        <f aca="false">IF($H489="숙박",0,1)</f>
        <v>1</v>
      </c>
    </row>
    <row r="490" customFormat="false" ht="15" hidden="false" customHeight="false" outlineLevel="0" collapsed="false">
      <c r="A490" s="8" t="n">
        <v>489</v>
      </c>
      <c r="B490" s="8" t="s">
        <v>45</v>
      </c>
      <c r="C490" s="8"/>
      <c r="D490" s="8" t="s">
        <v>1591</v>
      </c>
      <c r="E490" s="7" t="s">
        <v>1592</v>
      </c>
      <c r="F490" s="8"/>
      <c r="G490" s="8"/>
      <c r="H490" s="9" t="s">
        <v>594</v>
      </c>
      <c r="I490" s="9"/>
      <c r="J490" s="9"/>
      <c r="K490" s="9"/>
      <c r="L490" s="8"/>
      <c r="M490" s="8"/>
      <c r="N490" s="8" t="s">
        <v>595</v>
      </c>
      <c r="O490" s="8"/>
      <c r="P490" s="10" t="n">
        <f aca="false">IF($H490="숙박",0,IF($H490=MID(P$1,3,20),IF($I490="",1,0.6),IF($I490=MID(P$1,3,20),0.4,0)))</f>
        <v>0</v>
      </c>
      <c r="Q490" s="10" t="n">
        <f aca="false">IF($H490="숙박",0,IF($H490=MID(Q$1,3,20),IF($I490="",1,0.6),IF($I490=MID(Q$1,3,20),0.4,0)))</f>
        <v>0</v>
      </c>
      <c r="R490" s="10" t="n">
        <f aca="false">IF($H490="숙박",0,IF($H490=MID(R$1,3,20),IF($I490="",1,0.6),IF($I490=MID(R$1,3,20),0.4,0)))</f>
        <v>0</v>
      </c>
      <c r="S490" s="10" t="n">
        <f aca="false">IF($H490="숙박",0,IF($H490=MID(S$1,3,20),IF($I490="",1,0.6),IF($I490=MID(S$1,3,20),0.4,0)))</f>
        <v>0</v>
      </c>
      <c r="T490" s="10" t="n">
        <f aca="false">IF($H490="숙박",0,IF($H490=MID(T$1,3,20),IF($I490="",1,0.6),IF($I490=MID(T$1,3,20),0.4,0)))</f>
        <v>0</v>
      </c>
      <c r="U490" s="10" t="n">
        <f aca="false">IF($H490="숙박",0,IF(ISNUMBER(SEARCH("야경",$J490)),1,0))</f>
        <v>0</v>
      </c>
      <c r="V490" s="10" t="n">
        <f aca="false">IF($H490="숙박",0,1)</f>
        <v>0</v>
      </c>
    </row>
    <row r="491" customFormat="false" ht="15" hidden="false" customHeight="false" outlineLevel="0" collapsed="false">
      <c r="A491" s="8" t="n">
        <v>490</v>
      </c>
      <c r="B491" s="8" t="s">
        <v>45</v>
      </c>
      <c r="C491" s="8" t="s">
        <v>1330</v>
      </c>
      <c r="D491" s="8" t="s">
        <v>1593</v>
      </c>
      <c r="E491" s="7" t="s">
        <v>1594</v>
      </c>
      <c r="F491" s="8"/>
      <c r="G491" s="8" t="s">
        <v>184</v>
      </c>
      <c r="H491" s="9" t="s">
        <v>184</v>
      </c>
      <c r="I491" s="9"/>
      <c r="J491" s="9" t="s">
        <v>1361</v>
      </c>
      <c r="K491" s="9" t="s">
        <v>191</v>
      </c>
      <c r="L491" s="8"/>
      <c r="M491" s="8"/>
      <c r="N491" s="8"/>
      <c r="O491" s="8" t="s">
        <v>1595</v>
      </c>
      <c r="P491" s="10" t="n">
        <f aca="false">IF($H491="숙박",0,IF($H491=MID(P$1,3,20),IF($I491="",1,0.6),IF($I491=MID(P$1,3,20),0.4,0)))</f>
        <v>0</v>
      </c>
      <c r="Q491" s="10" t="n">
        <f aca="false">IF($H491="숙박",0,IF($H491=MID(Q$1,3,20),IF($I491="",1,0.6),IF($I491=MID(Q$1,3,20),0.4,0)))</f>
        <v>0</v>
      </c>
      <c r="R491" s="10" t="n">
        <f aca="false">IF($H491="숙박",0,IF($H491=MID(R$1,3,20),IF($I491="",1,0.6),IF($I491=MID(R$1,3,20),0.4,0)))</f>
        <v>1</v>
      </c>
      <c r="S491" s="10" t="n">
        <f aca="false">IF($H491="숙박",0,IF($H491=MID(S$1,3,20),IF($I491="",1,0.6),IF($I491=MID(S$1,3,20),0.4,0)))</f>
        <v>0</v>
      </c>
      <c r="T491" s="10" t="n">
        <f aca="false">IF($H491="숙박",0,IF($H491=MID(T$1,3,20),IF($I491="",1,0.6),IF($I491=MID(T$1,3,20),0.4,0)))</f>
        <v>0</v>
      </c>
      <c r="U491" s="10" t="n">
        <f aca="false">IF($H491="숙박",0,IF(ISNUMBER(SEARCH("야경",$J491)),1,0))</f>
        <v>0</v>
      </c>
      <c r="V491" s="10" t="n">
        <f aca="false">IF($H491="숙박",0,1)</f>
        <v>1</v>
      </c>
    </row>
    <row r="492" customFormat="false" ht="15" hidden="false" customHeight="false" outlineLevel="0" collapsed="false">
      <c r="A492" s="8" t="n">
        <v>491</v>
      </c>
      <c r="B492" s="8" t="s">
        <v>45</v>
      </c>
      <c r="C492" s="8" t="s">
        <v>1596</v>
      </c>
      <c r="D492" s="8" t="s">
        <v>1597</v>
      </c>
      <c r="E492" s="7" t="s">
        <v>1598</v>
      </c>
      <c r="F492" s="8"/>
      <c r="G492" s="8" t="s">
        <v>190</v>
      </c>
      <c r="H492" s="9" t="s">
        <v>190</v>
      </c>
      <c r="I492" s="9" t="s">
        <v>49</v>
      </c>
      <c r="J492" s="9"/>
      <c r="K492" s="9" t="s">
        <v>191</v>
      </c>
      <c r="L492" s="8"/>
      <c r="M492" s="8"/>
      <c r="N492" s="8" t="s">
        <v>483</v>
      </c>
      <c r="O492" s="8" t="s">
        <v>1599</v>
      </c>
      <c r="P492" s="10" t="n">
        <f aca="false">IF($H492="숙박",0,IF($H492=MID(P$1,3,20),IF($I492="",1,0.6),IF($I492=MID(P$1,3,20),0.4,0)))</f>
        <v>0.6</v>
      </c>
      <c r="Q492" s="10" t="n">
        <f aca="false">IF($H492="숙박",0,IF($H492=MID(Q$1,3,20),IF($I492="",1,0.6),IF($I492=MID(Q$1,3,20),0.4,0)))</f>
        <v>0.4</v>
      </c>
      <c r="R492" s="10" t="n">
        <f aca="false">IF($H492="숙박",0,IF($H492=MID(R$1,3,20),IF($I492="",1,0.6),IF($I492=MID(R$1,3,20),0.4,0)))</f>
        <v>0</v>
      </c>
      <c r="S492" s="10" t="n">
        <f aca="false">IF($H492="숙박",0,IF($H492=MID(S$1,3,20),IF($I492="",1,0.6),IF($I492=MID(S$1,3,20),0.4,0)))</f>
        <v>0</v>
      </c>
      <c r="T492" s="10" t="n">
        <f aca="false">IF($H492="숙박",0,IF($H492=MID(T$1,3,20),IF($I492="",1,0.6),IF($I492=MID(T$1,3,20),0.4,0)))</f>
        <v>0</v>
      </c>
      <c r="U492" s="10" t="n">
        <f aca="false">IF($H492="숙박",0,IF(ISNUMBER(SEARCH("야경",$J492)),1,0))</f>
        <v>0</v>
      </c>
      <c r="V492" s="10" t="n">
        <f aca="false">IF($H492="숙박",0,1)</f>
        <v>1</v>
      </c>
    </row>
    <row r="493" customFormat="false" ht="15" hidden="false" customHeight="false" outlineLevel="0" collapsed="false">
      <c r="A493" s="8" t="n">
        <v>492</v>
      </c>
      <c r="B493" s="8" t="s">
        <v>45</v>
      </c>
      <c r="C493" s="8" t="s">
        <v>1600</v>
      </c>
      <c r="D493" s="8" t="s">
        <v>1601</v>
      </c>
      <c r="E493" s="7" t="s">
        <v>1602</v>
      </c>
      <c r="F493" s="8"/>
      <c r="G493" s="8" t="s">
        <v>190</v>
      </c>
      <c r="H493" s="9" t="s">
        <v>190</v>
      </c>
      <c r="I493" s="9"/>
      <c r="J493" s="9"/>
      <c r="K493" s="9" t="s">
        <v>191</v>
      </c>
      <c r="L493" s="8"/>
      <c r="M493" s="8"/>
      <c r="N493" s="8"/>
      <c r="O493" s="8" t="s">
        <v>1603</v>
      </c>
      <c r="P493" s="10" t="n">
        <f aca="false">IF($H493="숙박",0,IF($H493=MID(P$1,3,20),IF($I493="",1,0.6),IF($I493=MID(P$1,3,20),0.4,0)))</f>
        <v>1</v>
      </c>
      <c r="Q493" s="10" t="n">
        <f aca="false">IF($H493="숙박",0,IF($H493=MID(Q$1,3,20),IF($I493="",1,0.6),IF($I493=MID(Q$1,3,20),0.4,0)))</f>
        <v>0</v>
      </c>
      <c r="R493" s="10" t="n">
        <f aca="false">IF($H493="숙박",0,IF($H493=MID(R$1,3,20),IF($I493="",1,0.6),IF($I493=MID(R$1,3,20),0.4,0)))</f>
        <v>0</v>
      </c>
      <c r="S493" s="10" t="n">
        <f aca="false">IF($H493="숙박",0,IF($H493=MID(S$1,3,20),IF($I493="",1,0.6),IF($I493=MID(S$1,3,20),0.4,0)))</f>
        <v>0</v>
      </c>
      <c r="T493" s="10" t="n">
        <f aca="false">IF($H493="숙박",0,IF($H493=MID(T$1,3,20),IF($I493="",1,0.6),IF($I493=MID(T$1,3,20),0.4,0)))</f>
        <v>0</v>
      </c>
      <c r="U493" s="10" t="n">
        <f aca="false">IF($H493="숙박",0,IF(ISNUMBER(SEARCH("야경",$J493)),1,0))</f>
        <v>0</v>
      </c>
      <c r="V493" s="10" t="n">
        <f aca="false">IF($H493="숙박",0,1)</f>
        <v>1</v>
      </c>
    </row>
    <row r="494" customFormat="false" ht="15" hidden="false" customHeight="false" outlineLevel="0" collapsed="false">
      <c r="A494" s="8" t="n">
        <v>493</v>
      </c>
      <c r="B494" s="8" t="s">
        <v>45</v>
      </c>
      <c r="C494" s="8" t="s">
        <v>297</v>
      </c>
      <c r="D494" s="8" t="s">
        <v>1604</v>
      </c>
      <c r="E494" s="7" t="s">
        <v>1605</v>
      </c>
      <c r="F494" s="8"/>
      <c r="G494" s="8" t="s">
        <v>190</v>
      </c>
      <c r="H494" s="9" t="s">
        <v>190</v>
      </c>
      <c r="I494" s="9" t="s">
        <v>216</v>
      </c>
      <c r="J494" s="9"/>
      <c r="K494" s="9" t="s">
        <v>52</v>
      </c>
      <c r="L494" s="8"/>
      <c r="M494" s="8"/>
      <c r="N494" s="8" t="s">
        <v>483</v>
      </c>
      <c r="O494" s="8" t="s">
        <v>1606</v>
      </c>
      <c r="P494" s="10" t="n">
        <f aca="false">IF($H494="숙박",0,IF($H494=MID(P$1,3,20),IF($I494="",1,0.6),IF($I494=MID(P$1,3,20),0.4,0)))</f>
        <v>0.6</v>
      </c>
      <c r="Q494" s="10" t="n">
        <f aca="false">IF($H494="숙박",0,IF($H494=MID(Q$1,3,20),IF($I494="",1,0.6),IF($I494=MID(Q$1,3,20),0.4,0)))</f>
        <v>0</v>
      </c>
      <c r="R494" s="10" t="n">
        <f aca="false">IF($H494="숙박",0,IF($H494=MID(R$1,3,20),IF($I494="",1,0.6),IF($I494=MID(R$1,3,20),0.4,0)))</f>
        <v>0</v>
      </c>
      <c r="S494" s="10" t="n">
        <f aca="false">IF($H494="숙박",0,IF($H494=MID(S$1,3,20),IF($I494="",1,0.6),IF($I494=MID(S$1,3,20),0.4,0)))</f>
        <v>0.4</v>
      </c>
      <c r="T494" s="10" t="n">
        <f aca="false">IF($H494="숙박",0,IF($H494=MID(T$1,3,20),IF($I494="",1,0.6),IF($I494=MID(T$1,3,20),0.4,0)))</f>
        <v>0</v>
      </c>
      <c r="U494" s="10" t="n">
        <f aca="false">IF($H494="숙박",0,IF(ISNUMBER(SEARCH("야경",$J494)),1,0))</f>
        <v>0</v>
      </c>
      <c r="V494" s="10" t="n">
        <f aca="false">IF($H494="숙박",0,1)</f>
        <v>1</v>
      </c>
    </row>
    <row r="495" customFormat="false" ht="15" hidden="false" customHeight="false" outlineLevel="0" collapsed="false">
      <c r="A495" s="8" t="n">
        <v>494</v>
      </c>
      <c r="B495" s="8" t="s">
        <v>45</v>
      </c>
      <c r="C495" s="8" t="s">
        <v>327</v>
      </c>
      <c r="D495" s="8" t="s">
        <v>1607</v>
      </c>
      <c r="E495" s="7" t="s">
        <v>1608</v>
      </c>
      <c r="F495" s="8"/>
      <c r="G495" s="8" t="s">
        <v>49</v>
      </c>
      <c r="H495" s="9" t="s">
        <v>49</v>
      </c>
      <c r="I495" s="9"/>
      <c r="J495" s="9"/>
      <c r="K495" s="9" t="s">
        <v>52</v>
      </c>
      <c r="L495" s="8"/>
      <c r="M495" s="8"/>
      <c r="N495" s="8"/>
      <c r="O495" s="8" t="s">
        <v>1609</v>
      </c>
      <c r="P495" s="10" t="n">
        <f aca="false">IF($H495="숙박",0,IF($H495=MID(P$1,3,20),IF($I495="",1,0.6),IF($I495=MID(P$1,3,20),0.4,0)))</f>
        <v>0</v>
      </c>
      <c r="Q495" s="10" t="n">
        <f aca="false">IF($H495="숙박",0,IF($H495=MID(Q$1,3,20),IF($I495="",1,0.6),IF($I495=MID(Q$1,3,20),0.4,0)))</f>
        <v>1</v>
      </c>
      <c r="R495" s="10" t="n">
        <f aca="false">IF($H495="숙박",0,IF($H495=MID(R$1,3,20),IF($I495="",1,0.6),IF($I495=MID(R$1,3,20),0.4,0)))</f>
        <v>0</v>
      </c>
      <c r="S495" s="10" t="n">
        <f aca="false">IF($H495="숙박",0,IF($H495=MID(S$1,3,20),IF($I495="",1,0.6),IF($I495=MID(S$1,3,20),0.4,0)))</f>
        <v>0</v>
      </c>
      <c r="T495" s="10" t="n">
        <f aca="false">IF($H495="숙박",0,IF($H495=MID(T$1,3,20),IF($I495="",1,0.6),IF($I495=MID(T$1,3,20),0.4,0)))</f>
        <v>0</v>
      </c>
      <c r="U495" s="10" t="n">
        <f aca="false">IF($H495="숙박",0,IF(ISNUMBER(SEARCH("야경",$J495)),1,0))</f>
        <v>0</v>
      </c>
      <c r="V495" s="10" t="n">
        <f aca="false">IF($H495="숙박",0,1)</f>
        <v>1</v>
      </c>
    </row>
    <row r="496" customFormat="false" ht="15" hidden="false" customHeight="false" outlineLevel="0" collapsed="false">
      <c r="A496" s="8" t="n">
        <v>495</v>
      </c>
      <c r="B496" s="8" t="s">
        <v>45</v>
      </c>
      <c r="C496" s="8" t="s">
        <v>310</v>
      </c>
      <c r="D496" s="8" t="s">
        <v>1610</v>
      </c>
      <c r="E496" s="7" t="s">
        <v>1611</v>
      </c>
      <c r="F496" s="8"/>
      <c r="G496" s="8" t="s">
        <v>190</v>
      </c>
      <c r="H496" s="9" t="s">
        <v>190</v>
      </c>
      <c r="I496" s="9" t="s">
        <v>216</v>
      </c>
      <c r="J496" s="9"/>
      <c r="K496" s="9" t="s">
        <v>52</v>
      </c>
      <c r="L496" s="8"/>
      <c r="M496" s="8"/>
      <c r="N496" s="8" t="s">
        <v>483</v>
      </c>
      <c r="O496" s="8" t="s">
        <v>1612</v>
      </c>
      <c r="P496" s="10" t="n">
        <f aca="false">IF($H496="숙박",0,IF($H496=MID(P$1,3,20),IF($I496="",1,0.6),IF($I496=MID(P$1,3,20),0.4,0)))</f>
        <v>0.6</v>
      </c>
      <c r="Q496" s="10" t="n">
        <f aca="false">IF($H496="숙박",0,IF($H496=MID(Q$1,3,20),IF($I496="",1,0.6),IF($I496=MID(Q$1,3,20),0.4,0)))</f>
        <v>0</v>
      </c>
      <c r="R496" s="10" t="n">
        <f aca="false">IF($H496="숙박",0,IF($H496=MID(R$1,3,20),IF($I496="",1,0.6),IF($I496=MID(R$1,3,20),0.4,0)))</f>
        <v>0</v>
      </c>
      <c r="S496" s="10" t="n">
        <f aca="false">IF($H496="숙박",0,IF($H496=MID(S$1,3,20),IF($I496="",1,0.6),IF($I496=MID(S$1,3,20),0.4,0)))</f>
        <v>0.4</v>
      </c>
      <c r="T496" s="10" t="n">
        <f aca="false">IF($H496="숙박",0,IF($H496=MID(T$1,3,20),IF($I496="",1,0.6),IF($I496=MID(T$1,3,20),0.4,0)))</f>
        <v>0</v>
      </c>
      <c r="U496" s="10" t="n">
        <f aca="false">IF($H496="숙박",0,IF(ISNUMBER(SEARCH("야경",$J496)),1,0))</f>
        <v>0</v>
      </c>
      <c r="V496" s="10" t="n">
        <f aca="false">IF($H496="숙박",0,1)</f>
        <v>1</v>
      </c>
    </row>
    <row r="497" customFormat="false" ht="15" hidden="false" customHeight="false" outlineLevel="0" collapsed="false">
      <c r="A497" s="8" t="n">
        <v>496</v>
      </c>
      <c r="B497" s="8" t="s">
        <v>45</v>
      </c>
      <c r="C497" s="8" t="s">
        <v>1434</v>
      </c>
      <c r="D497" s="8" t="s">
        <v>1613</v>
      </c>
      <c r="E497" s="7" t="s">
        <v>1614</v>
      </c>
      <c r="F497" s="8"/>
      <c r="G497" s="8" t="s">
        <v>49</v>
      </c>
      <c r="H497" s="9" t="s">
        <v>49</v>
      </c>
      <c r="I497" s="9"/>
      <c r="J497" s="9"/>
      <c r="K497" s="9" t="s">
        <v>52</v>
      </c>
      <c r="L497" s="8"/>
      <c r="M497" s="8"/>
      <c r="N497" s="8"/>
      <c r="O497" s="8" t="s">
        <v>1615</v>
      </c>
      <c r="P497" s="10" t="n">
        <f aca="false">IF($H497="숙박",0,IF($H497=MID(P$1,3,20),IF($I497="",1,0.6),IF($I497=MID(P$1,3,20),0.4,0)))</f>
        <v>0</v>
      </c>
      <c r="Q497" s="10" t="n">
        <f aca="false">IF($H497="숙박",0,IF($H497=MID(Q$1,3,20),IF($I497="",1,0.6),IF($I497=MID(Q$1,3,20),0.4,0)))</f>
        <v>1</v>
      </c>
      <c r="R497" s="10" t="n">
        <f aca="false">IF($H497="숙박",0,IF($H497=MID(R$1,3,20),IF($I497="",1,0.6),IF($I497=MID(R$1,3,20),0.4,0)))</f>
        <v>0</v>
      </c>
      <c r="S497" s="10" t="n">
        <f aca="false">IF($H497="숙박",0,IF($H497=MID(S$1,3,20),IF($I497="",1,0.6),IF($I497=MID(S$1,3,20),0.4,0)))</f>
        <v>0</v>
      </c>
      <c r="T497" s="10" t="n">
        <f aca="false">IF($H497="숙박",0,IF($H497=MID(T$1,3,20),IF($I497="",1,0.6),IF($I497=MID(T$1,3,20),0.4,0)))</f>
        <v>0</v>
      </c>
      <c r="U497" s="10" t="n">
        <f aca="false">IF($H497="숙박",0,IF(ISNUMBER(SEARCH("야경",$J497)),1,0))</f>
        <v>0</v>
      </c>
      <c r="V497" s="10" t="n">
        <f aca="false">IF($H497="숙박",0,1)</f>
        <v>1</v>
      </c>
    </row>
    <row r="498" customFormat="false" ht="15" hidden="false" customHeight="false" outlineLevel="0" collapsed="false">
      <c r="A498" s="8" t="n">
        <v>497</v>
      </c>
      <c r="B498" s="8" t="s">
        <v>45</v>
      </c>
      <c r="C498" s="8"/>
      <c r="D498" s="8" t="s">
        <v>1616</v>
      </c>
      <c r="E498" s="7" t="s">
        <v>1617</v>
      </c>
      <c r="F498" s="8"/>
      <c r="G498" s="8"/>
      <c r="H498" s="9" t="s">
        <v>594</v>
      </c>
      <c r="I498" s="9"/>
      <c r="J498" s="9"/>
      <c r="K498" s="9"/>
      <c r="L498" s="8"/>
      <c r="M498" s="8"/>
      <c r="N498" s="8" t="s">
        <v>595</v>
      </c>
      <c r="O498" s="8"/>
      <c r="P498" s="10" t="n">
        <f aca="false">IF($H498="숙박",0,IF($H498=MID(P$1,3,20),IF($I498="",1,0.6),IF($I498=MID(P$1,3,20),0.4,0)))</f>
        <v>0</v>
      </c>
      <c r="Q498" s="10" t="n">
        <f aca="false">IF($H498="숙박",0,IF($H498=MID(Q$1,3,20),IF($I498="",1,0.6),IF($I498=MID(Q$1,3,20),0.4,0)))</f>
        <v>0</v>
      </c>
      <c r="R498" s="10" t="n">
        <f aca="false">IF($H498="숙박",0,IF($H498=MID(R$1,3,20),IF($I498="",1,0.6),IF($I498=MID(R$1,3,20),0.4,0)))</f>
        <v>0</v>
      </c>
      <c r="S498" s="10" t="n">
        <f aca="false">IF($H498="숙박",0,IF($H498=MID(S$1,3,20),IF($I498="",1,0.6),IF($I498=MID(S$1,3,20),0.4,0)))</f>
        <v>0</v>
      </c>
      <c r="T498" s="10" t="n">
        <f aca="false">IF($H498="숙박",0,IF($H498=MID(T$1,3,20),IF($I498="",1,0.6),IF($I498=MID(T$1,3,20),0.4,0)))</f>
        <v>0</v>
      </c>
      <c r="U498" s="10" t="n">
        <f aca="false">IF($H498="숙박",0,IF(ISNUMBER(SEARCH("야경",$J498)),1,0))</f>
        <v>0</v>
      </c>
      <c r="V498" s="10" t="n">
        <f aca="false">IF($H498="숙박",0,1)</f>
        <v>0</v>
      </c>
    </row>
    <row r="499" customFormat="false" ht="15" hidden="false" customHeight="false" outlineLevel="0" collapsed="false">
      <c r="A499" s="8" t="n">
        <v>498</v>
      </c>
      <c r="B499" s="8" t="s">
        <v>45</v>
      </c>
      <c r="C499" s="8" t="s">
        <v>1618</v>
      </c>
      <c r="D499" s="8" t="s">
        <v>1619</v>
      </c>
      <c r="E499" s="7" t="s">
        <v>1620</v>
      </c>
      <c r="F499" s="8"/>
      <c r="G499" s="8" t="s">
        <v>49</v>
      </c>
      <c r="H499" s="9" t="s">
        <v>49</v>
      </c>
      <c r="I499" s="9"/>
      <c r="J499" s="9"/>
      <c r="K499" s="9" t="s">
        <v>52</v>
      </c>
      <c r="L499" s="8"/>
      <c r="M499" s="8"/>
      <c r="N499" s="8"/>
      <c r="O499" s="8" t="s">
        <v>1621</v>
      </c>
      <c r="P499" s="10" t="n">
        <f aca="false">IF($H499="숙박",0,IF($H499=MID(P$1,3,20),IF($I499="",1,0.6),IF($I499=MID(P$1,3,20),0.4,0)))</f>
        <v>0</v>
      </c>
      <c r="Q499" s="10" t="n">
        <f aca="false">IF($H499="숙박",0,IF($H499=MID(Q$1,3,20),IF($I499="",1,0.6),IF($I499=MID(Q$1,3,20),0.4,0)))</f>
        <v>1</v>
      </c>
      <c r="R499" s="10" t="n">
        <f aca="false">IF($H499="숙박",0,IF($H499=MID(R$1,3,20),IF($I499="",1,0.6),IF($I499=MID(R$1,3,20),0.4,0)))</f>
        <v>0</v>
      </c>
      <c r="S499" s="10" t="n">
        <f aca="false">IF($H499="숙박",0,IF($H499=MID(S$1,3,20),IF($I499="",1,0.6),IF($I499=MID(S$1,3,20),0.4,0)))</f>
        <v>0</v>
      </c>
      <c r="T499" s="10" t="n">
        <f aca="false">IF($H499="숙박",0,IF($H499=MID(T$1,3,20),IF($I499="",1,0.6),IF($I499=MID(T$1,3,20),0.4,0)))</f>
        <v>0</v>
      </c>
      <c r="U499" s="10" t="n">
        <f aca="false">IF($H499="숙박",0,IF(ISNUMBER(SEARCH("야경",$J499)),1,0))</f>
        <v>0</v>
      </c>
      <c r="V499" s="10" t="n">
        <f aca="false">IF($H499="숙박",0,1)</f>
        <v>1</v>
      </c>
    </row>
    <row r="500" customFormat="false" ht="15" hidden="false" customHeight="false" outlineLevel="0" collapsed="false">
      <c r="A500" s="8" t="n">
        <v>499</v>
      </c>
      <c r="B500" s="8" t="s">
        <v>45</v>
      </c>
      <c r="C500" s="8"/>
      <c r="D500" s="8" t="s">
        <v>1622</v>
      </c>
      <c r="E500" s="7" t="s">
        <v>1623</v>
      </c>
      <c r="F500" s="8"/>
      <c r="G500" s="8"/>
      <c r="H500" s="9" t="s">
        <v>594</v>
      </c>
      <c r="I500" s="9"/>
      <c r="J500" s="9"/>
      <c r="K500" s="9"/>
      <c r="L500" s="8"/>
      <c r="M500" s="8"/>
      <c r="N500" s="8" t="s">
        <v>595</v>
      </c>
      <c r="O500" s="8"/>
      <c r="P500" s="10" t="n">
        <f aca="false">IF($H500="숙박",0,IF($H500=MID(P$1,3,20),IF($I500="",1,0.6),IF($I500=MID(P$1,3,20),0.4,0)))</f>
        <v>0</v>
      </c>
      <c r="Q500" s="10" t="n">
        <f aca="false">IF($H500="숙박",0,IF($H500=MID(Q$1,3,20),IF($I500="",1,0.6),IF($I500=MID(Q$1,3,20),0.4,0)))</f>
        <v>0</v>
      </c>
      <c r="R500" s="10" t="n">
        <f aca="false">IF($H500="숙박",0,IF($H500=MID(R$1,3,20),IF($I500="",1,0.6),IF($I500=MID(R$1,3,20),0.4,0)))</f>
        <v>0</v>
      </c>
      <c r="S500" s="10" t="n">
        <f aca="false">IF($H500="숙박",0,IF($H500=MID(S$1,3,20),IF($I500="",1,0.6),IF($I500=MID(S$1,3,20),0.4,0)))</f>
        <v>0</v>
      </c>
      <c r="T500" s="10" t="n">
        <f aca="false">IF($H500="숙박",0,IF($H500=MID(T$1,3,20),IF($I500="",1,0.6),IF($I500=MID(T$1,3,20),0.4,0)))</f>
        <v>0</v>
      </c>
      <c r="U500" s="10" t="n">
        <f aca="false">IF($H500="숙박",0,IF(ISNUMBER(SEARCH("야경",$J500)),1,0))</f>
        <v>0</v>
      </c>
      <c r="V500" s="10" t="n">
        <f aca="false">IF($H500="숙박",0,1)</f>
        <v>0</v>
      </c>
    </row>
    <row r="501" customFormat="false" ht="15" hidden="false" customHeight="false" outlineLevel="0" collapsed="false">
      <c r="A501" s="8" t="n">
        <v>500</v>
      </c>
      <c r="B501" s="8" t="s">
        <v>45</v>
      </c>
      <c r="C501" s="8" t="s">
        <v>1330</v>
      </c>
      <c r="D501" s="8" t="s">
        <v>1624</v>
      </c>
      <c r="E501" s="7" t="s">
        <v>1625</v>
      </c>
      <c r="F501" s="8"/>
      <c r="G501" s="8" t="s">
        <v>190</v>
      </c>
      <c r="H501" s="9" t="s">
        <v>190</v>
      </c>
      <c r="I501" s="9"/>
      <c r="J501" s="9"/>
      <c r="K501" s="9" t="s">
        <v>191</v>
      </c>
      <c r="L501" s="8"/>
      <c r="M501" s="8"/>
      <c r="N501" s="8"/>
      <c r="O501" s="7" t="s">
        <v>1626</v>
      </c>
      <c r="P501" s="10" t="n">
        <f aca="false">IF($H501="숙박",0,IF($H501=MID(P$1,3,20),IF($I501="",1,0.6),IF($I501=MID(P$1,3,20),0.4,0)))</f>
        <v>1</v>
      </c>
      <c r="Q501" s="10" t="n">
        <f aca="false">IF($H501="숙박",0,IF($H501=MID(Q$1,3,20),IF($I501="",1,0.6),IF($I501=MID(Q$1,3,20),0.4,0)))</f>
        <v>0</v>
      </c>
      <c r="R501" s="10" t="n">
        <f aca="false">IF($H501="숙박",0,IF($H501=MID(R$1,3,20),IF($I501="",1,0.6),IF($I501=MID(R$1,3,20),0.4,0)))</f>
        <v>0</v>
      </c>
      <c r="S501" s="10" t="n">
        <f aca="false">IF($H501="숙박",0,IF($H501=MID(S$1,3,20),IF($I501="",1,0.6),IF($I501=MID(S$1,3,20),0.4,0)))</f>
        <v>0</v>
      </c>
      <c r="T501" s="10" t="n">
        <f aca="false">IF($H501="숙박",0,IF($H501=MID(T$1,3,20),IF($I501="",1,0.6),IF($I501=MID(T$1,3,20),0.4,0)))</f>
        <v>0</v>
      </c>
      <c r="U501" s="10" t="n">
        <f aca="false">IF($H501="숙박",0,IF(ISNUMBER(SEARCH("야경",$J501)),1,0))</f>
        <v>0</v>
      </c>
      <c r="V501" s="10" t="n">
        <f aca="false">IF($H501="숙박",0,1)</f>
        <v>1</v>
      </c>
    </row>
    <row r="502" customFormat="false" ht="15" hidden="false" customHeight="false" outlineLevel="0" collapsed="false">
      <c r="A502" s="8" t="n">
        <v>501</v>
      </c>
      <c r="B502" s="8" t="s">
        <v>45</v>
      </c>
      <c r="C502" s="8" t="s">
        <v>342</v>
      </c>
      <c r="D502" s="8" t="s">
        <v>1627</v>
      </c>
      <c r="E502" s="7" t="s">
        <v>1628</v>
      </c>
      <c r="F502" s="8"/>
      <c r="G502" s="8" t="s">
        <v>190</v>
      </c>
      <c r="H502" s="9" t="s">
        <v>190</v>
      </c>
      <c r="I502" s="9"/>
      <c r="J502" s="9"/>
      <c r="K502" s="9" t="s">
        <v>191</v>
      </c>
      <c r="L502" s="8"/>
      <c r="M502" s="8"/>
      <c r="N502" s="8"/>
      <c r="O502" s="7" t="s">
        <v>1629</v>
      </c>
      <c r="P502" s="10" t="n">
        <f aca="false">IF($H502="숙박",0,IF($H502=MID(P$1,3,20),IF($I502="",1,0.6),IF($I502=MID(P$1,3,20),0.4,0)))</f>
        <v>1</v>
      </c>
      <c r="Q502" s="10" t="n">
        <f aca="false">IF($H502="숙박",0,IF($H502=MID(Q$1,3,20),IF($I502="",1,0.6),IF($I502=MID(Q$1,3,20),0.4,0)))</f>
        <v>0</v>
      </c>
      <c r="R502" s="10" t="n">
        <f aca="false">IF($H502="숙박",0,IF($H502=MID(R$1,3,20),IF($I502="",1,0.6),IF($I502=MID(R$1,3,20),0.4,0)))</f>
        <v>0</v>
      </c>
      <c r="S502" s="10" t="n">
        <f aca="false">IF($H502="숙박",0,IF($H502=MID(S$1,3,20),IF($I502="",1,0.6),IF($I502=MID(S$1,3,20),0.4,0)))</f>
        <v>0</v>
      </c>
      <c r="T502" s="10" t="n">
        <f aca="false">IF($H502="숙박",0,IF($H502=MID(T$1,3,20),IF($I502="",1,0.6),IF($I502=MID(T$1,3,20),0.4,0)))</f>
        <v>0</v>
      </c>
      <c r="U502" s="10" t="n">
        <f aca="false">IF($H502="숙박",0,IF(ISNUMBER(SEARCH("야경",$J502)),1,0))</f>
        <v>0</v>
      </c>
      <c r="V502" s="10" t="n">
        <f aca="false">IF($H502="숙박",0,1)</f>
        <v>1</v>
      </c>
    </row>
    <row r="503" customFormat="false" ht="15" hidden="false" customHeight="false" outlineLevel="0" collapsed="false">
      <c r="A503" s="8" t="n">
        <v>502</v>
      </c>
      <c r="B503" s="8" t="s">
        <v>45</v>
      </c>
      <c r="C503" s="8" t="s">
        <v>1467</v>
      </c>
      <c r="D503" s="8" t="s">
        <v>1630</v>
      </c>
      <c r="E503" s="7" t="s">
        <v>1631</v>
      </c>
      <c r="F503" s="8"/>
      <c r="G503" s="8" t="s">
        <v>190</v>
      </c>
      <c r="H503" s="9" t="s">
        <v>190</v>
      </c>
      <c r="I503" s="9"/>
      <c r="J503" s="9" t="s">
        <v>1361</v>
      </c>
      <c r="K503" s="9" t="s">
        <v>191</v>
      </c>
      <c r="L503" s="8"/>
      <c r="M503" s="8"/>
      <c r="N503" s="8"/>
      <c r="O503" s="8" t="s">
        <v>1632</v>
      </c>
      <c r="P503" s="10" t="n">
        <f aca="false">IF($H503="숙박",0,IF($H503=MID(P$1,3,20),IF($I503="",1,0.6),IF($I503=MID(P$1,3,20),0.4,0)))</f>
        <v>1</v>
      </c>
      <c r="Q503" s="10" t="n">
        <f aca="false">IF($H503="숙박",0,IF($H503=MID(Q$1,3,20),IF($I503="",1,0.6),IF($I503=MID(Q$1,3,20),0.4,0)))</f>
        <v>0</v>
      </c>
      <c r="R503" s="10" t="n">
        <f aca="false">IF($H503="숙박",0,IF($H503=MID(R$1,3,20),IF($I503="",1,0.6),IF($I503=MID(R$1,3,20),0.4,0)))</f>
        <v>0</v>
      </c>
      <c r="S503" s="10" t="n">
        <f aca="false">IF($H503="숙박",0,IF($H503=MID(S$1,3,20),IF($I503="",1,0.6),IF($I503=MID(S$1,3,20),0.4,0)))</f>
        <v>0</v>
      </c>
      <c r="T503" s="10" t="n">
        <f aca="false">IF($H503="숙박",0,IF($H503=MID(T$1,3,20),IF($I503="",1,0.6),IF($I503=MID(T$1,3,20),0.4,0)))</f>
        <v>0</v>
      </c>
      <c r="U503" s="10" t="n">
        <f aca="false">IF($H503="숙박",0,IF(ISNUMBER(SEARCH("야경",$J503)),1,0))</f>
        <v>0</v>
      </c>
      <c r="V503" s="10" t="n">
        <f aca="false">IF($H503="숙박",0,1)</f>
        <v>1</v>
      </c>
    </row>
    <row r="504" customFormat="false" ht="15" hidden="false" customHeight="false" outlineLevel="0" collapsed="false">
      <c r="A504" s="8" t="n">
        <v>503</v>
      </c>
      <c r="B504" s="8" t="s">
        <v>45</v>
      </c>
      <c r="C504" s="8" t="s">
        <v>1336</v>
      </c>
      <c r="D504" s="8" t="s">
        <v>1633</v>
      </c>
      <c r="E504" s="7" t="s">
        <v>1634</v>
      </c>
      <c r="F504" s="8"/>
      <c r="G504" s="8" t="s">
        <v>190</v>
      </c>
      <c r="H504" s="9" t="s">
        <v>190</v>
      </c>
      <c r="I504" s="9"/>
      <c r="J504" s="9" t="s">
        <v>1361</v>
      </c>
      <c r="K504" s="9" t="s">
        <v>191</v>
      </c>
      <c r="L504" s="8"/>
      <c r="M504" s="8"/>
      <c r="N504" s="8"/>
      <c r="O504" s="8" t="s">
        <v>1635</v>
      </c>
      <c r="P504" s="10" t="n">
        <f aca="false">IF($H504="숙박",0,IF($H504=MID(P$1,3,20),IF($I504="",1,0.6),IF($I504=MID(P$1,3,20),0.4,0)))</f>
        <v>1</v>
      </c>
      <c r="Q504" s="10" t="n">
        <f aca="false">IF($H504="숙박",0,IF($H504=MID(Q$1,3,20),IF($I504="",1,0.6),IF($I504=MID(Q$1,3,20),0.4,0)))</f>
        <v>0</v>
      </c>
      <c r="R504" s="10" t="n">
        <f aca="false">IF($H504="숙박",0,IF($H504=MID(R$1,3,20),IF($I504="",1,0.6),IF($I504=MID(R$1,3,20),0.4,0)))</f>
        <v>0</v>
      </c>
      <c r="S504" s="10" t="n">
        <f aca="false">IF($H504="숙박",0,IF($H504=MID(S$1,3,20),IF($I504="",1,0.6),IF($I504=MID(S$1,3,20),0.4,0)))</f>
        <v>0</v>
      </c>
      <c r="T504" s="10" t="n">
        <f aca="false">IF($H504="숙박",0,IF($H504=MID(T$1,3,20),IF($I504="",1,0.6),IF($I504=MID(T$1,3,20),0.4,0)))</f>
        <v>0</v>
      </c>
      <c r="U504" s="10" t="n">
        <f aca="false">IF($H504="숙박",0,IF(ISNUMBER(SEARCH("야경",$J504)),1,0))</f>
        <v>0</v>
      </c>
      <c r="V504" s="10" t="n">
        <f aca="false">IF($H504="숙박",0,1)</f>
        <v>1</v>
      </c>
    </row>
    <row r="505" customFormat="false" ht="15" hidden="false" customHeight="false" outlineLevel="0" collapsed="false">
      <c r="A505" s="8" t="n">
        <v>504</v>
      </c>
      <c r="B505" s="8" t="s">
        <v>45</v>
      </c>
      <c r="C505" s="8" t="s">
        <v>1636</v>
      </c>
      <c r="D505" s="8" t="s">
        <v>1637</v>
      </c>
      <c r="E505" s="7" t="s">
        <v>1638</v>
      </c>
      <c r="F505" s="8"/>
      <c r="G505" s="8" t="s">
        <v>190</v>
      </c>
      <c r="H505" s="9" t="s">
        <v>190</v>
      </c>
      <c r="I505" s="9"/>
      <c r="J505" s="9" t="s">
        <v>1361</v>
      </c>
      <c r="K505" s="9" t="s">
        <v>191</v>
      </c>
      <c r="L505" s="8"/>
      <c r="M505" s="8"/>
      <c r="N505" s="8"/>
      <c r="O505" s="8" t="s">
        <v>1639</v>
      </c>
      <c r="P505" s="10" t="n">
        <f aca="false">IF($H505="숙박",0,IF($H505=MID(P$1,3,20),IF($I505="",1,0.6),IF($I505=MID(P$1,3,20),0.4,0)))</f>
        <v>1</v>
      </c>
      <c r="Q505" s="10" t="n">
        <f aca="false">IF($H505="숙박",0,IF($H505=MID(Q$1,3,20),IF($I505="",1,0.6),IF($I505=MID(Q$1,3,20),0.4,0)))</f>
        <v>0</v>
      </c>
      <c r="R505" s="10" t="n">
        <f aca="false">IF($H505="숙박",0,IF($H505=MID(R$1,3,20),IF($I505="",1,0.6),IF($I505=MID(R$1,3,20),0.4,0)))</f>
        <v>0</v>
      </c>
      <c r="S505" s="10" t="n">
        <f aca="false">IF($H505="숙박",0,IF($H505=MID(S$1,3,20),IF($I505="",1,0.6),IF($I505=MID(S$1,3,20),0.4,0)))</f>
        <v>0</v>
      </c>
      <c r="T505" s="10" t="n">
        <f aca="false">IF($H505="숙박",0,IF($H505=MID(T$1,3,20),IF($I505="",1,0.6),IF($I505=MID(T$1,3,20),0.4,0)))</f>
        <v>0</v>
      </c>
      <c r="U505" s="10" t="n">
        <f aca="false">IF($H505="숙박",0,IF(ISNUMBER(SEARCH("야경",$J505)),1,0))</f>
        <v>0</v>
      </c>
      <c r="V505" s="10" t="n">
        <f aca="false">IF($H505="숙박",0,1)</f>
        <v>1</v>
      </c>
    </row>
    <row r="506" customFormat="false" ht="15" hidden="false" customHeight="false" outlineLevel="0" collapsed="false">
      <c r="A506" s="8" t="n">
        <v>505</v>
      </c>
      <c r="B506" s="8" t="s">
        <v>45</v>
      </c>
      <c r="C506" s="8" t="s">
        <v>1640</v>
      </c>
      <c r="D506" s="8" t="s">
        <v>1641</v>
      </c>
      <c r="E506" s="7" t="s">
        <v>1642</v>
      </c>
      <c r="F506" s="8"/>
      <c r="G506" s="8" t="s">
        <v>190</v>
      </c>
      <c r="H506" s="9" t="s">
        <v>190</v>
      </c>
      <c r="I506" s="9"/>
      <c r="J506" s="9" t="s">
        <v>1361</v>
      </c>
      <c r="K506" s="9" t="s">
        <v>191</v>
      </c>
      <c r="L506" s="8"/>
      <c r="M506" s="8"/>
      <c r="N506" s="8"/>
      <c r="O506" s="8" t="s">
        <v>1643</v>
      </c>
      <c r="P506" s="10" t="n">
        <f aca="false">IF($H506="숙박",0,IF($H506=MID(P$1,3,20),IF($I506="",1,0.6),IF($I506=MID(P$1,3,20),0.4,0)))</f>
        <v>1</v>
      </c>
      <c r="Q506" s="10" t="n">
        <f aca="false">IF($H506="숙박",0,IF($H506=MID(Q$1,3,20),IF($I506="",1,0.6),IF($I506=MID(Q$1,3,20),0.4,0)))</f>
        <v>0</v>
      </c>
      <c r="R506" s="10" t="n">
        <f aca="false">IF($H506="숙박",0,IF($H506=MID(R$1,3,20),IF($I506="",1,0.6),IF($I506=MID(R$1,3,20),0.4,0)))</f>
        <v>0</v>
      </c>
      <c r="S506" s="10" t="n">
        <f aca="false">IF($H506="숙박",0,IF($H506=MID(S$1,3,20),IF($I506="",1,0.6),IF($I506=MID(S$1,3,20),0.4,0)))</f>
        <v>0</v>
      </c>
      <c r="T506" s="10" t="n">
        <f aca="false">IF($H506="숙박",0,IF($H506=MID(T$1,3,20),IF($I506="",1,0.6),IF($I506=MID(T$1,3,20),0.4,0)))</f>
        <v>0</v>
      </c>
      <c r="U506" s="10" t="n">
        <f aca="false">IF($H506="숙박",0,IF(ISNUMBER(SEARCH("야경",$J506)),1,0))</f>
        <v>0</v>
      </c>
      <c r="V506" s="10" t="n">
        <f aca="false">IF($H506="숙박",0,1)</f>
        <v>1</v>
      </c>
    </row>
    <row r="507" customFormat="false" ht="15" hidden="false" customHeight="false" outlineLevel="0" collapsed="false">
      <c r="A507" s="8" t="n">
        <v>506</v>
      </c>
      <c r="B507" s="8" t="s">
        <v>45</v>
      </c>
      <c r="C507" s="8" t="s">
        <v>428</v>
      </c>
      <c r="D507" s="8" t="s">
        <v>1644</v>
      </c>
      <c r="E507" s="7" t="s">
        <v>1645</v>
      </c>
      <c r="F507" s="8"/>
      <c r="G507" s="8" t="s">
        <v>49</v>
      </c>
      <c r="H507" s="9" t="s">
        <v>49</v>
      </c>
      <c r="I507" s="9"/>
      <c r="J507" s="9" t="s">
        <v>1361</v>
      </c>
      <c r="K507" s="9" t="s">
        <v>52</v>
      </c>
      <c r="L507" s="8"/>
      <c r="M507" s="8"/>
      <c r="N507" s="8"/>
      <c r="O507" s="8" t="s">
        <v>1646</v>
      </c>
      <c r="P507" s="10" t="n">
        <f aca="false">IF($H507="숙박",0,IF($H507=MID(P$1,3,20),IF($I507="",1,0.6),IF($I507=MID(P$1,3,20),0.4,0)))</f>
        <v>0</v>
      </c>
      <c r="Q507" s="10" t="n">
        <f aca="false">IF($H507="숙박",0,IF($H507=MID(Q$1,3,20),IF($I507="",1,0.6),IF($I507=MID(Q$1,3,20),0.4,0)))</f>
        <v>1</v>
      </c>
      <c r="R507" s="10" t="n">
        <f aca="false">IF($H507="숙박",0,IF($H507=MID(R$1,3,20),IF($I507="",1,0.6),IF($I507=MID(R$1,3,20),0.4,0)))</f>
        <v>0</v>
      </c>
      <c r="S507" s="10" t="n">
        <f aca="false">IF($H507="숙박",0,IF($H507=MID(S$1,3,20),IF($I507="",1,0.6),IF($I507=MID(S$1,3,20),0.4,0)))</f>
        <v>0</v>
      </c>
      <c r="T507" s="10" t="n">
        <f aca="false">IF($H507="숙박",0,IF($H507=MID(T$1,3,20),IF($I507="",1,0.6),IF($I507=MID(T$1,3,20),0.4,0)))</f>
        <v>0</v>
      </c>
      <c r="U507" s="10" t="n">
        <f aca="false">IF($H507="숙박",0,IF(ISNUMBER(SEARCH("야경",$J507)),1,0))</f>
        <v>0</v>
      </c>
      <c r="V507" s="10" t="n">
        <f aca="false">IF($H507="숙박",0,1)</f>
        <v>1</v>
      </c>
    </row>
    <row r="508" customFormat="false" ht="15" hidden="false" customHeight="false" outlineLevel="0" collapsed="false">
      <c r="A508" s="8" t="n">
        <v>507</v>
      </c>
      <c r="B508" s="8" t="s">
        <v>45</v>
      </c>
      <c r="C508" s="8"/>
      <c r="D508" s="8" t="s">
        <v>1647</v>
      </c>
      <c r="E508" s="7" t="s">
        <v>1648</v>
      </c>
      <c r="F508" s="8"/>
      <c r="G508" s="8"/>
      <c r="H508" s="9" t="s">
        <v>594</v>
      </c>
      <c r="I508" s="9"/>
      <c r="J508" s="9"/>
      <c r="K508" s="9"/>
      <c r="L508" s="8"/>
      <c r="M508" s="8"/>
      <c r="N508" s="8" t="s">
        <v>595</v>
      </c>
      <c r="O508" s="8"/>
      <c r="P508" s="10" t="n">
        <f aca="false">IF($H508="숙박",0,IF($H508=MID(P$1,3,20),IF($I508="",1,0.6),IF($I508=MID(P$1,3,20),0.4,0)))</f>
        <v>0</v>
      </c>
      <c r="Q508" s="10" t="n">
        <f aca="false">IF($H508="숙박",0,IF($H508=MID(Q$1,3,20),IF($I508="",1,0.6),IF($I508=MID(Q$1,3,20),0.4,0)))</f>
        <v>0</v>
      </c>
      <c r="R508" s="10" t="n">
        <f aca="false">IF($H508="숙박",0,IF($H508=MID(R$1,3,20),IF($I508="",1,0.6),IF($I508=MID(R$1,3,20),0.4,0)))</f>
        <v>0</v>
      </c>
      <c r="S508" s="10" t="n">
        <f aca="false">IF($H508="숙박",0,IF($H508=MID(S$1,3,20),IF($I508="",1,0.6),IF($I508=MID(S$1,3,20),0.4,0)))</f>
        <v>0</v>
      </c>
      <c r="T508" s="10" t="n">
        <f aca="false">IF($H508="숙박",0,IF($H508=MID(T$1,3,20),IF($I508="",1,0.6),IF($I508=MID(T$1,3,20),0.4,0)))</f>
        <v>0</v>
      </c>
      <c r="U508" s="10" t="n">
        <f aca="false">IF($H508="숙박",0,IF(ISNUMBER(SEARCH("야경",$J508)),1,0))</f>
        <v>0</v>
      </c>
      <c r="V508" s="10" t="n">
        <f aca="false">IF($H508="숙박",0,1)</f>
        <v>0</v>
      </c>
    </row>
    <row r="509" customFormat="false" ht="15" hidden="false" customHeight="false" outlineLevel="0" collapsed="false">
      <c r="A509" s="8" t="n">
        <v>508</v>
      </c>
      <c r="B509" s="8" t="s">
        <v>45</v>
      </c>
      <c r="C509" s="8" t="s">
        <v>384</v>
      </c>
      <c r="D509" s="8" t="s">
        <v>1649</v>
      </c>
      <c r="E509" s="7" t="s">
        <v>1650</v>
      </c>
      <c r="F509" s="8"/>
      <c r="G509" s="8" t="s">
        <v>49</v>
      </c>
      <c r="H509" s="9" t="s">
        <v>49</v>
      </c>
      <c r="I509" s="9"/>
      <c r="J509" s="9"/>
      <c r="K509" s="9" t="s">
        <v>52</v>
      </c>
      <c r="L509" s="8"/>
      <c r="M509" s="8"/>
      <c r="N509" s="8"/>
      <c r="O509" s="8" t="s">
        <v>1651</v>
      </c>
      <c r="P509" s="10" t="n">
        <f aca="false">IF($H509="숙박",0,IF($H509=MID(P$1,3,20),IF($I509="",1,0.6),IF($I509=MID(P$1,3,20),0.4,0)))</f>
        <v>0</v>
      </c>
      <c r="Q509" s="10" t="n">
        <f aca="false">IF($H509="숙박",0,IF($H509=MID(Q$1,3,20),IF($I509="",1,0.6),IF($I509=MID(Q$1,3,20),0.4,0)))</f>
        <v>1</v>
      </c>
      <c r="R509" s="10" t="n">
        <f aca="false">IF($H509="숙박",0,IF($H509=MID(R$1,3,20),IF($I509="",1,0.6),IF($I509=MID(R$1,3,20),0.4,0)))</f>
        <v>0</v>
      </c>
      <c r="S509" s="10" t="n">
        <f aca="false">IF($H509="숙박",0,IF($H509=MID(S$1,3,20),IF($I509="",1,0.6),IF($I509=MID(S$1,3,20),0.4,0)))</f>
        <v>0</v>
      </c>
      <c r="T509" s="10" t="n">
        <f aca="false">IF($H509="숙박",0,IF($H509=MID(T$1,3,20),IF($I509="",1,0.6),IF($I509=MID(T$1,3,20),0.4,0)))</f>
        <v>0</v>
      </c>
      <c r="U509" s="10" t="n">
        <f aca="false">IF($H509="숙박",0,IF(ISNUMBER(SEARCH("야경",$J509)),1,0))</f>
        <v>0</v>
      </c>
      <c r="V509" s="10" t="n">
        <f aca="false">IF($H509="숙박",0,1)</f>
        <v>1</v>
      </c>
    </row>
    <row r="510" customFormat="false" ht="15" hidden="false" customHeight="false" outlineLevel="0" collapsed="false">
      <c r="A510" s="8" t="n">
        <v>509</v>
      </c>
      <c r="B510" s="8" t="s">
        <v>45</v>
      </c>
      <c r="C510" s="8" t="s">
        <v>1652</v>
      </c>
      <c r="D510" s="8" t="s">
        <v>1653</v>
      </c>
      <c r="E510" s="7" t="s">
        <v>1654</v>
      </c>
      <c r="F510" s="8"/>
      <c r="G510" s="8" t="s">
        <v>49</v>
      </c>
      <c r="H510" s="9" t="s">
        <v>49</v>
      </c>
      <c r="I510" s="9" t="s">
        <v>190</v>
      </c>
      <c r="J510" s="9"/>
      <c r="K510" s="9" t="s">
        <v>52</v>
      </c>
      <c r="L510" s="8"/>
      <c r="M510" s="8"/>
      <c r="N510" s="8" t="s">
        <v>483</v>
      </c>
      <c r="O510" s="8" t="s">
        <v>1655</v>
      </c>
      <c r="P510" s="10" t="n">
        <f aca="false">IF($H510="숙박",0,IF($H510=MID(P$1,3,20),IF($I510="",1,0.6),IF($I510=MID(P$1,3,20),0.4,0)))</f>
        <v>0.4</v>
      </c>
      <c r="Q510" s="10" t="n">
        <f aca="false">IF($H510="숙박",0,IF($H510=MID(Q$1,3,20),IF($I510="",1,0.6),IF($I510=MID(Q$1,3,20),0.4,0)))</f>
        <v>0.6</v>
      </c>
      <c r="R510" s="10" t="n">
        <f aca="false">IF($H510="숙박",0,IF($H510=MID(R$1,3,20),IF($I510="",1,0.6),IF($I510=MID(R$1,3,20),0.4,0)))</f>
        <v>0</v>
      </c>
      <c r="S510" s="10" t="n">
        <f aca="false">IF($H510="숙박",0,IF($H510=MID(S$1,3,20),IF($I510="",1,0.6),IF($I510=MID(S$1,3,20),0.4,0)))</f>
        <v>0</v>
      </c>
      <c r="T510" s="10" t="n">
        <f aca="false">IF($H510="숙박",0,IF($H510=MID(T$1,3,20),IF($I510="",1,0.6),IF($I510=MID(T$1,3,20),0.4,0)))</f>
        <v>0</v>
      </c>
      <c r="U510" s="10" t="n">
        <f aca="false">IF($H510="숙박",0,IF(ISNUMBER(SEARCH("야경",$J510)),1,0))</f>
        <v>0</v>
      </c>
      <c r="V510" s="10" t="n">
        <f aca="false">IF($H510="숙박",0,1)</f>
        <v>1</v>
      </c>
    </row>
    <row r="511" customFormat="false" ht="15" hidden="false" customHeight="false" outlineLevel="0" collapsed="false">
      <c r="A511" s="8" t="n">
        <v>510</v>
      </c>
      <c r="B511" s="8" t="s">
        <v>45</v>
      </c>
      <c r="C511" s="8" t="s">
        <v>1330</v>
      </c>
      <c r="D511" s="8" t="s">
        <v>1656</v>
      </c>
      <c r="E511" s="7" t="s">
        <v>1657</v>
      </c>
      <c r="F511" s="8"/>
      <c r="G511" s="8" t="s">
        <v>184</v>
      </c>
      <c r="H511" s="9" t="s">
        <v>184</v>
      </c>
      <c r="I511" s="9"/>
      <c r="J511" s="9"/>
      <c r="K511" s="9" t="s">
        <v>191</v>
      </c>
      <c r="L511" s="8"/>
      <c r="M511" s="8"/>
      <c r="N511" s="8"/>
      <c r="O511" s="8" t="s">
        <v>1658</v>
      </c>
      <c r="P511" s="10" t="n">
        <f aca="false">IF($H511="숙박",0,IF($H511=MID(P$1,3,20),IF($I511="",1,0.6),IF($I511=MID(P$1,3,20),0.4,0)))</f>
        <v>0</v>
      </c>
      <c r="Q511" s="10" t="n">
        <f aca="false">IF($H511="숙박",0,IF($H511=MID(Q$1,3,20),IF($I511="",1,0.6),IF($I511=MID(Q$1,3,20),0.4,0)))</f>
        <v>0</v>
      </c>
      <c r="R511" s="10" t="n">
        <f aca="false">IF($H511="숙박",0,IF($H511=MID(R$1,3,20),IF($I511="",1,0.6),IF($I511=MID(R$1,3,20),0.4,0)))</f>
        <v>1</v>
      </c>
      <c r="S511" s="10" t="n">
        <f aca="false">IF($H511="숙박",0,IF($H511=MID(S$1,3,20),IF($I511="",1,0.6),IF($I511=MID(S$1,3,20),0.4,0)))</f>
        <v>0</v>
      </c>
      <c r="T511" s="10" t="n">
        <f aca="false">IF($H511="숙박",0,IF($H511=MID(T$1,3,20),IF($I511="",1,0.6),IF($I511=MID(T$1,3,20),0.4,0)))</f>
        <v>0</v>
      </c>
      <c r="U511" s="10" t="n">
        <f aca="false">IF($H511="숙박",0,IF(ISNUMBER(SEARCH("야경",$J511)),1,0))</f>
        <v>0</v>
      </c>
      <c r="V511" s="10" t="n">
        <f aca="false">IF($H511="숙박",0,1)</f>
        <v>1</v>
      </c>
    </row>
    <row r="512" customFormat="false" ht="15" hidden="false" customHeight="false" outlineLevel="0" collapsed="false">
      <c r="A512" s="8" t="n">
        <v>511</v>
      </c>
      <c r="B512" s="8" t="s">
        <v>45</v>
      </c>
      <c r="C512" s="8" t="s">
        <v>678</v>
      </c>
      <c r="D512" s="8" t="s">
        <v>1659</v>
      </c>
      <c r="E512" s="7" t="s">
        <v>1660</v>
      </c>
      <c r="F512" s="8"/>
      <c r="G512" s="8" t="s">
        <v>184</v>
      </c>
      <c r="H512" s="9" t="s">
        <v>184</v>
      </c>
      <c r="I512" s="9"/>
      <c r="J512" s="9" t="s">
        <v>1361</v>
      </c>
      <c r="K512" s="9" t="s">
        <v>191</v>
      </c>
      <c r="L512" s="8"/>
      <c r="M512" s="8"/>
      <c r="N512" s="8"/>
      <c r="O512" s="8" t="s">
        <v>1661</v>
      </c>
      <c r="P512" s="10" t="n">
        <f aca="false">IF($H512="숙박",0,IF($H512=MID(P$1,3,20),IF($I512="",1,0.6),IF($I512=MID(P$1,3,20),0.4,0)))</f>
        <v>0</v>
      </c>
      <c r="Q512" s="10" t="n">
        <f aca="false">IF($H512="숙박",0,IF($H512=MID(Q$1,3,20),IF($I512="",1,0.6),IF($I512=MID(Q$1,3,20),0.4,0)))</f>
        <v>0</v>
      </c>
      <c r="R512" s="10" t="n">
        <f aca="false">IF($H512="숙박",0,IF($H512=MID(R$1,3,20),IF($I512="",1,0.6),IF($I512=MID(R$1,3,20),0.4,0)))</f>
        <v>1</v>
      </c>
      <c r="S512" s="10" t="n">
        <f aca="false">IF($H512="숙박",0,IF($H512=MID(S$1,3,20),IF($I512="",1,0.6),IF($I512=MID(S$1,3,20),0.4,0)))</f>
        <v>0</v>
      </c>
      <c r="T512" s="10" t="n">
        <f aca="false">IF($H512="숙박",0,IF($H512=MID(T$1,3,20),IF($I512="",1,0.6),IF($I512=MID(T$1,3,20),0.4,0)))</f>
        <v>0</v>
      </c>
      <c r="U512" s="10" t="n">
        <f aca="false">IF($H512="숙박",0,IF(ISNUMBER(SEARCH("야경",$J512)),1,0))</f>
        <v>0</v>
      </c>
      <c r="V512" s="10" t="n">
        <f aca="false">IF($H512="숙박",0,1)</f>
        <v>1</v>
      </c>
    </row>
    <row r="513" customFormat="false" ht="15" hidden="false" customHeight="false" outlineLevel="0" collapsed="false">
      <c r="A513" s="8" t="n">
        <v>512</v>
      </c>
      <c r="B513" s="8" t="s">
        <v>45</v>
      </c>
      <c r="C513" s="8" t="s">
        <v>1448</v>
      </c>
      <c r="D513" s="8" t="s">
        <v>1662</v>
      </c>
      <c r="E513" s="7" t="s">
        <v>1663</v>
      </c>
      <c r="F513" s="8"/>
      <c r="G513" s="8" t="s">
        <v>190</v>
      </c>
      <c r="H513" s="9" t="s">
        <v>190</v>
      </c>
      <c r="I513" s="9"/>
      <c r="J513" s="9" t="s">
        <v>1361</v>
      </c>
      <c r="K513" s="9" t="s">
        <v>191</v>
      </c>
      <c r="L513" s="8"/>
      <c r="M513" s="8"/>
      <c r="N513" s="8"/>
      <c r="O513" s="8" t="s">
        <v>1664</v>
      </c>
      <c r="P513" s="10" t="n">
        <f aca="false">IF($H513="숙박",0,IF($H513=MID(P$1,3,20),IF($I513="",1,0.6),IF($I513=MID(P$1,3,20),0.4,0)))</f>
        <v>1</v>
      </c>
      <c r="Q513" s="10" t="n">
        <f aca="false">IF($H513="숙박",0,IF($H513=MID(Q$1,3,20),IF($I513="",1,0.6),IF($I513=MID(Q$1,3,20),0.4,0)))</f>
        <v>0</v>
      </c>
      <c r="R513" s="10" t="n">
        <f aca="false">IF($H513="숙박",0,IF($H513=MID(R$1,3,20),IF($I513="",1,0.6),IF($I513=MID(R$1,3,20),0.4,0)))</f>
        <v>0</v>
      </c>
      <c r="S513" s="10" t="n">
        <f aca="false">IF($H513="숙박",0,IF($H513=MID(S$1,3,20),IF($I513="",1,0.6),IF($I513=MID(S$1,3,20),0.4,0)))</f>
        <v>0</v>
      </c>
      <c r="T513" s="10" t="n">
        <f aca="false">IF($H513="숙박",0,IF($H513=MID(T$1,3,20),IF($I513="",1,0.6),IF($I513=MID(T$1,3,20),0.4,0)))</f>
        <v>0</v>
      </c>
      <c r="U513" s="10" t="n">
        <f aca="false">IF($H513="숙박",0,IF(ISNUMBER(SEARCH("야경",$J513)),1,0))</f>
        <v>0</v>
      </c>
      <c r="V513" s="10" t="n">
        <f aca="false">IF($H513="숙박",0,1)</f>
        <v>1</v>
      </c>
    </row>
    <row r="514" customFormat="false" ht="15" hidden="false" customHeight="false" outlineLevel="0" collapsed="false">
      <c r="A514" s="8" t="n">
        <v>513</v>
      </c>
      <c r="B514" s="8" t="s">
        <v>45</v>
      </c>
      <c r="C514" s="8" t="s">
        <v>380</v>
      </c>
      <c r="D514" s="8" t="s">
        <v>1665</v>
      </c>
      <c r="E514" s="7" t="s">
        <v>1666</v>
      </c>
      <c r="F514" s="8"/>
      <c r="G514" s="8" t="s">
        <v>184</v>
      </c>
      <c r="H514" s="9" t="s">
        <v>184</v>
      </c>
      <c r="I514" s="9" t="s">
        <v>190</v>
      </c>
      <c r="J514" s="9" t="s">
        <v>1361</v>
      </c>
      <c r="K514" s="9" t="s">
        <v>191</v>
      </c>
      <c r="L514" s="8"/>
      <c r="M514" s="8"/>
      <c r="N514" s="8" t="s">
        <v>483</v>
      </c>
      <c r="O514" s="8" t="s">
        <v>1667</v>
      </c>
      <c r="P514" s="10" t="n">
        <f aca="false">IF($H514="숙박",0,IF($H514=MID(P$1,3,20),IF($I514="",1,0.6),IF($I514=MID(P$1,3,20),0.4,0)))</f>
        <v>0.4</v>
      </c>
      <c r="Q514" s="10" t="n">
        <f aca="false">IF($H514="숙박",0,IF($H514=MID(Q$1,3,20),IF($I514="",1,0.6),IF($I514=MID(Q$1,3,20),0.4,0)))</f>
        <v>0</v>
      </c>
      <c r="R514" s="10" t="n">
        <f aca="false">IF($H514="숙박",0,IF($H514=MID(R$1,3,20),IF($I514="",1,0.6),IF($I514=MID(R$1,3,20),0.4,0)))</f>
        <v>0.6</v>
      </c>
      <c r="S514" s="10" t="n">
        <f aca="false">IF($H514="숙박",0,IF($H514=MID(S$1,3,20),IF($I514="",1,0.6),IF($I514=MID(S$1,3,20),0.4,0)))</f>
        <v>0</v>
      </c>
      <c r="T514" s="10" t="n">
        <f aca="false">IF($H514="숙박",0,IF($H514=MID(T$1,3,20),IF($I514="",1,0.6),IF($I514=MID(T$1,3,20),0.4,0)))</f>
        <v>0</v>
      </c>
      <c r="U514" s="10" t="n">
        <f aca="false">IF($H514="숙박",0,IF(ISNUMBER(SEARCH("야경",$J514)),1,0))</f>
        <v>0</v>
      </c>
      <c r="V514" s="10" t="n">
        <f aca="false">IF($H514="숙박",0,1)</f>
        <v>1</v>
      </c>
    </row>
    <row r="515" customFormat="false" ht="15" hidden="false" customHeight="false" outlineLevel="0" collapsed="false">
      <c r="A515" s="8" t="n">
        <v>514</v>
      </c>
      <c r="B515" s="8" t="s">
        <v>45</v>
      </c>
      <c r="C515" s="8" t="s">
        <v>349</v>
      </c>
      <c r="D515" s="8" t="s">
        <v>1668</v>
      </c>
      <c r="E515" s="7" t="s">
        <v>622</v>
      </c>
      <c r="F515" s="8"/>
      <c r="G515" s="8" t="s">
        <v>190</v>
      </c>
      <c r="H515" s="9" t="s">
        <v>190</v>
      </c>
      <c r="I515" s="9"/>
      <c r="J515" s="9" t="s">
        <v>1361</v>
      </c>
      <c r="K515" s="9" t="s">
        <v>191</v>
      </c>
      <c r="L515" s="8"/>
      <c r="M515" s="8"/>
      <c r="N515" s="8"/>
      <c r="O515" s="8" t="s">
        <v>1669</v>
      </c>
      <c r="P515" s="10" t="n">
        <f aca="false">IF($H515="숙박",0,IF($H515=MID(P$1,3,20),IF($I515="",1,0.6),IF($I515=MID(P$1,3,20),0.4,0)))</f>
        <v>1</v>
      </c>
      <c r="Q515" s="10" t="n">
        <f aca="false">IF($H515="숙박",0,IF($H515=MID(Q$1,3,20),IF($I515="",1,0.6),IF($I515=MID(Q$1,3,20),0.4,0)))</f>
        <v>0</v>
      </c>
      <c r="R515" s="10" t="n">
        <f aca="false">IF($H515="숙박",0,IF($H515=MID(R$1,3,20),IF($I515="",1,0.6),IF($I515=MID(R$1,3,20),0.4,0)))</f>
        <v>0</v>
      </c>
      <c r="S515" s="10" t="n">
        <f aca="false">IF($H515="숙박",0,IF($H515=MID(S$1,3,20),IF($I515="",1,0.6),IF($I515=MID(S$1,3,20),0.4,0)))</f>
        <v>0</v>
      </c>
      <c r="T515" s="10" t="n">
        <f aca="false">IF($H515="숙박",0,IF($H515=MID(T$1,3,20),IF($I515="",1,0.6),IF($I515=MID(T$1,3,20),0.4,0)))</f>
        <v>0</v>
      </c>
      <c r="U515" s="10" t="n">
        <f aca="false">IF($H515="숙박",0,IF(ISNUMBER(SEARCH("야경",$J515)),1,0))</f>
        <v>0</v>
      </c>
      <c r="V515" s="10" t="n">
        <f aca="false">IF($H515="숙박",0,1)</f>
        <v>1</v>
      </c>
    </row>
    <row r="516" customFormat="false" ht="15" hidden="false" customHeight="false" outlineLevel="0" collapsed="false">
      <c r="A516" s="8" t="n">
        <v>515</v>
      </c>
      <c r="B516" s="8" t="s">
        <v>45</v>
      </c>
      <c r="C516" s="8" t="s">
        <v>438</v>
      </c>
      <c r="D516" s="8" t="s">
        <v>1670</v>
      </c>
      <c r="E516" s="7" t="s">
        <v>1671</v>
      </c>
      <c r="F516" s="8"/>
      <c r="G516" s="8" t="s">
        <v>190</v>
      </c>
      <c r="H516" s="9" t="s">
        <v>190</v>
      </c>
      <c r="I516" s="9"/>
      <c r="J516" s="9" t="s">
        <v>1361</v>
      </c>
      <c r="K516" s="9" t="s">
        <v>191</v>
      </c>
      <c r="L516" s="8"/>
      <c r="M516" s="8"/>
      <c r="N516" s="8"/>
      <c r="O516" s="8" t="s">
        <v>1672</v>
      </c>
      <c r="P516" s="10" t="n">
        <f aca="false">IF($H516="숙박",0,IF($H516=MID(P$1,3,20),IF($I516="",1,0.6),IF($I516=MID(P$1,3,20),0.4,0)))</f>
        <v>1</v>
      </c>
      <c r="Q516" s="10" t="n">
        <f aca="false">IF($H516="숙박",0,IF($H516=MID(Q$1,3,20),IF($I516="",1,0.6),IF($I516=MID(Q$1,3,20),0.4,0)))</f>
        <v>0</v>
      </c>
      <c r="R516" s="10" t="n">
        <f aca="false">IF($H516="숙박",0,IF($H516=MID(R$1,3,20),IF($I516="",1,0.6),IF($I516=MID(R$1,3,20),0.4,0)))</f>
        <v>0</v>
      </c>
      <c r="S516" s="10" t="n">
        <f aca="false">IF($H516="숙박",0,IF($H516=MID(S$1,3,20),IF($I516="",1,0.6),IF($I516=MID(S$1,3,20),0.4,0)))</f>
        <v>0</v>
      </c>
      <c r="T516" s="10" t="n">
        <f aca="false">IF($H516="숙박",0,IF($H516=MID(T$1,3,20),IF($I516="",1,0.6),IF($I516=MID(T$1,3,20),0.4,0)))</f>
        <v>0</v>
      </c>
      <c r="U516" s="10" t="n">
        <f aca="false">IF($H516="숙박",0,IF(ISNUMBER(SEARCH("야경",$J516)),1,0))</f>
        <v>0</v>
      </c>
      <c r="V516" s="10" t="n">
        <f aca="false">IF($H516="숙박",0,1)</f>
        <v>1</v>
      </c>
    </row>
    <row r="517" customFormat="false" ht="15" hidden="false" customHeight="false" outlineLevel="0" collapsed="false">
      <c r="A517" s="8" t="n">
        <v>516</v>
      </c>
      <c r="B517" s="8" t="s">
        <v>45</v>
      </c>
      <c r="C517" s="8" t="s">
        <v>1640</v>
      </c>
      <c r="D517" s="8" t="s">
        <v>1673</v>
      </c>
      <c r="E517" s="7" t="s">
        <v>1674</v>
      </c>
      <c r="F517" s="8"/>
      <c r="G517" s="8" t="s">
        <v>49</v>
      </c>
      <c r="H517" s="9" t="s">
        <v>49</v>
      </c>
      <c r="I517" s="9" t="s">
        <v>190</v>
      </c>
      <c r="J517" s="9"/>
      <c r="K517" s="9" t="s">
        <v>52</v>
      </c>
      <c r="L517" s="8"/>
      <c r="M517" s="8"/>
      <c r="N517" s="8" t="s">
        <v>483</v>
      </c>
      <c r="O517" s="8" t="s">
        <v>1675</v>
      </c>
      <c r="P517" s="10" t="n">
        <f aca="false">IF($H517="숙박",0,IF($H517=MID(P$1,3,20),IF($I517="",1,0.6),IF($I517=MID(P$1,3,20),0.4,0)))</f>
        <v>0.4</v>
      </c>
      <c r="Q517" s="10" t="n">
        <f aca="false">IF($H517="숙박",0,IF($H517=MID(Q$1,3,20),IF($I517="",1,0.6),IF($I517=MID(Q$1,3,20),0.4,0)))</f>
        <v>0.6</v>
      </c>
      <c r="R517" s="10" t="n">
        <f aca="false">IF($H517="숙박",0,IF($H517=MID(R$1,3,20),IF($I517="",1,0.6),IF($I517=MID(R$1,3,20),0.4,0)))</f>
        <v>0</v>
      </c>
      <c r="S517" s="10" t="n">
        <f aca="false">IF($H517="숙박",0,IF($H517=MID(S$1,3,20),IF($I517="",1,0.6),IF($I517=MID(S$1,3,20),0.4,0)))</f>
        <v>0</v>
      </c>
      <c r="T517" s="10" t="n">
        <f aca="false">IF($H517="숙박",0,IF($H517=MID(T$1,3,20),IF($I517="",1,0.6),IF($I517=MID(T$1,3,20),0.4,0)))</f>
        <v>0</v>
      </c>
      <c r="U517" s="10" t="n">
        <f aca="false">IF($H517="숙박",0,IF(ISNUMBER(SEARCH("야경",$J517)),1,0))</f>
        <v>0</v>
      </c>
      <c r="V517" s="10" t="n">
        <f aca="false">IF($H517="숙박",0,1)</f>
        <v>1</v>
      </c>
    </row>
    <row r="518" customFormat="false" ht="15" hidden="false" customHeight="false" outlineLevel="0" collapsed="false">
      <c r="A518" s="8" t="n">
        <v>517</v>
      </c>
      <c r="B518" s="8" t="s">
        <v>45</v>
      </c>
      <c r="C518" s="8"/>
      <c r="D518" s="8" t="s">
        <v>1676</v>
      </c>
      <c r="E518" s="7" t="s">
        <v>1677</v>
      </c>
      <c r="F518" s="8"/>
      <c r="G518" s="8"/>
      <c r="H518" s="9" t="s">
        <v>594</v>
      </c>
      <c r="I518" s="9"/>
      <c r="J518" s="9"/>
      <c r="K518" s="9"/>
      <c r="L518" s="8"/>
      <c r="M518" s="8"/>
      <c r="N518" s="8" t="s">
        <v>595</v>
      </c>
      <c r="O518" s="8"/>
      <c r="P518" s="10" t="n">
        <f aca="false">IF($H518="숙박",0,IF($H518=MID(P$1,3,20),IF($I518="",1,0.6),IF($I518=MID(P$1,3,20),0.4,0)))</f>
        <v>0</v>
      </c>
      <c r="Q518" s="10" t="n">
        <f aca="false">IF($H518="숙박",0,IF($H518=MID(Q$1,3,20),IF($I518="",1,0.6),IF($I518=MID(Q$1,3,20),0.4,0)))</f>
        <v>0</v>
      </c>
      <c r="R518" s="10" t="n">
        <f aca="false">IF($H518="숙박",0,IF($H518=MID(R$1,3,20),IF($I518="",1,0.6),IF($I518=MID(R$1,3,20),0.4,0)))</f>
        <v>0</v>
      </c>
      <c r="S518" s="10" t="n">
        <f aca="false">IF($H518="숙박",0,IF($H518=MID(S$1,3,20),IF($I518="",1,0.6),IF($I518=MID(S$1,3,20),0.4,0)))</f>
        <v>0</v>
      </c>
      <c r="T518" s="10" t="n">
        <f aca="false">IF($H518="숙박",0,IF($H518=MID(T$1,3,20),IF($I518="",1,0.6),IF($I518=MID(T$1,3,20),0.4,0)))</f>
        <v>0</v>
      </c>
      <c r="U518" s="10" t="n">
        <f aca="false">IF($H518="숙박",0,IF(ISNUMBER(SEARCH("야경",$J518)),1,0))</f>
        <v>0</v>
      </c>
      <c r="V518" s="10" t="n">
        <f aca="false">IF($H518="숙박",0,1)</f>
        <v>0</v>
      </c>
    </row>
    <row r="519" customFormat="false" ht="15" hidden="false" customHeight="false" outlineLevel="0" collapsed="false">
      <c r="A519" s="8" t="n">
        <v>518</v>
      </c>
      <c r="B519" s="8" t="s">
        <v>45</v>
      </c>
      <c r="C519" s="8" t="s">
        <v>1678</v>
      </c>
      <c r="D519" s="8" t="s">
        <v>1679</v>
      </c>
      <c r="E519" s="7" t="s">
        <v>1680</v>
      </c>
      <c r="F519" s="8"/>
      <c r="G519" s="8" t="s">
        <v>49</v>
      </c>
      <c r="H519" s="9" t="s">
        <v>49</v>
      </c>
      <c r="I519" s="9"/>
      <c r="J519" s="9"/>
      <c r="K519" s="9" t="s">
        <v>52</v>
      </c>
      <c r="L519" s="8"/>
      <c r="M519" s="8"/>
      <c r="N519" s="8"/>
      <c r="O519" s="8" t="s">
        <v>1681</v>
      </c>
      <c r="P519" s="10" t="n">
        <f aca="false">IF($H519="숙박",0,IF($H519=MID(P$1,3,20),IF($I519="",1,0.6),IF($I519=MID(P$1,3,20),0.4,0)))</f>
        <v>0</v>
      </c>
      <c r="Q519" s="10" t="n">
        <f aca="false">IF($H519="숙박",0,IF($H519=MID(Q$1,3,20),IF($I519="",1,0.6),IF($I519=MID(Q$1,3,20),0.4,0)))</f>
        <v>1</v>
      </c>
      <c r="R519" s="10" t="n">
        <f aca="false">IF($H519="숙박",0,IF($H519=MID(R$1,3,20),IF($I519="",1,0.6),IF($I519=MID(R$1,3,20),0.4,0)))</f>
        <v>0</v>
      </c>
      <c r="S519" s="10" t="n">
        <f aca="false">IF($H519="숙박",0,IF($H519=MID(S$1,3,20),IF($I519="",1,0.6),IF($I519=MID(S$1,3,20),0.4,0)))</f>
        <v>0</v>
      </c>
      <c r="T519" s="10" t="n">
        <f aca="false">IF($H519="숙박",0,IF($H519=MID(T$1,3,20),IF($I519="",1,0.6),IF($I519=MID(T$1,3,20),0.4,0)))</f>
        <v>0</v>
      </c>
      <c r="U519" s="10" t="n">
        <f aca="false">IF($H519="숙박",0,IF(ISNUMBER(SEARCH("야경",$J519)),1,0))</f>
        <v>0</v>
      </c>
      <c r="V519" s="10" t="n">
        <f aca="false">IF($H519="숙박",0,1)</f>
        <v>1</v>
      </c>
    </row>
    <row r="520" customFormat="false" ht="15" hidden="false" customHeight="false" outlineLevel="0" collapsed="false">
      <c r="A520" s="8" t="n">
        <v>519</v>
      </c>
      <c r="B520" s="8" t="s">
        <v>45</v>
      </c>
      <c r="C520" s="8" t="s">
        <v>331</v>
      </c>
      <c r="D520" s="8" t="s">
        <v>1682</v>
      </c>
      <c r="E520" s="7" t="s">
        <v>1683</v>
      </c>
      <c r="F520" s="8"/>
      <c r="G520" s="8" t="s">
        <v>49</v>
      </c>
      <c r="H520" s="9" t="s">
        <v>49</v>
      </c>
      <c r="I520" s="9"/>
      <c r="J520" s="9"/>
      <c r="K520" s="9" t="s">
        <v>209</v>
      </c>
      <c r="L520" s="8"/>
      <c r="M520" s="8"/>
      <c r="N520" s="8"/>
      <c r="O520" s="8" t="s">
        <v>1684</v>
      </c>
      <c r="P520" s="10" t="n">
        <f aca="false">IF($H520="숙박",0,IF($H520=MID(P$1,3,20),IF($I520="",1,0.6),IF($I520=MID(P$1,3,20),0.4,0)))</f>
        <v>0</v>
      </c>
      <c r="Q520" s="10" t="n">
        <f aca="false">IF($H520="숙박",0,IF($H520=MID(Q$1,3,20),IF($I520="",1,0.6),IF($I520=MID(Q$1,3,20),0.4,0)))</f>
        <v>1</v>
      </c>
      <c r="R520" s="10" t="n">
        <f aca="false">IF($H520="숙박",0,IF($H520=MID(R$1,3,20),IF($I520="",1,0.6),IF($I520=MID(R$1,3,20),0.4,0)))</f>
        <v>0</v>
      </c>
      <c r="S520" s="10" t="n">
        <f aca="false">IF($H520="숙박",0,IF($H520=MID(S$1,3,20),IF($I520="",1,0.6),IF($I520=MID(S$1,3,20),0.4,0)))</f>
        <v>0</v>
      </c>
      <c r="T520" s="10" t="n">
        <f aca="false">IF($H520="숙박",0,IF($H520=MID(T$1,3,20),IF($I520="",1,0.6),IF($I520=MID(T$1,3,20),0.4,0)))</f>
        <v>0</v>
      </c>
      <c r="U520" s="10" t="n">
        <f aca="false">IF($H520="숙박",0,IF(ISNUMBER(SEARCH("야경",$J520)),1,0))</f>
        <v>0</v>
      </c>
      <c r="V520" s="10" t="n">
        <f aca="false">IF($H520="숙박",0,1)</f>
        <v>1</v>
      </c>
    </row>
    <row r="521" customFormat="false" ht="15" hidden="false" customHeight="false" outlineLevel="0" collapsed="false">
      <c r="A521" s="8" t="n">
        <v>520</v>
      </c>
      <c r="B521" s="8" t="s">
        <v>45</v>
      </c>
      <c r="C521" s="8" t="s">
        <v>1685</v>
      </c>
      <c r="D521" s="8" t="s">
        <v>1686</v>
      </c>
      <c r="E521" s="7" t="s">
        <v>1687</v>
      </c>
      <c r="F521" s="8"/>
      <c r="G521" s="8" t="s">
        <v>49</v>
      </c>
      <c r="H521" s="9" t="s">
        <v>49</v>
      </c>
      <c r="I521" s="9"/>
      <c r="J521" s="9"/>
      <c r="K521" s="9" t="s">
        <v>52</v>
      </c>
      <c r="L521" s="8"/>
      <c r="M521" s="8"/>
      <c r="N521" s="8"/>
      <c r="O521" s="8" t="s">
        <v>1688</v>
      </c>
      <c r="P521" s="10" t="n">
        <f aca="false">IF($H521="숙박",0,IF($H521=MID(P$1,3,20),IF($I521="",1,0.6),IF($I521=MID(P$1,3,20),0.4,0)))</f>
        <v>0</v>
      </c>
      <c r="Q521" s="10" t="n">
        <f aca="false">IF($H521="숙박",0,IF($H521=MID(Q$1,3,20),IF($I521="",1,0.6),IF($I521=MID(Q$1,3,20),0.4,0)))</f>
        <v>1</v>
      </c>
      <c r="R521" s="10" t="n">
        <f aca="false">IF($H521="숙박",0,IF($H521=MID(R$1,3,20),IF($I521="",1,0.6),IF($I521=MID(R$1,3,20),0.4,0)))</f>
        <v>0</v>
      </c>
      <c r="S521" s="10" t="n">
        <f aca="false">IF($H521="숙박",0,IF($H521=MID(S$1,3,20),IF($I521="",1,0.6),IF($I521=MID(S$1,3,20),0.4,0)))</f>
        <v>0</v>
      </c>
      <c r="T521" s="10" t="n">
        <f aca="false">IF($H521="숙박",0,IF($H521=MID(T$1,3,20),IF($I521="",1,0.6),IF($I521=MID(T$1,3,20),0.4,0)))</f>
        <v>0</v>
      </c>
      <c r="U521" s="10" t="n">
        <f aca="false">IF($H521="숙박",0,IF(ISNUMBER(SEARCH("야경",$J521)),1,0))</f>
        <v>0</v>
      </c>
      <c r="V521" s="10" t="n">
        <f aca="false">IF($H521="숙박",0,1)</f>
        <v>1</v>
      </c>
    </row>
    <row r="522" customFormat="false" ht="15" hidden="false" customHeight="false" outlineLevel="0" collapsed="false">
      <c r="A522" s="8" t="n">
        <v>521</v>
      </c>
      <c r="B522" s="8" t="s">
        <v>45</v>
      </c>
      <c r="C522" s="8" t="s">
        <v>1363</v>
      </c>
      <c r="D522" s="8" t="s">
        <v>1689</v>
      </c>
      <c r="E522" s="7" t="s">
        <v>1690</v>
      </c>
      <c r="F522" s="8"/>
      <c r="G522" s="8" t="s">
        <v>49</v>
      </c>
      <c r="H522" s="9" t="s">
        <v>49</v>
      </c>
      <c r="I522" s="9"/>
      <c r="J522" s="9"/>
      <c r="K522" s="9" t="s">
        <v>52</v>
      </c>
      <c r="L522" s="8"/>
      <c r="M522" s="8"/>
      <c r="N522" s="8"/>
      <c r="O522" s="8" t="s">
        <v>1691</v>
      </c>
      <c r="P522" s="10" t="n">
        <f aca="false">IF($H522="숙박",0,IF($H522=MID(P$1,3,20),IF($I522="",1,0.6),IF($I522=MID(P$1,3,20),0.4,0)))</f>
        <v>0</v>
      </c>
      <c r="Q522" s="10" t="n">
        <f aca="false">IF($H522="숙박",0,IF($H522=MID(Q$1,3,20),IF($I522="",1,0.6),IF($I522=MID(Q$1,3,20),0.4,0)))</f>
        <v>1</v>
      </c>
      <c r="R522" s="10" t="n">
        <f aca="false">IF($H522="숙박",0,IF($H522=MID(R$1,3,20),IF($I522="",1,0.6),IF($I522=MID(R$1,3,20),0.4,0)))</f>
        <v>0</v>
      </c>
      <c r="S522" s="10" t="n">
        <f aca="false">IF($H522="숙박",0,IF($H522=MID(S$1,3,20),IF($I522="",1,0.6),IF($I522=MID(S$1,3,20),0.4,0)))</f>
        <v>0</v>
      </c>
      <c r="T522" s="10" t="n">
        <f aca="false">IF($H522="숙박",0,IF($H522=MID(T$1,3,20),IF($I522="",1,0.6),IF($I522=MID(T$1,3,20),0.4,0)))</f>
        <v>0</v>
      </c>
      <c r="U522" s="10" t="n">
        <f aca="false">IF($H522="숙박",0,IF(ISNUMBER(SEARCH("야경",$J522)),1,0))</f>
        <v>0</v>
      </c>
      <c r="V522" s="10" t="n">
        <f aca="false">IF($H522="숙박",0,1)</f>
        <v>1</v>
      </c>
    </row>
    <row r="523" customFormat="false" ht="15" hidden="false" customHeight="false" outlineLevel="0" collapsed="false">
      <c r="A523" s="8" t="n">
        <v>522</v>
      </c>
      <c r="B523" s="8" t="s">
        <v>45</v>
      </c>
      <c r="C523" s="8" t="s">
        <v>1535</v>
      </c>
      <c r="D523" s="8" t="s">
        <v>1692</v>
      </c>
      <c r="E523" s="7" t="s">
        <v>1693</v>
      </c>
      <c r="F523" s="8"/>
      <c r="G523" s="8" t="s">
        <v>190</v>
      </c>
      <c r="H523" s="9" t="s">
        <v>190</v>
      </c>
      <c r="I523" s="9"/>
      <c r="J523" s="9"/>
      <c r="K523" s="9" t="s">
        <v>191</v>
      </c>
      <c r="L523" s="8"/>
      <c r="M523" s="8"/>
      <c r="N523" s="8"/>
      <c r="O523" s="8" t="s">
        <v>1694</v>
      </c>
      <c r="P523" s="10" t="n">
        <f aca="false">IF($H523="숙박",0,IF($H523=MID(P$1,3,20),IF($I523="",1,0.6),IF($I523=MID(P$1,3,20),0.4,0)))</f>
        <v>1</v>
      </c>
      <c r="Q523" s="10" t="n">
        <f aca="false">IF($H523="숙박",0,IF($H523=MID(Q$1,3,20),IF($I523="",1,0.6),IF($I523=MID(Q$1,3,20),0.4,0)))</f>
        <v>0</v>
      </c>
      <c r="R523" s="10" t="n">
        <f aca="false">IF($H523="숙박",0,IF($H523=MID(R$1,3,20),IF($I523="",1,0.6),IF($I523=MID(R$1,3,20),0.4,0)))</f>
        <v>0</v>
      </c>
      <c r="S523" s="10" t="n">
        <f aca="false">IF($H523="숙박",0,IF($H523=MID(S$1,3,20),IF($I523="",1,0.6),IF($I523=MID(S$1,3,20),0.4,0)))</f>
        <v>0</v>
      </c>
      <c r="T523" s="10" t="n">
        <f aca="false">IF($H523="숙박",0,IF($H523=MID(T$1,3,20),IF($I523="",1,0.6),IF($I523=MID(T$1,3,20),0.4,0)))</f>
        <v>0</v>
      </c>
      <c r="U523" s="10" t="n">
        <f aca="false">IF($H523="숙박",0,IF(ISNUMBER(SEARCH("야경",$J523)),1,0))</f>
        <v>0</v>
      </c>
      <c r="V523" s="10" t="n">
        <f aca="false">IF($H523="숙박",0,1)</f>
        <v>1</v>
      </c>
    </row>
    <row r="524" customFormat="false" ht="15" hidden="false" customHeight="false" outlineLevel="0" collapsed="false">
      <c r="A524" s="8" t="n">
        <v>523</v>
      </c>
      <c r="B524" s="8" t="s">
        <v>45</v>
      </c>
      <c r="C524" s="8" t="s">
        <v>380</v>
      </c>
      <c r="D524" s="8" t="s">
        <v>1695</v>
      </c>
      <c r="E524" s="7" t="s">
        <v>1696</v>
      </c>
      <c r="F524" s="8"/>
      <c r="G524" s="8" t="s">
        <v>190</v>
      </c>
      <c r="H524" s="9" t="s">
        <v>190</v>
      </c>
      <c r="I524" s="9"/>
      <c r="J524" s="9"/>
      <c r="K524" s="9" t="s">
        <v>191</v>
      </c>
      <c r="L524" s="8"/>
      <c r="M524" s="8"/>
      <c r="N524" s="8"/>
      <c r="O524" s="8" t="s">
        <v>1697</v>
      </c>
      <c r="P524" s="10" t="n">
        <f aca="false">IF($H524="숙박",0,IF($H524=MID(P$1,3,20),IF($I524="",1,0.6),IF($I524=MID(P$1,3,20),0.4,0)))</f>
        <v>1</v>
      </c>
      <c r="Q524" s="10" t="n">
        <f aca="false">IF($H524="숙박",0,IF($H524=MID(Q$1,3,20),IF($I524="",1,0.6),IF($I524=MID(Q$1,3,20),0.4,0)))</f>
        <v>0</v>
      </c>
      <c r="R524" s="10" t="n">
        <f aca="false">IF($H524="숙박",0,IF($H524=MID(R$1,3,20),IF($I524="",1,0.6),IF($I524=MID(R$1,3,20),0.4,0)))</f>
        <v>0</v>
      </c>
      <c r="S524" s="10" t="n">
        <f aca="false">IF($H524="숙박",0,IF($H524=MID(S$1,3,20),IF($I524="",1,0.6),IF($I524=MID(S$1,3,20),0.4,0)))</f>
        <v>0</v>
      </c>
      <c r="T524" s="10" t="n">
        <f aca="false">IF($H524="숙박",0,IF($H524=MID(T$1,3,20),IF($I524="",1,0.6),IF($I524=MID(T$1,3,20),0.4,0)))</f>
        <v>0</v>
      </c>
      <c r="U524" s="10" t="n">
        <f aca="false">IF($H524="숙박",0,IF(ISNUMBER(SEARCH("야경",$J524)),1,0))</f>
        <v>0</v>
      </c>
      <c r="V524" s="10" t="n">
        <f aca="false">IF($H524="숙박",0,1)</f>
        <v>1</v>
      </c>
    </row>
    <row r="525" customFormat="false" ht="15" hidden="false" customHeight="false" outlineLevel="0" collapsed="false">
      <c r="A525" s="8" t="n">
        <v>524</v>
      </c>
      <c r="B525" s="8" t="s">
        <v>45</v>
      </c>
      <c r="C525" s="8" t="s">
        <v>1636</v>
      </c>
      <c r="D525" s="8" t="s">
        <v>1698</v>
      </c>
      <c r="E525" s="7" t="s">
        <v>1699</v>
      </c>
      <c r="F525" s="8"/>
      <c r="G525" s="8" t="s">
        <v>184</v>
      </c>
      <c r="H525" s="9" t="s">
        <v>184</v>
      </c>
      <c r="I525" s="9" t="s">
        <v>216</v>
      </c>
      <c r="J525" s="9"/>
      <c r="K525" s="9" t="s">
        <v>52</v>
      </c>
      <c r="L525" s="8"/>
      <c r="M525" s="8"/>
      <c r="N525" s="8" t="s">
        <v>483</v>
      </c>
      <c r="O525" s="8" t="s">
        <v>1700</v>
      </c>
      <c r="P525" s="10" t="n">
        <f aca="false">IF($H525="숙박",0,IF($H525=MID(P$1,3,20),IF($I525="",1,0.6),IF($I525=MID(P$1,3,20),0.4,0)))</f>
        <v>0</v>
      </c>
      <c r="Q525" s="10" t="n">
        <f aca="false">IF($H525="숙박",0,IF($H525=MID(Q$1,3,20),IF($I525="",1,0.6),IF($I525=MID(Q$1,3,20),0.4,0)))</f>
        <v>0</v>
      </c>
      <c r="R525" s="10" t="n">
        <f aca="false">IF($H525="숙박",0,IF($H525=MID(R$1,3,20),IF($I525="",1,0.6),IF($I525=MID(R$1,3,20),0.4,0)))</f>
        <v>0.6</v>
      </c>
      <c r="S525" s="10" t="n">
        <f aca="false">IF($H525="숙박",0,IF($H525=MID(S$1,3,20),IF($I525="",1,0.6),IF($I525=MID(S$1,3,20),0.4,0)))</f>
        <v>0.4</v>
      </c>
      <c r="T525" s="10" t="n">
        <f aca="false">IF($H525="숙박",0,IF($H525=MID(T$1,3,20),IF($I525="",1,0.6),IF($I525=MID(T$1,3,20),0.4,0)))</f>
        <v>0</v>
      </c>
      <c r="U525" s="10" t="n">
        <f aca="false">IF($H525="숙박",0,IF(ISNUMBER(SEARCH("야경",$J525)),1,0))</f>
        <v>0</v>
      </c>
      <c r="V525" s="10" t="n">
        <f aca="false">IF($H525="숙박",0,1)</f>
        <v>1</v>
      </c>
    </row>
    <row r="526" customFormat="false" ht="15" hidden="false" customHeight="false" outlineLevel="0" collapsed="false">
      <c r="A526" s="8" t="n">
        <v>525</v>
      </c>
      <c r="B526" s="8" t="s">
        <v>45</v>
      </c>
      <c r="C526" s="8" t="s">
        <v>467</v>
      </c>
      <c r="D526" s="8" t="s">
        <v>1701</v>
      </c>
      <c r="E526" s="7" t="s">
        <v>1702</v>
      </c>
      <c r="F526" s="8"/>
      <c r="G526" s="8" t="s">
        <v>184</v>
      </c>
      <c r="H526" s="9" t="s">
        <v>184</v>
      </c>
      <c r="I526" s="9" t="s">
        <v>49</v>
      </c>
      <c r="J526" s="9"/>
      <c r="K526" s="9" t="s">
        <v>52</v>
      </c>
      <c r="L526" s="8"/>
      <c r="M526" s="8"/>
      <c r="N526" s="8" t="s">
        <v>483</v>
      </c>
      <c r="O526" s="8" t="s">
        <v>1703</v>
      </c>
      <c r="P526" s="10" t="n">
        <f aca="false">IF($H526="숙박",0,IF($H526=MID(P$1,3,20),IF($I526="",1,0.6),IF($I526=MID(P$1,3,20),0.4,0)))</f>
        <v>0</v>
      </c>
      <c r="Q526" s="10" t="n">
        <f aca="false">IF($H526="숙박",0,IF($H526=MID(Q$1,3,20),IF($I526="",1,0.6),IF($I526=MID(Q$1,3,20),0.4,0)))</f>
        <v>0.4</v>
      </c>
      <c r="R526" s="10" t="n">
        <f aca="false">IF($H526="숙박",0,IF($H526=MID(R$1,3,20),IF($I526="",1,0.6),IF($I526=MID(R$1,3,20),0.4,0)))</f>
        <v>0.6</v>
      </c>
      <c r="S526" s="10" t="n">
        <f aca="false">IF($H526="숙박",0,IF($H526=MID(S$1,3,20),IF($I526="",1,0.6),IF($I526=MID(S$1,3,20),0.4,0)))</f>
        <v>0</v>
      </c>
      <c r="T526" s="10" t="n">
        <f aca="false">IF($H526="숙박",0,IF($H526=MID(T$1,3,20),IF($I526="",1,0.6),IF($I526=MID(T$1,3,20),0.4,0)))</f>
        <v>0</v>
      </c>
      <c r="U526" s="10" t="n">
        <f aca="false">IF($H526="숙박",0,IF(ISNUMBER(SEARCH("야경",$J526)),1,0))</f>
        <v>0</v>
      </c>
      <c r="V526" s="10" t="n">
        <f aca="false">IF($H526="숙박",0,1)</f>
        <v>1</v>
      </c>
    </row>
    <row r="527" customFormat="false" ht="15" hidden="false" customHeight="false" outlineLevel="0" collapsed="false">
      <c r="A527" s="8" t="n">
        <v>526</v>
      </c>
      <c r="B527" s="8" t="s">
        <v>45</v>
      </c>
      <c r="C527" s="8" t="s">
        <v>327</v>
      </c>
      <c r="D527" s="8" t="s">
        <v>1704</v>
      </c>
      <c r="E527" s="7" t="s">
        <v>1705</v>
      </c>
      <c r="F527" s="8"/>
      <c r="G527" s="8" t="s">
        <v>190</v>
      </c>
      <c r="H527" s="9" t="s">
        <v>190</v>
      </c>
      <c r="I527" s="9"/>
      <c r="J527" s="9"/>
      <c r="K527" s="9" t="s">
        <v>52</v>
      </c>
      <c r="L527" s="8"/>
      <c r="M527" s="8"/>
      <c r="N527" s="8"/>
      <c r="O527" s="8" t="s">
        <v>1706</v>
      </c>
      <c r="P527" s="10" t="n">
        <f aca="false">IF($H527="숙박",0,IF($H527=MID(P$1,3,20),IF($I527="",1,0.6),IF($I527=MID(P$1,3,20),0.4,0)))</f>
        <v>1</v>
      </c>
      <c r="Q527" s="10" t="n">
        <f aca="false">IF($H527="숙박",0,IF($H527=MID(Q$1,3,20),IF($I527="",1,0.6),IF($I527=MID(Q$1,3,20),0.4,0)))</f>
        <v>0</v>
      </c>
      <c r="R527" s="10" t="n">
        <f aca="false">IF($H527="숙박",0,IF($H527=MID(R$1,3,20),IF($I527="",1,0.6),IF($I527=MID(R$1,3,20),0.4,0)))</f>
        <v>0</v>
      </c>
      <c r="S527" s="10" t="n">
        <f aca="false">IF($H527="숙박",0,IF($H527=MID(S$1,3,20),IF($I527="",1,0.6),IF($I527=MID(S$1,3,20),0.4,0)))</f>
        <v>0</v>
      </c>
      <c r="T527" s="10" t="n">
        <f aca="false">IF($H527="숙박",0,IF($H527=MID(T$1,3,20),IF($I527="",1,0.6),IF($I527=MID(T$1,3,20),0.4,0)))</f>
        <v>0</v>
      </c>
      <c r="U527" s="10" t="n">
        <f aca="false">IF($H527="숙박",0,IF(ISNUMBER(SEARCH("야경",$J527)),1,0))</f>
        <v>0</v>
      </c>
      <c r="V527" s="10" t="n">
        <f aca="false">IF($H527="숙박",0,1)</f>
        <v>1</v>
      </c>
    </row>
    <row r="528" customFormat="false" ht="15" hidden="false" customHeight="false" outlineLevel="0" collapsed="false">
      <c r="A528" s="8" t="n">
        <v>527</v>
      </c>
      <c r="B528" s="8" t="s">
        <v>45</v>
      </c>
      <c r="C528" s="8" t="s">
        <v>1336</v>
      </c>
      <c r="D528" s="8" t="s">
        <v>1707</v>
      </c>
      <c r="E528" s="7" t="s">
        <v>1708</v>
      </c>
      <c r="F528" s="8"/>
      <c r="G528" s="8" t="s">
        <v>49</v>
      </c>
      <c r="H528" s="9" t="s">
        <v>49</v>
      </c>
      <c r="I528" s="9" t="s">
        <v>190</v>
      </c>
      <c r="J528" s="9" t="s">
        <v>1361</v>
      </c>
      <c r="K528" s="9" t="s">
        <v>52</v>
      </c>
      <c r="L528" s="8"/>
      <c r="M528" s="8"/>
      <c r="N528" s="8" t="s">
        <v>483</v>
      </c>
      <c r="O528" s="8" t="s">
        <v>1709</v>
      </c>
      <c r="P528" s="10" t="n">
        <f aca="false">IF($H528="숙박",0,IF($H528=MID(P$1,3,20),IF($I528="",1,0.6),IF($I528=MID(P$1,3,20),0.4,0)))</f>
        <v>0.4</v>
      </c>
      <c r="Q528" s="10" t="n">
        <f aca="false">IF($H528="숙박",0,IF($H528=MID(Q$1,3,20),IF($I528="",1,0.6),IF($I528=MID(Q$1,3,20),0.4,0)))</f>
        <v>0.6</v>
      </c>
      <c r="R528" s="10" t="n">
        <f aca="false">IF($H528="숙박",0,IF($H528=MID(R$1,3,20),IF($I528="",1,0.6),IF($I528=MID(R$1,3,20),0.4,0)))</f>
        <v>0</v>
      </c>
      <c r="S528" s="10" t="n">
        <f aca="false">IF($H528="숙박",0,IF($H528=MID(S$1,3,20),IF($I528="",1,0.6),IF($I528=MID(S$1,3,20),0.4,0)))</f>
        <v>0</v>
      </c>
      <c r="T528" s="10" t="n">
        <f aca="false">IF($H528="숙박",0,IF($H528=MID(T$1,3,20),IF($I528="",1,0.6),IF($I528=MID(T$1,3,20),0.4,0)))</f>
        <v>0</v>
      </c>
      <c r="U528" s="10" t="n">
        <f aca="false">IF($H528="숙박",0,IF(ISNUMBER(SEARCH("야경",$J528)),1,0))</f>
        <v>0</v>
      </c>
      <c r="V528" s="10" t="n">
        <f aca="false">IF($H528="숙박",0,1)</f>
        <v>1</v>
      </c>
    </row>
    <row r="529" customFormat="false" ht="15" hidden="false" customHeight="false" outlineLevel="0" collapsed="false">
      <c r="A529" s="8" t="n">
        <v>528</v>
      </c>
      <c r="B529" s="8" t="s">
        <v>45</v>
      </c>
      <c r="C529" s="8"/>
      <c r="D529" s="8" t="s">
        <v>1710</v>
      </c>
      <c r="E529" s="7" t="s">
        <v>1711</v>
      </c>
      <c r="F529" s="8"/>
      <c r="G529" s="8"/>
      <c r="H529" s="9" t="s">
        <v>594</v>
      </c>
      <c r="I529" s="9"/>
      <c r="J529" s="9"/>
      <c r="K529" s="9"/>
      <c r="L529" s="8"/>
      <c r="M529" s="8"/>
      <c r="N529" s="8" t="s">
        <v>595</v>
      </c>
      <c r="O529" s="8"/>
      <c r="P529" s="10" t="n">
        <f aca="false">IF($H529="숙박",0,IF($H529=MID(P$1,3,20),IF($I529="",1,0.6),IF($I529=MID(P$1,3,20),0.4,0)))</f>
        <v>0</v>
      </c>
      <c r="Q529" s="10" t="n">
        <f aca="false">IF($H529="숙박",0,IF($H529=MID(Q$1,3,20),IF($I529="",1,0.6),IF($I529=MID(Q$1,3,20),0.4,0)))</f>
        <v>0</v>
      </c>
      <c r="R529" s="10" t="n">
        <f aca="false">IF($H529="숙박",0,IF($H529=MID(R$1,3,20),IF($I529="",1,0.6),IF($I529=MID(R$1,3,20),0.4,0)))</f>
        <v>0</v>
      </c>
      <c r="S529" s="10" t="n">
        <f aca="false">IF($H529="숙박",0,IF($H529=MID(S$1,3,20),IF($I529="",1,0.6),IF($I529=MID(S$1,3,20),0.4,0)))</f>
        <v>0</v>
      </c>
      <c r="T529" s="10" t="n">
        <f aca="false">IF($H529="숙박",0,IF($H529=MID(T$1,3,20),IF($I529="",1,0.6),IF($I529=MID(T$1,3,20),0.4,0)))</f>
        <v>0</v>
      </c>
      <c r="U529" s="10" t="n">
        <f aca="false">IF($H529="숙박",0,IF(ISNUMBER(SEARCH("야경",$J529)),1,0))</f>
        <v>0</v>
      </c>
      <c r="V529" s="10" t="n">
        <f aca="false">IF($H529="숙박",0,1)</f>
        <v>0</v>
      </c>
    </row>
    <row r="530" customFormat="false" ht="15" hidden="false" customHeight="false" outlineLevel="0" collapsed="false">
      <c r="A530" s="8" t="n">
        <v>529</v>
      </c>
      <c r="B530" s="8" t="s">
        <v>45</v>
      </c>
      <c r="C530" s="8" t="s">
        <v>1336</v>
      </c>
      <c r="D530" s="8" t="s">
        <v>1712</v>
      </c>
      <c r="E530" s="7" t="s">
        <v>1713</v>
      </c>
      <c r="F530" s="8"/>
      <c r="G530" s="8" t="s">
        <v>49</v>
      </c>
      <c r="H530" s="9" t="s">
        <v>49</v>
      </c>
      <c r="I530" s="9"/>
      <c r="J530" s="9"/>
      <c r="K530" s="9" t="s">
        <v>52</v>
      </c>
      <c r="L530" s="8"/>
      <c r="M530" s="8"/>
      <c r="N530" s="8"/>
      <c r="O530" s="8" t="s">
        <v>1714</v>
      </c>
      <c r="P530" s="10" t="n">
        <f aca="false">IF($H530="숙박",0,IF($H530=MID(P$1,3,20),IF($I530="",1,0.6),IF($I530=MID(P$1,3,20),0.4,0)))</f>
        <v>0</v>
      </c>
      <c r="Q530" s="10" t="n">
        <f aca="false">IF($H530="숙박",0,IF($H530=MID(Q$1,3,20),IF($I530="",1,0.6),IF($I530=MID(Q$1,3,20),0.4,0)))</f>
        <v>1</v>
      </c>
      <c r="R530" s="10" t="n">
        <f aca="false">IF($H530="숙박",0,IF($H530=MID(R$1,3,20),IF($I530="",1,0.6),IF($I530=MID(R$1,3,20),0.4,0)))</f>
        <v>0</v>
      </c>
      <c r="S530" s="10" t="n">
        <f aca="false">IF($H530="숙박",0,IF($H530=MID(S$1,3,20),IF($I530="",1,0.6),IF($I530=MID(S$1,3,20),0.4,0)))</f>
        <v>0</v>
      </c>
      <c r="T530" s="10" t="n">
        <f aca="false">IF($H530="숙박",0,IF($H530=MID(T$1,3,20),IF($I530="",1,0.6),IF($I530=MID(T$1,3,20),0.4,0)))</f>
        <v>0</v>
      </c>
      <c r="U530" s="10" t="n">
        <f aca="false">IF($H530="숙박",0,IF(ISNUMBER(SEARCH("야경",$J530)),1,0))</f>
        <v>0</v>
      </c>
      <c r="V530" s="10" t="n">
        <f aca="false">IF($H530="숙박",0,1)</f>
        <v>1</v>
      </c>
    </row>
    <row r="531" customFormat="false" ht="15" hidden="false" customHeight="false" outlineLevel="0" collapsed="false">
      <c r="A531" s="8" t="n">
        <v>530</v>
      </c>
      <c r="B531" s="8" t="s">
        <v>45</v>
      </c>
      <c r="C531" s="8" t="s">
        <v>1336</v>
      </c>
      <c r="D531" s="8" t="s">
        <v>1715</v>
      </c>
      <c r="E531" s="7" t="s">
        <v>1716</v>
      </c>
      <c r="F531" s="8"/>
      <c r="G531" s="8" t="s">
        <v>184</v>
      </c>
      <c r="H531" s="9" t="s">
        <v>184</v>
      </c>
      <c r="I531" s="9"/>
      <c r="J531" s="9"/>
      <c r="K531" s="9" t="s">
        <v>191</v>
      </c>
      <c r="L531" s="8"/>
      <c r="M531" s="8"/>
      <c r="N531" s="8"/>
      <c r="O531" s="8" t="s">
        <v>1717</v>
      </c>
      <c r="P531" s="10" t="n">
        <f aca="false">IF($H531="숙박",0,IF($H531=MID(P$1,3,20),IF($I531="",1,0.6),IF($I531=MID(P$1,3,20),0.4,0)))</f>
        <v>0</v>
      </c>
      <c r="Q531" s="10" t="n">
        <f aca="false">IF($H531="숙박",0,IF($H531=MID(Q$1,3,20),IF($I531="",1,0.6),IF($I531=MID(Q$1,3,20),0.4,0)))</f>
        <v>0</v>
      </c>
      <c r="R531" s="10" t="n">
        <f aca="false">IF($H531="숙박",0,IF($H531=MID(R$1,3,20),IF($I531="",1,0.6),IF($I531=MID(R$1,3,20),0.4,0)))</f>
        <v>1</v>
      </c>
      <c r="S531" s="10" t="n">
        <f aca="false">IF($H531="숙박",0,IF($H531=MID(S$1,3,20),IF($I531="",1,0.6),IF($I531=MID(S$1,3,20),0.4,0)))</f>
        <v>0</v>
      </c>
      <c r="T531" s="10" t="n">
        <f aca="false">IF($H531="숙박",0,IF($H531=MID(T$1,3,20),IF($I531="",1,0.6),IF($I531=MID(T$1,3,20),0.4,0)))</f>
        <v>0</v>
      </c>
      <c r="U531" s="10" t="n">
        <f aca="false">IF($H531="숙박",0,IF(ISNUMBER(SEARCH("야경",$J531)),1,0))</f>
        <v>0</v>
      </c>
      <c r="V531" s="10" t="n">
        <f aca="false">IF($H531="숙박",0,1)</f>
        <v>1</v>
      </c>
    </row>
    <row r="532" customFormat="false" ht="15" hidden="false" customHeight="false" outlineLevel="0" collapsed="false">
      <c r="A532" s="8" t="n">
        <v>531</v>
      </c>
      <c r="B532" s="8" t="s">
        <v>45</v>
      </c>
      <c r="C532" s="8" t="s">
        <v>1336</v>
      </c>
      <c r="D532" s="8" t="s">
        <v>1718</v>
      </c>
      <c r="E532" s="7" t="s">
        <v>1719</v>
      </c>
      <c r="F532" s="8"/>
      <c r="G532" s="8" t="s">
        <v>184</v>
      </c>
      <c r="H532" s="9" t="s">
        <v>184</v>
      </c>
      <c r="I532" s="9"/>
      <c r="J532" s="9"/>
      <c r="K532" s="9" t="s">
        <v>191</v>
      </c>
      <c r="L532" s="8"/>
      <c r="M532" s="8"/>
      <c r="N532" s="8"/>
      <c r="O532" s="8" t="s">
        <v>1720</v>
      </c>
      <c r="P532" s="10" t="n">
        <f aca="false">IF($H532="숙박",0,IF($H532=MID(P$1,3,20),IF($I532="",1,0.6),IF($I532=MID(P$1,3,20),0.4,0)))</f>
        <v>0</v>
      </c>
      <c r="Q532" s="10" t="n">
        <f aca="false">IF($H532="숙박",0,IF($H532=MID(Q$1,3,20),IF($I532="",1,0.6),IF($I532=MID(Q$1,3,20),0.4,0)))</f>
        <v>0</v>
      </c>
      <c r="R532" s="10" t="n">
        <f aca="false">IF($H532="숙박",0,IF($H532=MID(R$1,3,20),IF($I532="",1,0.6),IF($I532=MID(R$1,3,20),0.4,0)))</f>
        <v>1</v>
      </c>
      <c r="S532" s="10" t="n">
        <f aca="false">IF($H532="숙박",0,IF($H532=MID(S$1,3,20),IF($I532="",1,0.6),IF($I532=MID(S$1,3,20),0.4,0)))</f>
        <v>0</v>
      </c>
      <c r="T532" s="10" t="n">
        <f aca="false">IF($H532="숙박",0,IF($H532=MID(T$1,3,20),IF($I532="",1,0.6),IF($I532=MID(T$1,3,20),0.4,0)))</f>
        <v>0</v>
      </c>
      <c r="U532" s="10" t="n">
        <f aca="false">IF($H532="숙박",0,IF(ISNUMBER(SEARCH("야경",$J532)),1,0))</f>
        <v>0</v>
      </c>
      <c r="V532" s="10" t="n">
        <f aca="false">IF($H532="숙박",0,1)</f>
        <v>1</v>
      </c>
    </row>
    <row r="533" customFormat="false" ht="15" hidden="false" customHeight="false" outlineLevel="0" collapsed="false">
      <c r="A533" s="8" t="n">
        <v>532</v>
      </c>
      <c r="B533" s="8" t="s">
        <v>45</v>
      </c>
      <c r="C533" s="8" t="s">
        <v>1336</v>
      </c>
      <c r="D533" s="8" t="s">
        <v>1721</v>
      </c>
      <c r="E533" s="7" t="s">
        <v>1722</v>
      </c>
      <c r="F533" s="8"/>
      <c r="G533" s="8" t="s">
        <v>190</v>
      </c>
      <c r="H533" s="9" t="s">
        <v>190</v>
      </c>
      <c r="I533" s="9" t="s">
        <v>184</v>
      </c>
      <c r="J533" s="9"/>
      <c r="K533" s="9" t="s">
        <v>191</v>
      </c>
      <c r="L533" s="8"/>
      <c r="M533" s="8"/>
      <c r="N533" s="8" t="s">
        <v>483</v>
      </c>
      <c r="O533" s="8" t="s">
        <v>1723</v>
      </c>
      <c r="P533" s="10" t="n">
        <f aca="false">IF($H533="숙박",0,IF($H533=MID(P$1,3,20),IF($I533="",1,0.6),IF($I533=MID(P$1,3,20),0.4,0)))</f>
        <v>0.6</v>
      </c>
      <c r="Q533" s="10" t="n">
        <f aca="false">IF($H533="숙박",0,IF($H533=MID(Q$1,3,20),IF($I533="",1,0.6),IF($I533=MID(Q$1,3,20),0.4,0)))</f>
        <v>0</v>
      </c>
      <c r="R533" s="10" t="n">
        <f aca="false">IF($H533="숙박",0,IF($H533=MID(R$1,3,20),IF($I533="",1,0.6),IF($I533=MID(R$1,3,20),0.4,0)))</f>
        <v>0.4</v>
      </c>
      <c r="S533" s="10" t="n">
        <f aca="false">IF($H533="숙박",0,IF($H533=MID(S$1,3,20),IF($I533="",1,0.6),IF($I533=MID(S$1,3,20),0.4,0)))</f>
        <v>0</v>
      </c>
      <c r="T533" s="10" t="n">
        <f aca="false">IF($H533="숙박",0,IF($H533=MID(T$1,3,20),IF($I533="",1,0.6),IF($I533=MID(T$1,3,20),0.4,0)))</f>
        <v>0</v>
      </c>
      <c r="U533" s="10" t="n">
        <f aca="false">IF($H533="숙박",0,IF(ISNUMBER(SEARCH("야경",$J533)),1,0))</f>
        <v>0</v>
      </c>
      <c r="V533" s="10" t="n">
        <f aca="false">IF($H533="숙박",0,1)</f>
        <v>1</v>
      </c>
    </row>
    <row r="534" customFormat="false" ht="15" hidden="false" customHeight="false" outlineLevel="0" collapsed="false">
      <c r="A534" s="8" t="n">
        <v>533</v>
      </c>
      <c r="B534" s="8" t="s">
        <v>45</v>
      </c>
      <c r="C534" s="8" t="s">
        <v>174</v>
      </c>
      <c r="D534" s="8" t="s">
        <v>1724</v>
      </c>
      <c r="E534" s="7" t="s">
        <v>1725</v>
      </c>
      <c r="F534" s="8"/>
      <c r="G534" s="8" t="s">
        <v>50</v>
      </c>
      <c r="H534" s="9" t="s">
        <v>50</v>
      </c>
      <c r="I534" s="9" t="s">
        <v>49</v>
      </c>
      <c r="J534" s="9" t="s">
        <v>168</v>
      </c>
      <c r="K534" s="9" t="s">
        <v>52</v>
      </c>
      <c r="L534" s="8"/>
      <c r="M534" s="8"/>
      <c r="N534" s="8" t="s">
        <v>483</v>
      </c>
      <c r="O534" s="8" t="s">
        <v>1726</v>
      </c>
      <c r="P534" s="10" t="n">
        <f aca="false">IF($H534="숙박",0,IF($H534=MID(P$1,3,20),IF($I534="",1,0.6),IF($I534=MID(P$1,3,20),0.4,0)))</f>
        <v>0</v>
      </c>
      <c r="Q534" s="10" t="n">
        <f aca="false">IF($H534="숙박",0,IF($H534=MID(Q$1,3,20),IF($I534="",1,0.6),IF($I534=MID(Q$1,3,20),0.4,0)))</f>
        <v>0.4</v>
      </c>
      <c r="R534" s="10" t="n">
        <f aca="false">IF($H534="숙박",0,IF($H534=MID(R$1,3,20),IF($I534="",1,0.6),IF($I534=MID(R$1,3,20),0.4,0)))</f>
        <v>0</v>
      </c>
      <c r="S534" s="10" t="n">
        <f aca="false">IF($H534="숙박",0,IF($H534=MID(S$1,3,20),IF($I534="",1,0.6),IF($I534=MID(S$1,3,20),0.4,0)))</f>
        <v>0</v>
      </c>
      <c r="T534" s="10" t="n">
        <f aca="false">IF($H534="숙박",0,IF($H534=MID(T$1,3,20),IF($I534="",1,0.6),IF($I534=MID(T$1,3,20),0.4,0)))</f>
        <v>0.6</v>
      </c>
      <c r="U534" s="10" t="n">
        <f aca="false">IF($H534="숙박",0,IF(ISNUMBER(SEARCH("야경",$J534)),1,0))</f>
        <v>0</v>
      </c>
      <c r="V534" s="10" t="n">
        <f aca="false">IF($H534="숙박",0,1)</f>
        <v>1</v>
      </c>
    </row>
    <row r="535" customFormat="false" ht="15" hidden="false" customHeight="false" outlineLevel="0" collapsed="false">
      <c r="A535" s="8" t="n">
        <v>534</v>
      </c>
      <c r="B535" s="8" t="s">
        <v>45</v>
      </c>
      <c r="C535" s="8" t="s">
        <v>376</v>
      </c>
      <c r="D535" s="8" t="s">
        <v>1727</v>
      </c>
      <c r="E535" s="7" t="s">
        <v>1728</v>
      </c>
      <c r="F535" s="8"/>
      <c r="G535" s="8" t="s">
        <v>49</v>
      </c>
      <c r="H535" s="9" t="s">
        <v>49</v>
      </c>
      <c r="I535" s="9" t="s">
        <v>190</v>
      </c>
      <c r="J535" s="9"/>
      <c r="K535" s="9" t="s">
        <v>52</v>
      </c>
      <c r="L535" s="8"/>
      <c r="M535" s="8"/>
      <c r="N535" s="8" t="s">
        <v>483</v>
      </c>
      <c r="O535" s="8" t="s">
        <v>1729</v>
      </c>
      <c r="P535" s="10" t="n">
        <f aca="false">IF($H535="숙박",0,IF($H535=MID(P$1,3,20),IF($I535="",1,0.6),IF($I535=MID(P$1,3,20),0.4,0)))</f>
        <v>0.4</v>
      </c>
      <c r="Q535" s="10" t="n">
        <f aca="false">IF($H535="숙박",0,IF($H535=MID(Q$1,3,20),IF($I535="",1,0.6),IF($I535=MID(Q$1,3,20),0.4,0)))</f>
        <v>0.6</v>
      </c>
      <c r="R535" s="10" t="n">
        <f aca="false">IF($H535="숙박",0,IF($H535=MID(R$1,3,20),IF($I535="",1,0.6),IF($I535=MID(R$1,3,20),0.4,0)))</f>
        <v>0</v>
      </c>
      <c r="S535" s="10" t="n">
        <f aca="false">IF($H535="숙박",0,IF($H535=MID(S$1,3,20),IF($I535="",1,0.6),IF($I535=MID(S$1,3,20),0.4,0)))</f>
        <v>0</v>
      </c>
      <c r="T535" s="10" t="n">
        <f aca="false">IF($H535="숙박",0,IF($H535=MID(T$1,3,20),IF($I535="",1,0.6),IF($I535=MID(T$1,3,20),0.4,0)))</f>
        <v>0</v>
      </c>
      <c r="U535" s="10" t="n">
        <f aca="false">IF($H535="숙박",0,IF(ISNUMBER(SEARCH("야경",$J535)),1,0))</f>
        <v>0</v>
      </c>
      <c r="V535" s="10" t="n">
        <f aca="false">IF($H535="숙박",0,1)</f>
        <v>1</v>
      </c>
    </row>
    <row r="536" customFormat="false" ht="15" hidden="false" customHeight="false" outlineLevel="0" collapsed="false">
      <c r="A536" s="8" t="n">
        <v>535</v>
      </c>
      <c r="B536" s="8" t="s">
        <v>45</v>
      </c>
      <c r="C536" s="8" t="s">
        <v>1336</v>
      </c>
      <c r="D536" s="8" t="s">
        <v>1730</v>
      </c>
      <c r="E536" s="7" t="s">
        <v>1731</v>
      </c>
      <c r="F536" s="8"/>
      <c r="G536" s="8" t="s">
        <v>184</v>
      </c>
      <c r="H536" s="9" t="s">
        <v>184</v>
      </c>
      <c r="I536" s="9"/>
      <c r="J536" s="9"/>
      <c r="K536" s="9" t="s">
        <v>191</v>
      </c>
      <c r="L536" s="8"/>
      <c r="M536" s="8"/>
      <c r="N536" s="8"/>
      <c r="O536" s="8" t="s">
        <v>1732</v>
      </c>
      <c r="P536" s="10" t="n">
        <f aca="false">IF($H536="숙박",0,IF($H536=MID(P$1,3,20),IF($I536="",1,0.6),IF($I536=MID(P$1,3,20),0.4,0)))</f>
        <v>0</v>
      </c>
      <c r="Q536" s="10" t="n">
        <f aca="false">IF($H536="숙박",0,IF($H536=MID(Q$1,3,20),IF($I536="",1,0.6),IF($I536=MID(Q$1,3,20),0.4,0)))</f>
        <v>0</v>
      </c>
      <c r="R536" s="10" t="n">
        <f aca="false">IF($H536="숙박",0,IF($H536=MID(R$1,3,20),IF($I536="",1,0.6),IF($I536=MID(R$1,3,20),0.4,0)))</f>
        <v>1</v>
      </c>
      <c r="S536" s="10" t="n">
        <f aca="false">IF($H536="숙박",0,IF($H536=MID(S$1,3,20),IF($I536="",1,0.6),IF($I536=MID(S$1,3,20),0.4,0)))</f>
        <v>0</v>
      </c>
      <c r="T536" s="10" t="n">
        <f aca="false">IF($H536="숙박",0,IF($H536=MID(T$1,3,20),IF($I536="",1,0.6),IF($I536=MID(T$1,3,20),0.4,0)))</f>
        <v>0</v>
      </c>
      <c r="U536" s="10" t="n">
        <f aca="false">IF($H536="숙박",0,IF(ISNUMBER(SEARCH("야경",$J536)),1,0))</f>
        <v>0</v>
      </c>
      <c r="V536" s="10" t="n">
        <f aca="false">IF($H536="숙박",0,1)</f>
        <v>1</v>
      </c>
    </row>
    <row r="537" customFormat="false" ht="15" hidden="false" customHeight="false" outlineLevel="0" collapsed="false">
      <c r="A537" s="8" t="n">
        <v>536</v>
      </c>
      <c r="B537" s="8" t="s">
        <v>45</v>
      </c>
      <c r="C537" s="8" t="s">
        <v>1685</v>
      </c>
      <c r="D537" s="8" t="s">
        <v>1733</v>
      </c>
      <c r="E537" s="7" t="s">
        <v>1734</v>
      </c>
      <c r="F537" s="8"/>
      <c r="G537" s="8" t="s">
        <v>49</v>
      </c>
      <c r="H537" s="9" t="s">
        <v>49</v>
      </c>
      <c r="I537" s="9"/>
      <c r="J537" s="9"/>
      <c r="K537" s="9" t="s">
        <v>52</v>
      </c>
      <c r="L537" s="8"/>
      <c r="M537" s="8"/>
      <c r="N537" s="8"/>
      <c r="O537" s="8" t="s">
        <v>1735</v>
      </c>
      <c r="P537" s="10" t="n">
        <f aca="false">IF($H537="숙박",0,IF($H537=MID(P$1,3,20),IF($I537="",1,0.6),IF($I537=MID(P$1,3,20),0.4,0)))</f>
        <v>0</v>
      </c>
      <c r="Q537" s="10" t="n">
        <f aca="false">IF($H537="숙박",0,IF($H537=MID(Q$1,3,20),IF($I537="",1,0.6),IF($I537=MID(Q$1,3,20),0.4,0)))</f>
        <v>1</v>
      </c>
      <c r="R537" s="10" t="n">
        <f aca="false">IF($H537="숙박",0,IF($H537=MID(R$1,3,20),IF($I537="",1,0.6),IF($I537=MID(R$1,3,20),0.4,0)))</f>
        <v>0</v>
      </c>
      <c r="S537" s="10" t="n">
        <f aca="false">IF($H537="숙박",0,IF($H537=MID(S$1,3,20),IF($I537="",1,0.6),IF($I537=MID(S$1,3,20),0.4,0)))</f>
        <v>0</v>
      </c>
      <c r="T537" s="10" t="n">
        <f aca="false">IF($H537="숙박",0,IF($H537=MID(T$1,3,20),IF($I537="",1,0.6),IF($I537=MID(T$1,3,20),0.4,0)))</f>
        <v>0</v>
      </c>
      <c r="U537" s="10" t="n">
        <f aca="false">IF($H537="숙박",0,IF(ISNUMBER(SEARCH("야경",$J537)),1,0))</f>
        <v>0</v>
      </c>
      <c r="V537" s="10" t="n">
        <f aca="false">IF($H537="숙박",0,1)</f>
        <v>1</v>
      </c>
    </row>
    <row r="538" customFormat="false" ht="15" hidden="false" customHeight="false" outlineLevel="0" collapsed="false">
      <c r="A538" s="8" t="n">
        <v>537</v>
      </c>
      <c r="B538" s="8" t="s">
        <v>45</v>
      </c>
      <c r="C538" s="8" t="s">
        <v>1736</v>
      </c>
      <c r="D538" s="8" t="s">
        <v>1737</v>
      </c>
      <c r="E538" s="7" t="s">
        <v>1738</v>
      </c>
      <c r="F538" s="8"/>
      <c r="G538" s="8" t="s">
        <v>190</v>
      </c>
      <c r="H538" s="9" t="s">
        <v>190</v>
      </c>
      <c r="I538" s="9"/>
      <c r="J538" s="9"/>
      <c r="K538" s="9" t="s">
        <v>191</v>
      </c>
      <c r="L538" s="8"/>
      <c r="M538" s="8"/>
      <c r="N538" s="8"/>
      <c r="O538" s="8" t="s">
        <v>1739</v>
      </c>
      <c r="P538" s="10" t="n">
        <f aca="false">IF($H538="숙박",0,IF($H538=MID(P$1,3,20),IF($I538="",1,0.6),IF($I538=MID(P$1,3,20),0.4,0)))</f>
        <v>1</v>
      </c>
      <c r="Q538" s="10" t="n">
        <f aca="false">IF($H538="숙박",0,IF($H538=MID(Q$1,3,20),IF($I538="",1,0.6),IF($I538=MID(Q$1,3,20),0.4,0)))</f>
        <v>0</v>
      </c>
      <c r="R538" s="10" t="n">
        <f aca="false">IF($H538="숙박",0,IF($H538=MID(R$1,3,20),IF($I538="",1,0.6),IF($I538=MID(R$1,3,20),0.4,0)))</f>
        <v>0</v>
      </c>
      <c r="S538" s="10" t="n">
        <f aca="false">IF($H538="숙박",0,IF($H538=MID(S$1,3,20),IF($I538="",1,0.6),IF($I538=MID(S$1,3,20),0.4,0)))</f>
        <v>0</v>
      </c>
      <c r="T538" s="10" t="n">
        <f aca="false">IF($H538="숙박",0,IF($H538=MID(T$1,3,20),IF($I538="",1,0.6),IF($I538=MID(T$1,3,20),0.4,0)))</f>
        <v>0</v>
      </c>
      <c r="U538" s="10" t="n">
        <f aca="false">IF($H538="숙박",0,IF(ISNUMBER(SEARCH("야경",$J538)),1,0))</f>
        <v>0</v>
      </c>
      <c r="V538" s="10" t="n">
        <f aca="false">IF($H538="숙박",0,1)</f>
        <v>1</v>
      </c>
    </row>
    <row r="539" customFormat="false" ht="15" hidden="false" customHeight="false" outlineLevel="0" collapsed="false">
      <c r="A539" s="8" t="n">
        <v>538</v>
      </c>
      <c r="B539" s="8" t="s">
        <v>45</v>
      </c>
      <c r="C539" s="8" t="s">
        <v>1740</v>
      </c>
      <c r="D539" s="8" t="s">
        <v>1741</v>
      </c>
      <c r="E539" s="7" t="s">
        <v>1742</v>
      </c>
      <c r="F539" s="8"/>
      <c r="G539" s="8" t="s">
        <v>190</v>
      </c>
      <c r="H539" s="9" t="s">
        <v>190</v>
      </c>
      <c r="I539" s="9"/>
      <c r="J539" s="9"/>
      <c r="K539" s="9" t="s">
        <v>52</v>
      </c>
      <c r="L539" s="8"/>
      <c r="M539" s="8"/>
      <c r="N539" s="8"/>
      <c r="O539" s="8" t="s">
        <v>1743</v>
      </c>
      <c r="P539" s="10" t="n">
        <f aca="false">IF($H539="숙박",0,IF($H539=MID(P$1,3,20),IF($I539="",1,0.6),IF($I539=MID(P$1,3,20),0.4,0)))</f>
        <v>1</v>
      </c>
      <c r="Q539" s="10" t="n">
        <f aca="false">IF($H539="숙박",0,IF($H539=MID(Q$1,3,20),IF($I539="",1,0.6),IF($I539=MID(Q$1,3,20),0.4,0)))</f>
        <v>0</v>
      </c>
      <c r="R539" s="10" t="n">
        <f aca="false">IF($H539="숙박",0,IF($H539=MID(R$1,3,20),IF($I539="",1,0.6),IF($I539=MID(R$1,3,20),0.4,0)))</f>
        <v>0</v>
      </c>
      <c r="S539" s="10" t="n">
        <f aca="false">IF($H539="숙박",0,IF($H539=MID(S$1,3,20),IF($I539="",1,0.6),IF($I539=MID(S$1,3,20),0.4,0)))</f>
        <v>0</v>
      </c>
      <c r="T539" s="10" t="n">
        <f aca="false">IF($H539="숙박",0,IF($H539=MID(T$1,3,20),IF($I539="",1,0.6),IF($I539=MID(T$1,3,20),0.4,0)))</f>
        <v>0</v>
      </c>
      <c r="U539" s="10" t="n">
        <f aca="false">IF($H539="숙박",0,IF(ISNUMBER(SEARCH("야경",$J539)),1,0))</f>
        <v>0</v>
      </c>
      <c r="V539" s="10" t="n">
        <f aca="false">IF($H539="숙박",0,1)</f>
        <v>1</v>
      </c>
    </row>
    <row r="540" customFormat="false" ht="15" hidden="false" customHeight="false" outlineLevel="0" collapsed="false">
      <c r="A540" s="8" t="n">
        <v>539</v>
      </c>
      <c r="B540" s="8" t="s">
        <v>45</v>
      </c>
      <c r="C540" s="8" t="s">
        <v>1640</v>
      </c>
      <c r="D540" s="8" t="s">
        <v>1744</v>
      </c>
      <c r="E540" s="7" t="s">
        <v>1745</v>
      </c>
      <c r="F540" s="8"/>
      <c r="G540" s="8" t="s">
        <v>190</v>
      </c>
      <c r="H540" s="9" t="s">
        <v>190</v>
      </c>
      <c r="I540" s="9"/>
      <c r="J540" s="9"/>
      <c r="K540" s="9" t="s">
        <v>191</v>
      </c>
      <c r="L540" s="8"/>
      <c r="M540" s="8"/>
      <c r="N540" s="8"/>
      <c r="O540" s="8" t="s">
        <v>1746</v>
      </c>
      <c r="P540" s="10" t="n">
        <f aca="false">IF($H540="숙박",0,IF($H540=MID(P$1,3,20),IF($I540="",1,0.6),IF($I540=MID(P$1,3,20),0.4,0)))</f>
        <v>1</v>
      </c>
      <c r="Q540" s="10" t="n">
        <f aca="false">IF($H540="숙박",0,IF($H540=MID(Q$1,3,20),IF($I540="",1,0.6),IF($I540=MID(Q$1,3,20),0.4,0)))</f>
        <v>0</v>
      </c>
      <c r="R540" s="10" t="n">
        <f aca="false">IF($H540="숙박",0,IF($H540=MID(R$1,3,20),IF($I540="",1,0.6),IF($I540=MID(R$1,3,20),0.4,0)))</f>
        <v>0</v>
      </c>
      <c r="S540" s="10" t="n">
        <f aca="false">IF($H540="숙박",0,IF($H540=MID(S$1,3,20),IF($I540="",1,0.6),IF($I540=MID(S$1,3,20),0.4,0)))</f>
        <v>0</v>
      </c>
      <c r="T540" s="10" t="n">
        <f aca="false">IF($H540="숙박",0,IF($H540=MID(T$1,3,20),IF($I540="",1,0.6),IF($I540=MID(T$1,3,20),0.4,0)))</f>
        <v>0</v>
      </c>
      <c r="U540" s="10" t="n">
        <f aca="false">IF($H540="숙박",0,IF(ISNUMBER(SEARCH("야경",$J540)),1,0))</f>
        <v>0</v>
      </c>
      <c r="V540" s="10" t="n">
        <f aca="false">IF($H540="숙박",0,1)</f>
        <v>1</v>
      </c>
    </row>
    <row r="541" customFormat="false" ht="15" hidden="false" customHeight="false" outlineLevel="0" collapsed="false">
      <c r="A541" s="8" t="n">
        <v>540</v>
      </c>
      <c r="B541" s="8" t="s">
        <v>45</v>
      </c>
      <c r="C541" s="8" t="s">
        <v>1409</v>
      </c>
      <c r="D541" s="8" t="s">
        <v>1747</v>
      </c>
      <c r="E541" s="7" t="s">
        <v>1748</v>
      </c>
      <c r="F541" s="8"/>
      <c r="G541" s="8" t="s">
        <v>190</v>
      </c>
      <c r="H541" s="9" t="s">
        <v>190</v>
      </c>
      <c r="I541" s="9"/>
      <c r="J541" s="9"/>
      <c r="K541" s="9" t="s">
        <v>191</v>
      </c>
      <c r="L541" s="8"/>
      <c r="M541" s="8"/>
      <c r="N541" s="8"/>
      <c r="O541" s="8" t="s">
        <v>1749</v>
      </c>
      <c r="P541" s="10" t="n">
        <f aca="false">IF($H541="숙박",0,IF($H541=MID(P$1,3,20),IF($I541="",1,0.6),IF($I541=MID(P$1,3,20),0.4,0)))</f>
        <v>1</v>
      </c>
      <c r="Q541" s="10" t="n">
        <f aca="false">IF($H541="숙박",0,IF($H541=MID(Q$1,3,20),IF($I541="",1,0.6),IF($I541=MID(Q$1,3,20),0.4,0)))</f>
        <v>0</v>
      </c>
      <c r="R541" s="10" t="n">
        <f aca="false">IF($H541="숙박",0,IF($H541=MID(R$1,3,20),IF($I541="",1,0.6),IF($I541=MID(R$1,3,20),0.4,0)))</f>
        <v>0</v>
      </c>
      <c r="S541" s="10" t="n">
        <f aca="false">IF($H541="숙박",0,IF($H541=MID(S$1,3,20),IF($I541="",1,0.6),IF($I541=MID(S$1,3,20),0.4,0)))</f>
        <v>0</v>
      </c>
      <c r="T541" s="10" t="n">
        <f aca="false">IF($H541="숙박",0,IF($H541=MID(T$1,3,20),IF($I541="",1,0.6),IF($I541=MID(T$1,3,20),0.4,0)))</f>
        <v>0</v>
      </c>
      <c r="U541" s="10" t="n">
        <f aca="false">IF($H541="숙박",0,IF(ISNUMBER(SEARCH("야경",$J541)),1,0))</f>
        <v>0</v>
      </c>
      <c r="V541" s="10" t="n">
        <f aca="false">IF($H541="숙박",0,1)</f>
        <v>1</v>
      </c>
    </row>
    <row r="542" customFormat="false" ht="15" hidden="false" customHeight="false" outlineLevel="0" collapsed="false">
      <c r="A542" s="8" t="n">
        <v>541</v>
      </c>
      <c r="B542" s="8" t="s">
        <v>45</v>
      </c>
      <c r="C542" s="8" t="s">
        <v>1750</v>
      </c>
      <c r="D542" s="8" t="s">
        <v>1751</v>
      </c>
      <c r="E542" s="7" t="s">
        <v>1752</v>
      </c>
      <c r="F542" s="8"/>
      <c r="G542" s="8" t="s">
        <v>216</v>
      </c>
      <c r="H542" s="9" t="s">
        <v>216</v>
      </c>
      <c r="I542" s="9" t="s">
        <v>50</v>
      </c>
      <c r="J542" s="9" t="s">
        <v>168</v>
      </c>
      <c r="K542" s="9" t="s">
        <v>191</v>
      </c>
      <c r="L542" s="8"/>
      <c r="M542" s="8"/>
      <c r="N542" s="8" t="s">
        <v>185</v>
      </c>
      <c r="O542" s="8" t="s">
        <v>1753</v>
      </c>
      <c r="P542" s="10" t="n">
        <f aca="false">IF($H542="숙박",0,IF($H542=MID(P$1,3,20),IF($I542="",1,0.6),IF($I542=MID(P$1,3,20),0.4,0)))</f>
        <v>0</v>
      </c>
      <c r="Q542" s="10" t="n">
        <f aca="false">IF($H542="숙박",0,IF($H542=MID(Q$1,3,20),IF($I542="",1,0.6),IF($I542=MID(Q$1,3,20),0.4,0)))</f>
        <v>0</v>
      </c>
      <c r="R542" s="10" t="n">
        <f aca="false">IF($H542="숙박",0,IF($H542=MID(R$1,3,20),IF($I542="",1,0.6),IF($I542=MID(R$1,3,20),0.4,0)))</f>
        <v>0</v>
      </c>
      <c r="S542" s="10" t="n">
        <f aca="false">IF($H542="숙박",0,IF($H542=MID(S$1,3,20),IF($I542="",1,0.6),IF($I542=MID(S$1,3,20),0.4,0)))</f>
        <v>0.6</v>
      </c>
      <c r="T542" s="10" t="n">
        <f aca="false">IF($H542="숙박",0,IF($H542=MID(T$1,3,20),IF($I542="",1,0.6),IF($I542=MID(T$1,3,20),0.4,0)))</f>
        <v>0.4</v>
      </c>
      <c r="U542" s="10" t="n">
        <f aca="false">IF($H542="숙박",0,IF(ISNUMBER(SEARCH("야경",$J542)),1,0))</f>
        <v>0</v>
      </c>
      <c r="V542" s="10" t="n">
        <f aca="false">IF($H542="숙박",0,1)</f>
        <v>1</v>
      </c>
    </row>
    <row r="543" customFormat="false" ht="15" hidden="false" customHeight="false" outlineLevel="0" collapsed="false">
      <c r="A543" s="8" t="n">
        <v>542</v>
      </c>
      <c r="B543" s="8" t="s">
        <v>45</v>
      </c>
      <c r="C543" s="8"/>
      <c r="D543" s="8" t="s">
        <v>1754</v>
      </c>
      <c r="E543" s="7" t="s">
        <v>1755</v>
      </c>
      <c r="F543" s="8"/>
      <c r="G543" s="8"/>
      <c r="H543" s="9" t="s">
        <v>594</v>
      </c>
      <c r="I543" s="9"/>
      <c r="J543" s="9"/>
      <c r="K543" s="9"/>
      <c r="L543" s="8"/>
      <c r="M543" s="8"/>
      <c r="N543" s="8" t="s">
        <v>595</v>
      </c>
      <c r="O543" s="8"/>
      <c r="P543" s="10" t="n">
        <f aca="false">IF($H543="숙박",0,IF($H543=MID(P$1,3,20),IF($I543="",1,0.6),IF($I543=MID(P$1,3,20),0.4,0)))</f>
        <v>0</v>
      </c>
      <c r="Q543" s="10" t="n">
        <f aca="false">IF($H543="숙박",0,IF($H543=MID(Q$1,3,20),IF($I543="",1,0.6),IF($I543=MID(Q$1,3,20),0.4,0)))</f>
        <v>0</v>
      </c>
      <c r="R543" s="10" t="n">
        <f aca="false">IF($H543="숙박",0,IF($H543=MID(R$1,3,20),IF($I543="",1,0.6),IF($I543=MID(R$1,3,20),0.4,0)))</f>
        <v>0</v>
      </c>
      <c r="S543" s="10" t="n">
        <f aca="false">IF($H543="숙박",0,IF($H543=MID(S$1,3,20),IF($I543="",1,0.6),IF($I543=MID(S$1,3,20),0.4,0)))</f>
        <v>0</v>
      </c>
      <c r="T543" s="10" t="n">
        <f aca="false">IF($H543="숙박",0,IF($H543=MID(T$1,3,20),IF($I543="",1,0.6),IF($I543=MID(T$1,3,20),0.4,0)))</f>
        <v>0</v>
      </c>
      <c r="U543" s="10" t="n">
        <f aca="false">IF($H543="숙박",0,IF(ISNUMBER(SEARCH("야경",$J543)),1,0))</f>
        <v>0</v>
      </c>
      <c r="V543" s="10" t="n">
        <f aca="false">IF($H543="숙박",0,1)</f>
        <v>0</v>
      </c>
    </row>
    <row r="544" customFormat="false" ht="15" hidden="false" customHeight="false" outlineLevel="0" collapsed="false">
      <c r="A544" s="8" t="n">
        <v>543</v>
      </c>
      <c r="B544" s="8" t="s">
        <v>45</v>
      </c>
      <c r="C544" s="8" t="s">
        <v>1444</v>
      </c>
      <c r="D544" s="8" t="s">
        <v>1756</v>
      </c>
      <c r="E544" s="7" t="s">
        <v>1757</v>
      </c>
      <c r="F544" s="8"/>
      <c r="G544" s="8" t="s">
        <v>216</v>
      </c>
      <c r="H544" s="9" t="s">
        <v>216</v>
      </c>
      <c r="I544" s="9"/>
      <c r="J544" s="9"/>
      <c r="K544" s="9" t="s">
        <v>191</v>
      </c>
      <c r="L544" s="8"/>
      <c r="M544" s="8"/>
      <c r="N544" s="8"/>
      <c r="O544" s="8" t="s">
        <v>1758</v>
      </c>
      <c r="P544" s="10" t="n">
        <f aca="false">IF($H544="숙박",0,IF($H544=MID(P$1,3,20),IF($I544="",1,0.6),IF($I544=MID(P$1,3,20),0.4,0)))</f>
        <v>0</v>
      </c>
      <c r="Q544" s="10" t="n">
        <f aca="false">IF($H544="숙박",0,IF($H544=MID(Q$1,3,20),IF($I544="",1,0.6),IF($I544=MID(Q$1,3,20),0.4,0)))</f>
        <v>0</v>
      </c>
      <c r="R544" s="10" t="n">
        <f aca="false">IF($H544="숙박",0,IF($H544=MID(R$1,3,20),IF($I544="",1,0.6),IF($I544=MID(R$1,3,20),0.4,0)))</f>
        <v>0</v>
      </c>
      <c r="S544" s="10" t="n">
        <f aca="false">IF($H544="숙박",0,IF($H544=MID(S$1,3,20),IF($I544="",1,0.6),IF($I544=MID(S$1,3,20),0.4,0)))</f>
        <v>1</v>
      </c>
      <c r="T544" s="10" t="n">
        <f aca="false">IF($H544="숙박",0,IF($H544=MID(T$1,3,20),IF($I544="",1,0.6),IF($I544=MID(T$1,3,20),0.4,0)))</f>
        <v>0</v>
      </c>
      <c r="U544" s="10" t="n">
        <f aca="false">IF($H544="숙박",0,IF(ISNUMBER(SEARCH("야경",$J544)),1,0))</f>
        <v>0</v>
      </c>
      <c r="V544" s="10" t="n">
        <f aca="false">IF($H544="숙박",0,1)</f>
        <v>1</v>
      </c>
    </row>
    <row r="545" customFormat="false" ht="15" hidden="false" customHeight="false" outlineLevel="0" collapsed="false">
      <c r="A545" s="8" t="n">
        <v>544</v>
      </c>
      <c r="B545" s="8" t="s">
        <v>45</v>
      </c>
      <c r="C545" s="8" t="s">
        <v>1535</v>
      </c>
      <c r="D545" s="8" t="s">
        <v>1759</v>
      </c>
      <c r="E545" s="7" t="s">
        <v>1760</v>
      </c>
      <c r="F545" s="8"/>
      <c r="G545" s="8" t="s">
        <v>190</v>
      </c>
      <c r="H545" s="9" t="s">
        <v>190</v>
      </c>
      <c r="I545" s="9" t="s">
        <v>49</v>
      </c>
      <c r="J545" s="9"/>
      <c r="K545" s="9" t="s">
        <v>52</v>
      </c>
      <c r="L545" s="8"/>
      <c r="M545" s="8"/>
      <c r="N545" s="8" t="s">
        <v>483</v>
      </c>
      <c r="O545" s="8" t="s">
        <v>1761</v>
      </c>
      <c r="P545" s="10" t="n">
        <f aca="false">IF($H545="숙박",0,IF($H545=MID(P$1,3,20),IF($I545="",1,0.6),IF($I545=MID(P$1,3,20),0.4,0)))</f>
        <v>0.6</v>
      </c>
      <c r="Q545" s="10" t="n">
        <f aca="false">IF($H545="숙박",0,IF($H545=MID(Q$1,3,20),IF($I545="",1,0.6),IF($I545=MID(Q$1,3,20),0.4,0)))</f>
        <v>0.4</v>
      </c>
      <c r="R545" s="10" t="n">
        <f aca="false">IF($H545="숙박",0,IF($H545=MID(R$1,3,20),IF($I545="",1,0.6),IF($I545=MID(R$1,3,20),0.4,0)))</f>
        <v>0</v>
      </c>
      <c r="S545" s="10" t="n">
        <f aca="false">IF($H545="숙박",0,IF($H545=MID(S$1,3,20),IF($I545="",1,0.6),IF($I545=MID(S$1,3,20),0.4,0)))</f>
        <v>0</v>
      </c>
      <c r="T545" s="10" t="n">
        <f aca="false">IF($H545="숙박",0,IF($H545=MID(T$1,3,20),IF($I545="",1,0.6),IF($I545=MID(T$1,3,20),0.4,0)))</f>
        <v>0</v>
      </c>
      <c r="U545" s="10" t="n">
        <f aca="false">IF($H545="숙박",0,IF(ISNUMBER(SEARCH("야경",$J545)),1,0))</f>
        <v>0</v>
      </c>
      <c r="V545" s="10" t="n">
        <f aca="false">IF($H545="숙박",0,1)</f>
        <v>1</v>
      </c>
    </row>
    <row r="546" customFormat="false" ht="15" hidden="false" customHeight="false" outlineLevel="0" collapsed="false">
      <c r="A546" s="8" t="n">
        <v>545</v>
      </c>
      <c r="B546" s="8" t="s">
        <v>45</v>
      </c>
      <c r="C546" s="8" t="s">
        <v>1736</v>
      </c>
      <c r="D546" s="8" t="s">
        <v>1762</v>
      </c>
      <c r="E546" s="7" t="s">
        <v>1763</v>
      </c>
      <c r="F546" s="8"/>
      <c r="G546" s="8" t="s">
        <v>50</v>
      </c>
      <c r="H546" s="9" t="s">
        <v>50</v>
      </c>
      <c r="I546" s="9"/>
      <c r="J546" s="9" t="s">
        <v>168</v>
      </c>
      <c r="K546" s="9" t="s">
        <v>52</v>
      </c>
      <c r="L546" s="8"/>
      <c r="M546" s="8"/>
      <c r="N546" s="8"/>
      <c r="O546" s="8" t="s">
        <v>1764</v>
      </c>
      <c r="P546" s="10" t="n">
        <f aca="false">IF($H546="숙박",0,IF($H546=MID(P$1,3,20),IF($I546="",1,0.6),IF($I546=MID(P$1,3,20),0.4,0)))</f>
        <v>0</v>
      </c>
      <c r="Q546" s="10" t="n">
        <f aca="false">IF($H546="숙박",0,IF($H546=MID(Q$1,3,20),IF($I546="",1,0.6),IF($I546=MID(Q$1,3,20),0.4,0)))</f>
        <v>0</v>
      </c>
      <c r="R546" s="10" t="n">
        <f aca="false">IF($H546="숙박",0,IF($H546=MID(R$1,3,20),IF($I546="",1,0.6),IF($I546=MID(R$1,3,20),0.4,0)))</f>
        <v>0</v>
      </c>
      <c r="S546" s="10" t="n">
        <f aca="false">IF($H546="숙박",0,IF($H546=MID(S$1,3,20),IF($I546="",1,0.6),IF($I546=MID(S$1,3,20),0.4,0)))</f>
        <v>0</v>
      </c>
      <c r="T546" s="10" t="n">
        <f aca="false">IF($H546="숙박",0,IF($H546=MID(T$1,3,20),IF($I546="",1,0.6),IF($I546=MID(T$1,3,20),0.4,0)))</f>
        <v>1</v>
      </c>
      <c r="U546" s="10" t="n">
        <f aca="false">IF($H546="숙박",0,IF(ISNUMBER(SEARCH("야경",$J546)),1,0))</f>
        <v>0</v>
      </c>
      <c r="V546" s="10" t="n">
        <f aca="false">IF($H546="숙박",0,1)</f>
        <v>1</v>
      </c>
    </row>
    <row r="547" customFormat="false" ht="15" hidden="false" customHeight="false" outlineLevel="0" collapsed="false">
      <c r="A547" s="8" t="n">
        <v>546</v>
      </c>
      <c r="B547" s="8" t="s">
        <v>45</v>
      </c>
      <c r="C547" s="8"/>
      <c r="D547" s="8" t="s">
        <v>1765</v>
      </c>
      <c r="E547" s="7" t="s">
        <v>1766</v>
      </c>
      <c r="F547" s="8"/>
      <c r="G547" s="8"/>
      <c r="H547" s="9" t="s">
        <v>594</v>
      </c>
      <c r="I547" s="9"/>
      <c r="J547" s="9"/>
      <c r="K547" s="9"/>
      <c r="L547" s="8"/>
      <c r="M547" s="8"/>
      <c r="N547" s="8" t="s">
        <v>595</v>
      </c>
      <c r="O547" s="8"/>
      <c r="P547" s="10" t="n">
        <f aca="false">IF($H547="숙박",0,IF($H547=MID(P$1,3,20),IF($I547="",1,0.6),IF($I547=MID(P$1,3,20),0.4,0)))</f>
        <v>0</v>
      </c>
      <c r="Q547" s="10" t="n">
        <f aca="false">IF($H547="숙박",0,IF($H547=MID(Q$1,3,20),IF($I547="",1,0.6),IF($I547=MID(Q$1,3,20),0.4,0)))</f>
        <v>0</v>
      </c>
      <c r="R547" s="10" t="n">
        <f aca="false">IF($H547="숙박",0,IF($H547=MID(R$1,3,20),IF($I547="",1,0.6),IF($I547=MID(R$1,3,20),0.4,0)))</f>
        <v>0</v>
      </c>
      <c r="S547" s="10" t="n">
        <f aca="false">IF($H547="숙박",0,IF($H547=MID(S$1,3,20),IF($I547="",1,0.6),IF($I547=MID(S$1,3,20),0.4,0)))</f>
        <v>0</v>
      </c>
      <c r="T547" s="10" t="n">
        <f aca="false">IF($H547="숙박",0,IF($H547=MID(T$1,3,20),IF($I547="",1,0.6),IF($I547=MID(T$1,3,20),0.4,0)))</f>
        <v>0</v>
      </c>
      <c r="U547" s="10" t="n">
        <f aca="false">IF($H547="숙박",0,IF(ISNUMBER(SEARCH("야경",$J547)),1,0))</f>
        <v>0</v>
      </c>
      <c r="V547" s="10" t="n">
        <f aca="false">IF($H547="숙박",0,1)</f>
        <v>0</v>
      </c>
    </row>
    <row r="548" customFormat="false" ht="15" hidden="false" customHeight="false" outlineLevel="0" collapsed="false">
      <c r="A548" s="8" t="n">
        <v>547</v>
      </c>
      <c r="B548" s="8" t="s">
        <v>45</v>
      </c>
      <c r="C548" s="8" t="s">
        <v>1596</v>
      </c>
      <c r="D548" s="8" t="s">
        <v>1767</v>
      </c>
      <c r="E548" s="7" t="s">
        <v>1768</v>
      </c>
      <c r="F548" s="8"/>
      <c r="G548" s="8" t="s">
        <v>216</v>
      </c>
      <c r="H548" s="9" t="s">
        <v>216</v>
      </c>
      <c r="I548" s="9" t="s">
        <v>190</v>
      </c>
      <c r="J548" s="9"/>
      <c r="K548" s="9" t="s">
        <v>52</v>
      </c>
      <c r="L548" s="8"/>
      <c r="M548" s="8"/>
      <c r="N548" s="8" t="s">
        <v>483</v>
      </c>
      <c r="O548" s="8" t="s">
        <v>1769</v>
      </c>
      <c r="P548" s="10" t="n">
        <f aca="false">IF($H548="숙박",0,IF($H548=MID(P$1,3,20),IF($I548="",1,0.6),IF($I548=MID(P$1,3,20),0.4,0)))</f>
        <v>0.4</v>
      </c>
      <c r="Q548" s="10" t="n">
        <f aca="false">IF($H548="숙박",0,IF($H548=MID(Q$1,3,20),IF($I548="",1,0.6),IF($I548=MID(Q$1,3,20),0.4,0)))</f>
        <v>0</v>
      </c>
      <c r="R548" s="10" t="n">
        <f aca="false">IF($H548="숙박",0,IF($H548=MID(R$1,3,20),IF($I548="",1,0.6),IF($I548=MID(R$1,3,20),0.4,0)))</f>
        <v>0</v>
      </c>
      <c r="S548" s="10" t="n">
        <f aca="false">IF($H548="숙박",0,IF($H548=MID(S$1,3,20),IF($I548="",1,0.6),IF($I548=MID(S$1,3,20),0.4,0)))</f>
        <v>0.6</v>
      </c>
      <c r="T548" s="10" t="n">
        <f aca="false">IF($H548="숙박",0,IF($H548=MID(T$1,3,20),IF($I548="",1,0.6),IF($I548=MID(T$1,3,20),0.4,0)))</f>
        <v>0</v>
      </c>
      <c r="U548" s="10" t="n">
        <f aca="false">IF($H548="숙박",0,IF(ISNUMBER(SEARCH("야경",$J548)),1,0))</f>
        <v>0</v>
      </c>
      <c r="V548" s="10" t="n">
        <f aca="false">IF($H548="숙박",0,1)</f>
        <v>1</v>
      </c>
    </row>
    <row r="549" customFormat="false" ht="15" hidden="false" customHeight="false" outlineLevel="0" collapsed="false">
      <c r="A549" s="8" t="n">
        <v>548</v>
      </c>
      <c r="B549" s="8" t="s">
        <v>45</v>
      </c>
      <c r="C549" s="8"/>
      <c r="D549" s="8" t="s">
        <v>1770</v>
      </c>
      <c r="E549" s="7" t="s">
        <v>1771</v>
      </c>
      <c r="F549" s="8"/>
      <c r="G549" s="8"/>
      <c r="H549" s="9" t="s">
        <v>594</v>
      </c>
      <c r="I549" s="9"/>
      <c r="J549" s="9"/>
      <c r="K549" s="9"/>
      <c r="L549" s="8"/>
      <c r="M549" s="8"/>
      <c r="N549" s="8" t="s">
        <v>595</v>
      </c>
      <c r="O549" s="8"/>
      <c r="P549" s="10" t="n">
        <f aca="false">IF($H549="숙박",0,IF($H549=MID(P$1,3,20),IF($I549="",1,0.6),IF($I549=MID(P$1,3,20),0.4,0)))</f>
        <v>0</v>
      </c>
      <c r="Q549" s="10" t="n">
        <f aca="false">IF($H549="숙박",0,IF($H549=MID(Q$1,3,20),IF($I549="",1,0.6),IF($I549=MID(Q$1,3,20),0.4,0)))</f>
        <v>0</v>
      </c>
      <c r="R549" s="10" t="n">
        <f aca="false">IF($H549="숙박",0,IF($H549=MID(R$1,3,20),IF($I549="",1,0.6),IF($I549=MID(R$1,3,20),0.4,0)))</f>
        <v>0</v>
      </c>
      <c r="S549" s="10" t="n">
        <f aca="false">IF($H549="숙박",0,IF($H549=MID(S$1,3,20),IF($I549="",1,0.6),IF($I549=MID(S$1,3,20),0.4,0)))</f>
        <v>0</v>
      </c>
      <c r="T549" s="10" t="n">
        <f aca="false">IF($H549="숙박",0,IF($H549=MID(T$1,3,20),IF($I549="",1,0.6),IF($I549=MID(T$1,3,20),0.4,0)))</f>
        <v>0</v>
      </c>
      <c r="U549" s="10" t="n">
        <f aca="false">IF($H549="숙박",0,IF(ISNUMBER(SEARCH("야경",$J549)),1,0))</f>
        <v>0</v>
      </c>
      <c r="V549" s="10" t="n">
        <f aca="false">IF($H549="숙박",0,1)</f>
        <v>0</v>
      </c>
    </row>
    <row r="550" customFormat="false" ht="15" hidden="false" customHeight="false" outlineLevel="0" collapsed="false">
      <c r="A550" s="8" t="n">
        <v>549</v>
      </c>
      <c r="B550" s="8" t="s">
        <v>45</v>
      </c>
      <c r="C550" s="8"/>
      <c r="D550" s="8" t="s">
        <v>1772</v>
      </c>
      <c r="E550" s="7" t="s">
        <v>1773</v>
      </c>
      <c r="F550" s="8"/>
      <c r="G550" s="8"/>
      <c r="H550" s="9" t="s">
        <v>594</v>
      </c>
      <c r="I550" s="9"/>
      <c r="J550" s="9"/>
      <c r="K550" s="9"/>
      <c r="L550" s="8"/>
      <c r="M550" s="8"/>
      <c r="N550" s="8" t="s">
        <v>595</v>
      </c>
      <c r="O550" s="8"/>
      <c r="P550" s="10" t="n">
        <f aca="false">IF($H550="숙박",0,IF($H550=MID(P$1,3,20),IF($I550="",1,0.6),IF($I550=MID(P$1,3,20),0.4,0)))</f>
        <v>0</v>
      </c>
      <c r="Q550" s="10" t="n">
        <f aca="false">IF($H550="숙박",0,IF($H550=MID(Q$1,3,20),IF($I550="",1,0.6),IF($I550=MID(Q$1,3,20),0.4,0)))</f>
        <v>0</v>
      </c>
      <c r="R550" s="10" t="n">
        <f aca="false">IF($H550="숙박",0,IF($H550=MID(R$1,3,20),IF($I550="",1,0.6),IF($I550=MID(R$1,3,20),0.4,0)))</f>
        <v>0</v>
      </c>
      <c r="S550" s="10" t="n">
        <f aca="false">IF($H550="숙박",0,IF($H550=MID(S$1,3,20),IF($I550="",1,0.6),IF($I550=MID(S$1,3,20),0.4,0)))</f>
        <v>0</v>
      </c>
      <c r="T550" s="10" t="n">
        <f aca="false">IF($H550="숙박",0,IF($H550=MID(T$1,3,20),IF($I550="",1,0.6),IF($I550=MID(T$1,3,20),0.4,0)))</f>
        <v>0</v>
      </c>
      <c r="U550" s="10" t="n">
        <f aca="false">IF($H550="숙박",0,IF(ISNUMBER(SEARCH("야경",$J550)),1,0))</f>
        <v>0</v>
      </c>
      <c r="V550" s="10" t="n">
        <f aca="false">IF($H550="숙박",0,1)</f>
        <v>0</v>
      </c>
    </row>
    <row r="551" customFormat="false" ht="15" hidden="false" customHeight="false" outlineLevel="0" collapsed="false">
      <c r="A551" s="8" t="n">
        <v>550</v>
      </c>
      <c r="B551" s="8" t="s">
        <v>45</v>
      </c>
      <c r="C551" s="8" t="s">
        <v>1531</v>
      </c>
      <c r="D551" s="8" t="s">
        <v>1774</v>
      </c>
      <c r="E551" s="7" t="s">
        <v>1775</v>
      </c>
      <c r="F551" s="8"/>
      <c r="G551" s="8" t="s">
        <v>190</v>
      </c>
      <c r="H551" s="9" t="s">
        <v>190</v>
      </c>
      <c r="I551" s="9"/>
      <c r="J551" s="9"/>
      <c r="K551" s="9" t="s">
        <v>191</v>
      </c>
      <c r="L551" s="8"/>
      <c r="M551" s="8"/>
      <c r="N551" s="8"/>
      <c r="O551" s="8" t="s">
        <v>1776</v>
      </c>
      <c r="P551" s="10" t="n">
        <f aca="false">IF($H551="숙박",0,IF($H551=MID(P$1,3,20),IF($I551="",1,0.6),IF($I551=MID(P$1,3,20),0.4,0)))</f>
        <v>1</v>
      </c>
      <c r="Q551" s="10" t="n">
        <f aca="false">IF($H551="숙박",0,IF($H551=MID(Q$1,3,20),IF($I551="",1,0.6),IF($I551=MID(Q$1,3,20),0.4,0)))</f>
        <v>0</v>
      </c>
      <c r="R551" s="10" t="n">
        <f aca="false">IF($H551="숙박",0,IF($H551=MID(R$1,3,20),IF($I551="",1,0.6),IF($I551=MID(R$1,3,20),0.4,0)))</f>
        <v>0</v>
      </c>
      <c r="S551" s="10" t="n">
        <f aca="false">IF($H551="숙박",0,IF($H551=MID(S$1,3,20),IF($I551="",1,0.6),IF($I551=MID(S$1,3,20),0.4,0)))</f>
        <v>0</v>
      </c>
      <c r="T551" s="10" t="n">
        <f aca="false">IF($H551="숙박",0,IF($H551=MID(T$1,3,20),IF($I551="",1,0.6),IF($I551=MID(T$1,3,20),0.4,0)))</f>
        <v>0</v>
      </c>
      <c r="U551" s="10" t="n">
        <f aca="false">IF($H551="숙박",0,IF(ISNUMBER(SEARCH("야경",$J551)),1,0))</f>
        <v>0</v>
      </c>
      <c r="V551" s="10" t="n">
        <f aca="false">IF($H551="숙박",0,1)</f>
        <v>1</v>
      </c>
    </row>
    <row r="552" customFormat="false" ht="15" hidden="false" customHeight="false" outlineLevel="0" collapsed="false">
      <c r="A552" s="8" t="n">
        <v>551</v>
      </c>
      <c r="B552" s="8" t="s">
        <v>45</v>
      </c>
      <c r="C552" s="8"/>
      <c r="D552" s="8" t="s">
        <v>1777</v>
      </c>
      <c r="E552" s="7" t="s">
        <v>1778</v>
      </c>
      <c r="F552" s="8"/>
      <c r="G552" s="8"/>
      <c r="H552" s="9" t="s">
        <v>594</v>
      </c>
      <c r="I552" s="9"/>
      <c r="J552" s="9"/>
      <c r="K552" s="9"/>
      <c r="L552" s="8"/>
      <c r="M552" s="8"/>
      <c r="N552" s="8" t="s">
        <v>595</v>
      </c>
      <c r="O552" s="8"/>
      <c r="P552" s="10" t="n">
        <f aca="false">IF($H552="숙박",0,IF($H552=MID(P$1,3,20),IF($I552="",1,0.6),IF($I552=MID(P$1,3,20),0.4,0)))</f>
        <v>0</v>
      </c>
      <c r="Q552" s="10" t="n">
        <f aca="false">IF($H552="숙박",0,IF($H552=MID(Q$1,3,20),IF($I552="",1,0.6),IF($I552=MID(Q$1,3,20),0.4,0)))</f>
        <v>0</v>
      </c>
      <c r="R552" s="10" t="n">
        <f aca="false">IF($H552="숙박",0,IF($H552=MID(R$1,3,20),IF($I552="",1,0.6),IF($I552=MID(R$1,3,20),0.4,0)))</f>
        <v>0</v>
      </c>
      <c r="S552" s="10" t="n">
        <f aca="false">IF($H552="숙박",0,IF($H552=MID(S$1,3,20),IF($I552="",1,0.6),IF($I552=MID(S$1,3,20),0.4,0)))</f>
        <v>0</v>
      </c>
      <c r="T552" s="10" t="n">
        <f aca="false">IF($H552="숙박",0,IF($H552=MID(T$1,3,20),IF($I552="",1,0.6),IF($I552=MID(T$1,3,20),0.4,0)))</f>
        <v>0</v>
      </c>
      <c r="U552" s="10" t="n">
        <f aca="false">IF($H552="숙박",0,IF(ISNUMBER(SEARCH("야경",$J552)),1,0))</f>
        <v>0</v>
      </c>
      <c r="V552" s="10" t="n">
        <f aca="false">IF($H552="숙박",0,1)</f>
        <v>0</v>
      </c>
    </row>
    <row r="553" customFormat="false" ht="15" hidden="false" customHeight="false" outlineLevel="0" collapsed="false">
      <c r="A553" s="8" t="n">
        <v>552</v>
      </c>
      <c r="B553" s="8" t="s">
        <v>45</v>
      </c>
      <c r="C553" s="8" t="s">
        <v>331</v>
      </c>
      <c r="D553" s="8" t="s">
        <v>1779</v>
      </c>
      <c r="E553" s="7" t="s">
        <v>1780</v>
      </c>
      <c r="F553" s="8"/>
      <c r="G553" s="8" t="s">
        <v>49</v>
      </c>
      <c r="H553" s="9" t="s">
        <v>49</v>
      </c>
      <c r="I553" s="9"/>
      <c r="J553" s="9"/>
      <c r="K553" s="9" t="s">
        <v>52</v>
      </c>
      <c r="L553" s="8"/>
      <c r="M553" s="8"/>
      <c r="N553" s="8"/>
      <c r="O553" s="8" t="s">
        <v>1781</v>
      </c>
      <c r="P553" s="10" t="n">
        <f aca="false">IF($H553="숙박",0,IF($H553=MID(P$1,3,20),IF($I553="",1,0.6),IF($I553=MID(P$1,3,20),0.4,0)))</f>
        <v>0</v>
      </c>
      <c r="Q553" s="10" t="n">
        <f aca="false">IF($H553="숙박",0,IF($H553=MID(Q$1,3,20),IF($I553="",1,0.6),IF($I553=MID(Q$1,3,20),0.4,0)))</f>
        <v>1</v>
      </c>
      <c r="R553" s="10" t="n">
        <f aca="false">IF($H553="숙박",0,IF($H553=MID(R$1,3,20),IF($I553="",1,0.6),IF($I553=MID(R$1,3,20),0.4,0)))</f>
        <v>0</v>
      </c>
      <c r="S553" s="10" t="n">
        <f aca="false">IF($H553="숙박",0,IF($H553=MID(S$1,3,20),IF($I553="",1,0.6),IF($I553=MID(S$1,3,20),0.4,0)))</f>
        <v>0</v>
      </c>
      <c r="T553" s="10" t="n">
        <f aca="false">IF($H553="숙박",0,IF($H553=MID(T$1,3,20),IF($I553="",1,0.6),IF($I553=MID(T$1,3,20),0.4,0)))</f>
        <v>0</v>
      </c>
      <c r="U553" s="10" t="n">
        <f aca="false">IF($H553="숙박",0,IF(ISNUMBER(SEARCH("야경",$J553)),1,0))</f>
        <v>0</v>
      </c>
      <c r="V553" s="10" t="n">
        <f aca="false">IF($H553="숙박",0,1)</f>
        <v>1</v>
      </c>
    </row>
    <row r="554" customFormat="false" ht="15" hidden="false" customHeight="false" outlineLevel="0" collapsed="false">
      <c r="A554" s="8" t="n">
        <v>553</v>
      </c>
      <c r="B554" s="8" t="s">
        <v>45</v>
      </c>
      <c r="C554" s="8" t="s">
        <v>331</v>
      </c>
      <c r="D554" s="8" t="s">
        <v>1782</v>
      </c>
      <c r="E554" s="7" t="s">
        <v>1783</v>
      </c>
      <c r="F554" s="8"/>
      <c r="G554" s="8" t="s">
        <v>50</v>
      </c>
      <c r="H554" s="9" t="s">
        <v>50</v>
      </c>
      <c r="I554" s="9"/>
      <c r="J554" s="9" t="s">
        <v>340</v>
      </c>
      <c r="K554" s="9" t="s">
        <v>52</v>
      </c>
      <c r="L554" s="8"/>
      <c r="M554" s="8"/>
      <c r="N554" s="8"/>
      <c r="O554" s="8" t="s">
        <v>1784</v>
      </c>
      <c r="P554" s="10" t="n">
        <f aca="false">IF($H554="숙박",0,IF($H554=MID(P$1,3,20),IF($I554="",1,0.6),IF($I554=MID(P$1,3,20),0.4,0)))</f>
        <v>0</v>
      </c>
      <c r="Q554" s="10" t="n">
        <f aca="false">IF($H554="숙박",0,IF($H554=MID(Q$1,3,20),IF($I554="",1,0.6),IF($I554=MID(Q$1,3,20),0.4,0)))</f>
        <v>0</v>
      </c>
      <c r="R554" s="10" t="n">
        <f aca="false">IF($H554="숙박",0,IF($H554=MID(R$1,3,20),IF($I554="",1,0.6),IF($I554=MID(R$1,3,20),0.4,0)))</f>
        <v>0</v>
      </c>
      <c r="S554" s="10" t="n">
        <f aca="false">IF($H554="숙박",0,IF($H554=MID(S$1,3,20),IF($I554="",1,0.6),IF($I554=MID(S$1,3,20),0.4,0)))</f>
        <v>0</v>
      </c>
      <c r="T554" s="10" t="n">
        <f aca="false">IF($H554="숙박",0,IF($H554=MID(T$1,3,20),IF($I554="",1,0.6),IF($I554=MID(T$1,3,20),0.4,0)))</f>
        <v>1</v>
      </c>
      <c r="U554" s="10" t="n">
        <f aca="false">IF($H554="숙박",0,IF(ISNUMBER(SEARCH("야경",$J554)),1,0))</f>
        <v>1</v>
      </c>
      <c r="V554" s="10" t="n">
        <f aca="false">IF($H554="숙박",0,1)</f>
        <v>1</v>
      </c>
    </row>
    <row r="555" customFormat="false" ht="15" hidden="false" customHeight="false" outlineLevel="0" collapsed="false">
      <c r="A555" s="8" t="n">
        <v>554</v>
      </c>
      <c r="B555" s="8" t="s">
        <v>45</v>
      </c>
      <c r="C555" s="8" t="s">
        <v>1785</v>
      </c>
      <c r="D555" s="8" t="s">
        <v>1786</v>
      </c>
      <c r="E555" s="7" t="s">
        <v>1787</v>
      </c>
      <c r="F555" s="8"/>
      <c r="G555" s="8" t="s">
        <v>184</v>
      </c>
      <c r="H555" s="9" t="s">
        <v>184</v>
      </c>
      <c r="I555" s="9"/>
      <c r="J555" s="9"/>
      <c r="K555" s="9" t="s">
        <v>191</v>
      </c>
      <c r="L555" s="8"/>
      <c r="M555" s="8"/>
      <c r="N555" s="8"/>
      <c r="O555" s="8" t="s">
        <v>1788</v>
      </c>
      <c r="P555" s="10" t="n">
        <f aca="false">IF($H555="숙박",0,IF($H555=MID(P$1,3,20),IF($I555="",1,0.6),IF($I555=MID(P$1,3,20),0.4,0)))</f>
        <v>0</v>
      </c>
      <c r="Q555" s="10" t="n">
        <f aca="false">IF($H555="숙박",0,IF($H555=MID(Q$1,3,20),IF($I555="",1,0.6),IF($I555=MID(Q$1,3,20),0.4,0)))</f>
        <v>0</v>
      </c>
      <c r="R555" s="10" t="n">
        <f aca="false">IF($H555="숙박",0,IF($H555=MID(R$1,3,20),IF($I555="",1,0.6),IF($I555=MID(R$1,3,20),0.4,0)))</f>
        <v>1</v>
      </c>
      <c r="S555" s="10" t="n">
        <f aca="false">IF($H555="숙박",0,IF($H555=MID(S$1,3,20),IF($I555="",1,0.6),IF($I555=MID(S$1,3,20),0.4,0)))</f>
        <v>0</v>
      </c>
      <c r="T555" s="10" t="n">
        <f aca="false">IF($H555="숙박",0,IF($H555=MID(T$1,3,20),IF($I555="",1,0.6),IF($I555=MID(T$1,3,20),0.4,0)))</f>
        <v>0</v>
      </c>
      <c r="U555" s="10" t="n">
        <f aca="false">IF($H555="숙박",0,IF(ISNUMBER(SEARCH("야경",$J555)),1,0))</f>
        <v>0</v>
      </c>
      <c r="V555" s="10" t="n">
        <f aca="false">IF($H555="숙박",0,1)</f>
        <v>1</v>
      </c>
    </row>
    <row r="556" customFormat="false" ht="15" hidden="false" customHeight="false" outlineLevel="0" collapsed="false">
      <c r="A556" s="8" t="n">
        <v>555</v>
      </c>
      <c r="B556" s="8" t="s">
        <v>45</v>
      </c>
      <c r="C556" s="8" t="s">
        <v>1539</v>
      </c>
      <c r="D556" s="8" t="s">
        <v>1789</v>
      </c>
      <c r="E556" s="7" t="s">
        <v>1790</v>
      </c>
      <c r="F556" s="8"/>
      <c r="G556" s="8" t="s">
        <v>190</v>
      </c>
      <c r="H556" s="9" t="s">
        <v>190</v>
      </c>
      <c r="I556" s="9" t="s">
        <v>49</v>
      </c>
      <c r="J556" s="9"/>
      <c r="K556" s="9" t="s">
        <v>52</v>
      </c>
      <c r="L556" s="8"/>
      <c r="M556" s="8"/>
      <c r="N556" s="8" t="s">
        <v>483</v>
      </c>
      <c r="O556" s="8" t="s">
        <v>1791</v>
      </c>
      <c r="P556" s="10" t="n">
        <f aca="false">IF($H556="숙박",0,IF($H556=MID(P$1,3,20),IF($I556="",1,0.6),IF($I556=MID(P$1,3,20),0.4,0)))</f>
        <v>0.6</v>
      </c>
      <c r="Q556" s="10" t="n">
        <f aca="false">IF($H556="숙박",0,IF($H556=MID(Q$1,3,20),IF($I556="",1,0.6),IF($I556=MID(Q$1,3,20),0.4,0)))</f>
        <v>0.4</v>
      </c>
      <c r="R556" s="10" t="n">
        <f aca="false">IF($H556="숙박",0,IF($H556=MID(R$1,3,20),IF($I556="",1,0.6),IF($I556=MID(R$1,3,20),0.4,0)))</f>
        <v>0</v>
      </c>
      <c r="S556" s="10" t="n">
        <f aca="false">IF($H556="숙박",0,IF($H556=MID(S$1,3,20),IF($I556="",1,0.6),IF($I556=MID(S$1,3,20),0.4,0)))</f>
        <v>0</v>
      </c>
      <c r="T556" s="10" t="n">
        <f aca="false">IF($H556="숙박",0,IF($H556=MID(T$1,3,20),IF($I556="",1,0.6),IF($I556=MID(T$1,3,20),0.4,0)))</f>
        <v>0</v>
      </c>
      <c r="U556" s="10" t="n">
        <f aca="false">IF($H556="숙박",0,IF(ISNUMBER(SEARCH("야경",$J556)),1,0))</f>
        <v>0</v>
      </c>
      <c r="V556" s="10" t="n">
        <f aca="false">IF($H556="숙박",0,1)</f>
        <v>1</v>
      </c>
    </row>
    <row r="557" customFormat="false" ht="15" hidden="false" customHeight="false" outlineLevel="0" collapsed="false">
      <c r="A557" s="8" t="n">
        <v>556</v>
      </c>
      <c r="B557" s="8" t="s">
        <v>45</v>
      </c>
      <c r="C557" s="8" t="s">
        <v>310</v>
      </c>
      <c r="D557" s="8" t="s">
        <v>1792</v>
      </c>
      <c r="E557" s="7" t="s">
        <v>1793</v>
      </c>
      <c r="F557" s="8"/>
      <c r="G557" s="8" t="s">
        <v>49</v>
      </c>
      <c r="H557" s="9" t="s">
        <v>49</v>
      </c>
      <c r="I557" s="9"/>
      <c r="J557" s="9"/>
      <c r="K557" s="9" t="s">
        <v>52</v>
      </c>
      <c r="L557" s="8"/>
      <c r="M557" s="8"/>
      <c r="N557" s="8"/>
      <c r="O557" s="8" t="s">
        <v>1794</v>
      </c>
      <c r="P557" s="10" t="n">
        <f aca="false">IF($H557="숙박",0,IF($H557=MID(P$1,3,20),IF($I557="",1,0.6),IF($I557=MID(P$1,3,20),0.4,0)))</f>
        <v>0</v>
      </c>
      <c r="Q557" s="10" t="n">
        <f aca="false">IF($H557="숙박",0,IF($H557=MID(Q$1,3,20),IF($I557="",1,0.6),IF($I557=MID(Q$1,3,20),0.4,0)))</f>
        <v>1</v>
      </c>
      <c r="R557" s="10" t="n">
        <f aca="false">IF($H557="숙박",0,IF($H557=MID(R$1,3,20),IF($I557="",1,0.6),IF($I557=MID(R$1,3,20),0.4,0)))</f>
        <v>0</v>
      </c>
      <c r="S557" s="10" t="n">
        <f aca="false">IF($H557="숙박",0,IF($H557=MID(S$1,3,20),IF($I557="",1,0.6),IF($I557=MID(S$1,3,20),0.4,0)))</f>
        <v>0</v>
      </c>
      <c r="T557" s="10" t="n">
        <f aca="false">IF($H557="숙박",0,IF($H557=MID(T$1,3,20),IF($I557="",1,0.6),IF($I557=MID(T$1,3,20),0.4,0)))</f>
        <v>0</v>
      </c>
      <c r="U557" s="10" t="n">
        <f aca="false">IF($H557="숙박",0,IF(ISNUMBER(SEARCH("야경",$J557)),1,0))</f>
        <v>0</v>
      </c>
      <c r="V557" s="10" t="n">
        <f aca="false">IF($H557="숙박",0,1)</f>
        <v>1</v>
      </c>
    </row>
    <row r="558" customFormat="false" ht="15" hidden="false" customHeight="false" outlineLevel="0" collapsed="false">
      <c r="A558" s="8" t="n">
        <v>557</v>
      </c>
      <c r="B558" s="8" t="s">
        <v>45</v>
      </c>
      <c r="C558" s="8" t="s">
        <v>310</v>
      </c>
      <c r="D558" s="8" t="s">
        <v>1795</v>
      </c>
      <c r="E558" s="7" t="s">
        <v>1796</v>
      </c>
      <c r="F558" s="8"/>
      <c r="G558" s="8" t="s">
        <v>49</v>
      </c>
      <c r="H558" s="9" t="s">
        <v>49</v>
      </c>
      <c r="I558" s="9"/>
      <c r="J558" s="9"/>
      <c r="K558" s="9" t="s">
        <v>52</v>
      </c>
      <c r="L558" s="8"/>
      <c r="M558" s="8"/>
      <c r="N558" s="8"/>
      <c r="O558" s="8" t="s">
        <v>1797</v>
      </c>
      <c r="P558" s="10" t="n">
        <f aca="false">IF($H558="숙박",0,IF($H558=MID(P$1,3,20),IF($I558="",1,0.6),IF($I558=MID(P$1,3,20),0.4,0)))</f>
        <v>0</v>
      </c>
      <c r="Q558" s="10" t="n">
        <f aca="false">IF($H558="숙박",0,IF($H558=MID(Q$1,3,20),IF($I558="",1,0.6),IF($I558=MID(Q$1,3,20),0.4,0)))</f>
        <v>1</v>
      </c>
      <c r="R558" s="10" t="n">
        <f aca="false">IF($H558="숙박",0,IF($H558=MID(R$1,3,20),IF($I558="",1,0.6),IF($I558=MID(R$1,3,20),0.4,0)))</f>
        <v>0</v>
      </c>
      <c r="S558" s="10" t="n">
        <f aca="false">IF($H558="숙박",0,IF($H558=MID(S$1,3,20),IF($I558="",1,0.6),IF($I558=MID(S$1,3,20),0.4,0)))</f>
        <v>0</v>
      </c>
      <c r="T558" s="10" t="n">
        <f aca="false">IF($H558="숙박",0,IF($H558=MID(T$1,3,20),IF($I558="",1,0.6),IF($I558=MID(T$1,3,20),0.4,0)))</f>
        <v>0</v>
      </c>
      <c r="U558" s="10" t="n">
        <f aca="false">IF($H558="숙박",0,IF(ISNUMBER(SEARCH("야경",$J558)),1,0))</f>
        <v>0</v>
      </c>
      <c r="V558" s="10" t="n">
        <f aca="false">IF($H558="숙박",0,1)</f>
        <v>1</v>
      </c>
    </row>
    <row r="559" customFormat="false" ht="15" hidden="false" customHeight="false" outlineLevel="0" collapsed="false">
      <c r="A559" s="8" t="n">
        <v>558</v>
      </c>
      <c r="B559" s="8" t="s">
        <v>45</v>
      </c>
      <c r="C559" s="8" t="s">
        <v>1618</v>
      </c>
      <c r="D559" s="8" t="s">
        <v>1798</v>
      </c>
      <c r="E559" s="7" t="s">
        <v>1799</v>
      </c>
      <c r="F559" s="8"/>
      <c r="G559" s="8" t="s">
        <v>49</v>
      </c>
      <c r="H559" s="9" t="s">
        <v>49</v>
      </c>
      <c r="I559" s="9"/>
      <c r="J559" s="9"/>
      <c r="K559" s="9" t="s">
        <v>52</v>
      </c>
      <c r="L559" s="8"/>
      <c r="M559" s="8"/>
      <c r="N559" s="8"/>
      <c r="O559" s="8" t="s">
        <v>1800</v>
      </c>
      <c r="P559" s="10" t="n">
        <f aca="false">IF($H559="숙박",0,IF($H559=MID(P$1,3,20),IF($I559="",1,0.6),IF($I559=MID(P$1,3,20),0.4,0)))</f>
        <v>0</v>
      </c>
      <c r="Q559" s="10" t="n">
        <f aca="false">IF($H559="숙박",0,IF($H559=MID(Q$1,3,20),IF($I559="",1,0.6),IF($I559=MID(Q$1,3,20),0.4,0)))</f>
        <v>1</v>
      </c>
      <c r="R559" s="10" t="n">
        <f aca="false">IF($H559="숙박",0,IF($H559=MID(R$1,3,20),IF($I559="",1,0.6),IF($I559=MID(R$1,3,20),0.4,0)))</f>
        <v>0</v>
      </c>
      <c r="S559" s="10" t="n">
        <f aca="false">IF($H559="숙박",0,IF($H559=MID(S$1,3,20),IF($I559="",1,0.6),IF($I559=MID(S$1,3,20),0.4,0)))</f>
        <v>0</v>
      </c>
      <c r="T559" s="10" t="n">
        <f aca="false">IF($H559="숙박",0,IF($H559=MID(T$1,3,20),IF($I559="",1,0.6),IF($I559=MID(T$1,3,20),0.4,0)))</f>
        <v>0</v>
      </c>
      <c r="U559" s="10" t="n">
        <f aca="false">IF($H559="숙박",0,IF(ISNUMBER(SEARCH("야경",$J559)),1,0))</f>
        <v>0</v>
      </c>
      <c r="V559" s="10" t="n">
        <f aca="false">IF($H559="숙박",0,1)</f>
        <v>1</v>
      </c>
    </row>
    <row r="560" customFormat="false" ht="15" hidden="false" customHeight="false" outlineLevel="0" collapsed="false">
      <c r="A560" s="8" t="n">
        <v>559</v>
      </c>
      <c r="B560" s="8" t="s">
        <v>45</v>
      </c>
      <c r="C560" s="8"/>
      <c r="D560" s="8" t="s">
        <v>1801</v>
      </c>
      <c r="E560" s="7" t="s">
        <v>1802</v>
      </c>
      <c r="F560" s="8"/>
      <c r="G560" s="8"/>
      <c r="H560" s="9" t="s">
        <v>594</v>
      </c>
      <c r="I560" s="9"/>
      <c r="J560" s="9"/>
      <c r="K560" s="9"/>
      <c r="L560" s="8"/>
      <c r="M560" s="8"/>
      <c r="N560" s="8" t="s">
        <v>595</v>
      </c>
      <c r="O560" s="8"/>
      <c r="P560" s="10" t="n">
        <f aca="false">IF($H560="숙박",0,IF($H560=MID(P$1,3,20),IF($I560="",1,0.6),IF($I560=MID(P$1,3,20),0.4,0)))</f>
        <v>0</v>
      </c>
      <c r="Q560" s="10" t="n">
        <f aca="false">IF($H560="숙박",0,IF($H560=MID(Q$1,3,20),IF($I560="",1,0.6),IF($I560=MID(Q$1,3,20),0.4,0)))</f>
        <v>0</v>
      </c>
      <c r="R560" s="10" t="n">
        <f aca="false">IF($H560="숙박",0,IF($H560=MID(R$1,3,20),IF($I560="",1,0.6),IF($I560=MID(R$1,3,20),0.4,0)))</f>
        <v>0</v>
      </c>
      <c r="S560" s="10" t="n">
        <f aca="false">IF($H560="숙박",0,IF($H560=MID(S$1,3,20),IF($I560="",1,0.6),IF($I560=MID(S$1,3,20),0.4,0)))</f>
        <v>0</v>
      </c>
      <c r="T560" s="10" t="n">
        <f aca="false">IF($H560="숙박",0,IF($H560=MID(T$1,3,20),IF($I560="",1,0.6),IF($I560=MID(T$1,3,20),0.4,0)))</f>
        <v>0</v>
      </c>
      <c r="U560" s="10" t="n">
        <f aca="false">IF($H560="숙박",0,IF(ISNUMBER(SEARCH("야경",$J560)),1,0))</f>
        <v>0</v>
      </c>
      <c r="V560" s="10" t="n">
        <f aca="false">IF($H560="숙박",0,1)</f>
        <v>0</v>
      </c>
    </row>
    <row r="561" customFormat="false" ht="15" hidden="false" customHeight="false" outlineLevel="0" collapsed="false">
      <c r="A561" s="8" t="n">
        <v>560</v>
      </c>
      <c r="B561" s="8" t="s">
        <v>45</v>
      </c>
      <c r="C561" s="8" t="s">
        <v>688</v>
      </c>
      <c r="D561" s="8" t="s">
        <v>1803</v>
      </c>
      <c r="E561" s="7" t="s">
        <v>1804</v>
      </c>
      <c r="F561" s="8"/>
      <c r="G561" s="8" t="s">
        <v>184</v>
      </c>
      <c r="H561" s="9" t="s">
        <v>184</v>
      </c>
      <c r="I561" s="9" t="s">
        <v>216</v>
      </c>
      <c r="J561" s="9"/>
      <c r="K561" s="9" t="s">
        <v>52</v>
      </c>
      <c r="L561" s="8"/>
      <c r="M561" s="8"/>
      <c r="N561" s="8" t="s">
        <v>483</v>
      </c>
      <c r="O561" s="8" t="s">
        <v>1805</v>
      </c>
      <c r="P561" s="10" t="n">
        <f aca="false">IF($H561="숙박",0,IF($H561=MID(P$1,3,20),IF($I561="",1,0.6),IF($I561=MID(P$1,3,20),0.4,0)))</f>
        <v>0</v>
      </c>
      <c r="Q561" s="10" t="n">
        <f aca="false">IF($H561="숙박",0,IF($H561=MID(Q$1,3,20),IF($I561="",1,0.6),IF($I561=MID(Q$1,3,20),0.4,0)))</f>
        <v>0</v>
      </c>
      <c r="R561" s="10" t="n">
        <f aca="false">IF($H561="숙박",0,IF($H561=MID(R$1,3,20),IF($I561="",1,0.6),IF($I561=MID(R$1,3,20),0.4,0)))</f>
        <v>0.6</v>
      </c>
      <c r="S561" s="10" t="n">
        <f aca="false">IF($H561="숙박",0,IF($H561=MID(S$1,3,20),IF($I561="",1,0.6),IF($I561=MID(S$1,3,20),0.4,0)))</f>
        <v>0.4</v>
      </c>
      <c r="T561" s="10" t="n">
        <f aca="false">IF($H561="숙박",0,IF($H561=MID(T$1,3,20),IF($I561="",1,0.6),IF($I561=MID(T$1,3,20),0.4,0)))</f>
        <v>0</v>
      </c>
      <c r="U561" s="10" t="n">
        <f aca="false">IF($H561="숙박",0,IF(ISNUMBER(SEARCH("야경",$J561)),1,0))</f>
        <v>0</v>
      </c>
      <c r="V561" s="10" t="n">
        <f aca="false">IF($H561="숙박",0,1)</f>
        <v>1</v>
      </c>
    </row>
    <row r="562" customFormat="false" ht="15" hidden="false" customHeight="false" outlineLevel="0" collapsed="false">
      <c r="A562" s="8" t="n">
        <v>561</v>
      </c>
      <c r="B562" s="8" t="s">
        <v>45</v>
      </c>
      <c r="C562" s="8" t="s">
        <v>1489</v>
      </c>
      <c r="D562" s="8" t="s">
        <v>1806</v>
      </c>
      <c r="E562" s="7" t="s">
        <v>1807</v>
      </c>
      <c r="F562" s="8"/>
      <c r="G562" s="8" t="s">
        <v>190</v>
      </c>
      <c r="H562" s="9" t="s">
        <v>190</v>
      </c>
      <c r="I562" s="9"/>
      <c r="J562" s="9"/>
      <c r="K562" s="9" t="s">
        <v>191</v>
      </c>
      <c r="L562" s="8"/>
      <c r="M562" s="8"/>
      <c r="N562" s="8"/>
      <c r="O562" s="8" t="s">
        <v>1808</v>
      </c>
      <c r="P562" s="10" t="n">
        <f aca="false">IF($H562="숙박",0,IF($H562=MID(P$1,3,20),IF($I562="",1,0.6),IF($I562=MID(P$1,3,20),0.4,0)))</f>
        <v>1</v>
      </c>
      <c r="Q562" s="10" t="n">
        <f aca="false">IF($H562="숙박",0,IF($H562=MID(Q$1,3,20),IF($I562="",1,0.6),IF($I562=MID(Q$1,3,20),0.4,0)))</f>
        <v>0</v>
      </c>
      <c r="R562" s="10" t="n">
        <f aca="false">IF($H562="숙박",0,IF($H562=MID(R$1,3,20),IF($I562="",1,0.6),IF($I562=MID(R$1,3,20),0.4,0)))</f>
        <v>0</v>
      </c>
      <c r="S562" s="10" t="n">
        <f aca="false">IF($H562="숙박",0,IF($H562=MID(S$1,3,20),IF($I562="",1,0.6),IF($I562=MID(S$1,3,20),0.4,0)))</f>
        <v>0</v>
      </c>
      <c r="T562" s="10" t="n">
        <f aca="false">IF($H562="숙박",0,IF($H562=MID(T$1,3,20),IF($I562="",1,0.6),IF($I562=MID(T$1,3,20),0.4,0)))</f>
        <v>0</v>
      </c>
      <c r="U562" s="10" t="n">
        <f aca="false">IF($H562="숙박",0,IF(ISNUMBER(SEARCH("야경",$J562)),1,0))</f>
        <v>0</v>
      </c>
      <c r="V562" s="10" t="n">
        <f aca="false">IF($H562="숙박",0,1)</f>
        <v>1</v>
      </c>
    </row>
    <row r="563" customFormat="false" ht="15" hidden="false" customHeight="false" outlineLevel="0" collapsed="false">
      <c r="A563" s="8" t="n">
        <v>562</v>
      </c>
      <c r="B563" s="8" t="s">
        <v>45</v>
      </c>
      <c r="C563" s="8" t="s">
        <v>1809</v>
      </c>
      <c r="D563" s="8" t="s">
        <v>1810</v>
      </c>
      <c r="E563" s="7" t="s">
        <v>1811</v>
      </c>
      <c r="F563" s="8"/>
      <c r="G563" s="8" t="s">
        <v>49</v>
      </c>
      <c r="H563" s="9" t="s">
        <v>49</v>
      </c>
      <c r="I563" s="9"/>
      <c r="J563" s="9"/>
      <c r="K563" s="9" t="s">
        <v>52</v>
      </c>
      <c r="L563" s="8"/>
      <c r="M563" s="8"/>
      <c r="N563" s="8"/>
      <c r="O563" s="8" t="s">
        <v>1812</v>
      </c>
      <c r="P563" s="10" t="n">
        <f aca="false">IF($H563="숙박",0,IF($H563=MID(P$1,3,20),IF($I563="",1,0.6),IF($I563=MID(P$1,3,20),0.4,0)))</f>
        <v>0</v>
      </c>
      <c r="Q563" s="10" t="n">
        <f aca="false">IF($H563="숙박",0,IF($H563=MID(Q$1,3,20),IF($I563="",1,0.6),IF($I563=MID(Q$1,3,20),0.4,0)))</f>
        <v>1</v>
      </c>
      <c r="R563" s="10" t="n">
        <f aca="false">IF($H563="숙박",0,IF($H563=MID(R$1,3,20),IF($I563="",1,0.6),IF($I563=MID(R$1,3,20),0.4,0)))</f>
        <v>0</v>
      </c>
      <c r="S563" s="10" t="n">
        <f aca="false">IF($H563="숙박",0,IF($H563=MID(S$1,3,20),IF($I563="",1,0.6),IF($I563=MID(S$1,3,20),0.4,0)))</f>
        <v>0</v>
      </c>
      <c r="T563" s="10" t="n">
        <f aca="false">IF($H563="숙박",0,IF($H563=MID(T$1,3,20),IF($I563="",1,0.6),IF($I563=MID(T$1,3,20),0.4,0)))</f>
        <v>0</v>
      </c>
      <c r="U563" s="10" t="n">
        <f aca="false">IF($H563="숙박",0,IF(ISNUMBER(SEARCH("야경",$J563)),1,0))</f>
        <v>0</v>
      </c>
      <c r="V563" s="10" t="n">
        <f aca="false">IF($H563="숙박",0,1)</f>
        <v>1</v>
      </c>
    </row>
    <row r="564" customFormat="false" ht="15" hidden="false" customHeight="false" outlineLevel="0" collapsed="false">
      <c r="A564" s="8" t="n">
        <v>563</v>
      </c>
      <c r="B564" s="8" t="s">
        <v>45</v>
      </c>
      <c r="C564" s="8" t="s">
        <v>1640</v>
      </c>
      <c r="D564" s="8" t="s">
        <v>1813</v>
      </c>
      <c r="E564" s="7" t="s">
        <v>1814</v>
      </c>
      <c r="F564" s="8"/>
      <c r="G564" s="8" t="s">
        <v>190</v>
      </c>
      <c r="H564" s="9" t="s">
        <v>190</v>
      </c>
      <c r="I564" s="9"/>
      <c r="J564" s="9"/>
      <c r="K564" s="9" t="s">
        <v>191</v>
      </c>
      <c r="L564" s="8"/>
      <c r="M564" s="8"/>
      <c r="N564" s="8"/>
      <c r="O564" s="8" t="s">
        <v>1815</v>
      </c>
      <c r="P564" s="10" t="n">
        <f aca="false">IF($H564="숙박",0,IF($H564=MID(P$1,3,20),IF($I564="",1,0.6),IF($I564=MID(P$1,3,20),0.4,0)))</f>
        <v>1</v>
      </c>
      <c r="Q564" s="10" t="n">
        <f aca="false">IF($H564="숙박",0,IF($H564=MID(Q$1,3,20),IF($I564="",1,0.6),IF($I564=MID(Q$1,3,20),0.4,0)))</f>
        <v>0</v>
      </c>
      <c r="R564" s="10" t="n">
        <f aca="false">IF($H564="숙박",0,IF($H564=MID(R$1,3,20),IF($I564="",1,0.6),IF($I564=MID(R$1,3,20),0.4,0)))</f>
        <v>0</v>
      </c>
      <c r="S564" s="10" t="n">
        <f aca="false">IF($H564="숙박",0,IF($H564=MID(S$1,3,20),IF($I564="",1,0.6),IF($I564=MID(S$1,3,20),0.4,0)))</f>
        <v>0</v>
      </c>
      <c r="T564" s="10" t="n">
        <f aca="false">IF($H564="숙박",0,IF($H564=MID(T$1,3,20),IF($I564="",1,0.6),IF($I564=MID(T$1,3,20),0.4,0)))</f>
        <v>0</v>
      </c>
      <c r="U564" s="10" t="n">
        <f aca="false">IF($H564="숙박",0,IF(ISNUMBER(SEARCH("야경",$J564)),1,0))</f>
        <v>0</v>
      </c>
      <c r="V564" s="10" t="n">
        <f aca="false">IF($H564="숙박",0,1)</f>
        <v>1</v>
      </c>
    </row>
    <row r="565" customFormat="false" ht="15" hidden="false" customHeight="false" outlineLevel="0" collapsed="false">
      <c r="A565" s="8" t="n">
        <v>564</v>
      </c>
      <c r="B565" s="8" t="s">
        <v>45</v>
      </c>
      <c r="C565" s="8" t="s">
        <v>388</v>
      </c>
      <c r="D565" s="8" t="s">
        <v>1816</v>
      </c>
      <c r="E565" s="7" t="s">
        <v>1817</v>
      </c>
      <c r="F565" s="8"/>
      <c r="G565" s="8" t="s">
        <v>50</v>
      </c>
      <c r="H565" s="9" t="s">
        <v>50</v>
      </c>
      <c r="I565" s="9"/>
      <c r="J565" s="9" t="s">
        <v>168</v>
      </c>
      <c r="K565" s="9" t="s">
        <v>52</v>
      </c>
      <c r="L565" s="8"/>
      <c r="M565" s="8"/>
      <c r="N565" s="8"/>
      <c r="O565" s="8" t="s">
        <v>1818</v>
      </c>
      <c r="P565" s="10" t="n">
        <f aca="false">IF($H565="숙박",0,IF($H565=MID(P$1,3,20),IF($I565="",1,0.6),IF($I565=MID(P$1,3,20),0.4,0)))</f>
        <v>0</v>
      </c>
      <c r="Q565" s="10" t="n">
        <f aca="false">IF($H565="숙박",0,IF($H565=MID(Q$1,3,20),IF($I565="",1,0.6),IF($I565=MID(Q$1,3,20),0.4,0)))</f>
        <v>0</v>
      </c>
      <c r="R565" s="10" t="n">
        <f aca="false">IF($H565="숙박",0,IF($H565=MID(R$1,3,20),IF($I565="",1,0.6),IF($I565=MID(R$1,3,20),0.4,0)))</f>
        <v>0</v>
      </c>
      <c r="S565" s="10" t="n">
        <f aca="false">IF($H565="숙박",0,IF($H565=MID(S$1,3,20),IF($I565="",1,0.6),IF($I565=MID(S$1,3,20),0.4,0)))</f>
        <v>0</v>
      </c>
      <c r="T565" s="10" t="n">
        <f aca="false">IF($H565="숙박",0,IF($H565=MID(T$1,3,20),IF($I565="",1,0.6),IF($I565=MID(T$1,3,20),0.4,0)))</f>
        <v>1</v>
      </c>
      <c r="U565" s="10" t="n">
        <f aca="false">IF($H565="숙박",0,IF(ISNUMBER(SEARCH("야경",$J565)),1,0))</f>
        <v>0</v>
      </c>
      <c r="V565" s="10" t="n">
        <f aca="false">IF($H565="숙박",0,1)</f>
        <v>1</v>
      </c>
    </row>
    <row r="566" customFormat="false" ht="15" hidden="false" customHeight="false" outlineLevel="0" collapsed="false">
      <c r="A566" s="8" t="n">
        <v>565</v>
      </c>
      <c r="B566" s="8" t="s">
        <v>45</v>
      </c>
      <c r="C566" s="8" t="s">
        <v>331</v>
      </c>
      <c r="D566" s="8" t="s">
        <v>1819</v>
      </c>
      <c r="E566" s="7" t="s">
        <v>1820</v>
      </c>
      <c r="F566" s="8"/>
      <c r="G566" s="8" t="s">
        <v>49</v>
      </c>
      <c r="H566" s="9" t="s">
        <v>49</v>
      </c>
      <c r="I566" s="9" t="s">
        <v>190</v>
      </c>
      <c r="J566" s="9"/>
      <c r="K566" s="9" t="s">
        <v>52</v>
      </c>
      <c r="L566" s="8"/>
      <c r="M566" s="8"/>
      <c r="N566" s="8" t="s">
        <v>483</v>
      </c>
      <c r="O566" s="8" t="s">
        <v>1821</v>
      </c>
      <c r="P566" s="10" t="n">
        <f aca="false">IF($H566="숙박",0,IF($H566=MID(P$1,3,20),IF($I566="",1,0.6),IF($I566=MID(P$1,3,20),0.4,0)))</f>
        <v>0.4</v>
      </c>
      <c r="Q566" s="10" t="n">
        <f aca="false">IF($H566="숙박",0,IF($H566=MID(Q$1,3,20),IF($I566="",1,0.6),IF($I566=MID(Q$1,3,20),0.4,0)))</f>
        <v>0.6</v>
      </c>
      <c r="R566" s="10" t="n">
        <f aca="false">IF($H566="숙박",0,IF($H566=MID(R$1,3,20),IF($I566="",1,0.6),IF($I566=MID(R$1,3,20),0.4,0)))</f>
        <v>0</v>
      </c>
      <c r="S566" s="10" t="n">
        <f aca="false">IF($H566="숙박",0,IF($H566=MID(S$1,3,20),IF($I566="",1,0.6),IF($I566=MID(S$1,3,20),0.4,0)))</f>
        <v>0</v>
      </c>
      <c r="T566" s="10" t="n">
        <f aca="false">IF($H566="숙박",0,IF($H566=MID(T$1,3,20),IF($I566="",1,0.6),IF($I566=MID(T$1,3,20),0.4,0)))</f>
        <v>0</v>
      </c>
      <c r="U566" s="10" t="n">
        <f aca="false">IF($H566="숙박",0,IF(ISNUMBER(SEARCH("야경",$J566)),1,0))</f>
        <v>0</v>
      </c>
      <c r="V566" s="10" t="n">
        <f aca="false">IF($H566="숙박",0,1)</f>
        <v>1</v>
      </c>
    </row>
    <row r="567" customFormat="false" ht="15" hidden="false" customHeight="false" outlineLevel="0" collapsed="false">
      <c r="A567" s="8" t="n">
        <v>566</v>
      </c>
      <c r="B567" s="8" t="s">
        <v>45</v>
      </c>
      <c r="C567" s="8" t="s">
        <v>1822</v>
      </c>
      <c r="D567" s="8" t="s">
        <v>1823</v>
      </c>
      <c r="E567" s="7" t="s">
        <v>1824</v>
      </c>
      <c r="F567" s="8"/>
      <c r="G567" s="8" t="s">
        <v>190</v>
      </c>
      <c r="H567" s="9" t="s">
        <v>190</v>
      </c>
      <c r="I567" s="9"/>
      <c r="J567" s="9" t="s">
        <v>1361</v>
      </c>
      <c r="K567" s="9" t="s">
        <v>191</v>
      </c>
      <c r="L567" s="8"/>
      <c r="M567" s="8"/>
      <c r="N567" s="8"/>
      <c r="O567" s="8" t="s">
        <v>1825</v>
      </c>
      <c r="P567" s="10" t="n">
        <f aca="false">IF($H567="숙박",0,IF($H567=MID(P$1,3,20),IF($I567="",1,0.6),IF($I567=MID(P$1,3,20),0.4,0)))</f>
        <v>1</v>
      </c>
      <c r="Q567" s="10" t="n">
        <f aca="false">IF($H567="숙박",0,IF($H567=MID(Q$1,3,20),IF($I567="",1,0.6),IF($I567=MID(Q$1,3,20),0.4,0)))</f>
        <v>0</v>
      </c>
      <c r="R567" s="10" t="n">
        <f aca="false">IF($H567="숙박",0,IF($H567=MID(R$1,3,20),IF($I567="",1,0.6),IF($I567=MID(R$1,3,20),0.4,0)))</f>
        <v>0</v>
      </c>
      <c r="S567" s="10" t="n">
        <f aca="false">IF($H567="숙박",0,IF($H567=MID(S$1,3,20),IF($I567="",1,0.6),IF($I567=MID(S$1,3,20),0.4,0)))</f>
        <v>0</v>
      </c>
      <c r="T567" s="10" t="n">
        <f aca="false">IF($H567="숙박",0,IF($H567=MID(T$1,3,20),IF($I567="",1,0.6),IF($I567=MID(T$1,3,20),0.4,0)))</f>
        <v>0</v>
      </c>
      <c r="U567" s="10" t="n">
        <f aca="false">IF($H567="숙박",0,IF(ISNUMBER(SEARCH("야경",$J567)),1,0))</f>
        <v>0</v>
      </c>
      <c r="V567" s="10" t="n">
        <f aca="false">IF($H567="숙박",0,1)</f>
        <v>1</v>
      </c>
    </row>
    <row r="568" customFormat="false" ht="15" hidden="false" customHeight="false" outlineLevel="0" collapsed="false">
      <c r="A568" s="8" t="n">
        <v>567</v>
      </c>
      <c r="B568" s="8" t="s">
        <v>45</v>
      </c>
      <c r="C568" s="8" t="s">
        <v>342</v>
      </c>
      <c r="D568" s="8" t="s">
        <v>1826</v>
      </c>
      <c r="E568" s="7" t="s">
        <v>1827</v>
      </c>
      <c r="F568" s="8"/>
      <c r="G568" s="8" t="s">
        <v>190</v>
      </c>
      <c r="H568" s="9" t="s">
        <v>190</v>
      </c>
      <c r="I568" s="9"/>
      <c r="J568" s="9"/>
      <c r="K568" s="9" t="s">
        <v>191</v>
      </c>
      <c r="L568" s="8"/>
      <c r="M568" s="8"/>
      <c r="N568" s="8"/>
      <c r="O568" s="8" t="s">
        <v>1828</v>
      </c>
      <c r="P568" s="10" t="n">
        <f aca="false">IF($H568="숙박",0,IF($H568=MID(P$1,3,20),IF($I568="",1,0.6),IF($I568=MID(P$1,3,20),0.4,0)))</f>
        <v>1</v>
      </c>
      <c r="Q568" s="10" t="n">
        <f aca="false">IF($H568="숙박",0,IF($H568=MID(Q$1,3,20),IF($I568="",1,0.6),IF($I568=MID(Q$1,3,20),0.4,0)))</f>
        <v>0</v>
      </c>
      <c r="R568" s="10" t="n">
        <f aca="false">IF($H568="숙박",0,IF($H568=MID(R$1,3,20),IF($I568="",1,0.6),IF($I568=MID(R$1,3,20),0.4,0)))</f>
        <v>0</v>
      </c>
      <c r="S568" s="10" t="n">
        <f aca="false">IF($H568="숙박",0,IF($H568=MID(S$1,3,20),IF($I568="",1,0.6),IF($I568=MID(S$1,3,20),0.4,0)))</f>
        <v>0</v>
      </c>
      <c r="T568" s="10" t="n">
        <f aca="false">IF($H568="숙박",0,IF($H568=MID(T$1,3,20),IF($I568="",1,0.6),IF($I568=MID(T$1,3,20),0.4,0)))</f>
        <v>0</v>
      </c>
      <c r="U568" s="10" t="n">
        <f aca="false">IF($H568="숙박",0,IF(ISNUMBER(SEARCH("야경",$J568)),1,0))</f>
        <v>0</v>
      </c>
      <c r="V568" s="10" t="n">
        <f aca="false">IF($H568="숙박",0,1)</f>
        <v>1</v>
      </c>
    </row>
    <row r="569" customFormat="false" ht="15" hidden="false" customHeight="false" outlineLevel="0" collapsed="false">
      <c r="A569" s="8" t="n">
        <v>568</v>
      </c>
      <c r="B569" s="8" t="s">
        <v>45</v>
      </c>
      <c r="C569" s="8" t="s">
        <v>1829</v>
      </c>
      <c r="D569" s="8" t="s">
        <v>1830</v>
      </c>
      <c r="E569" s="7" t="s">
        <v>1831</v>
      </c>
      <c r="F569" s="8"/>
      <c r="G569" s="8" t="s">
        <v>184</v>
      </c>
      <c r="H569" s="9" t="s">
        <v>184</v>
      </c>
      <c r="I569" s="9"/>
      <c r="J569" s="9"/>
      <c r="K569" s="9" t="s">
        <v>191</v>
      </c>
      <c r="L569" s="8"/>
      <c r="M569" s="8"/>
      <c r="N569" s="8"/>
      <c r="O569" s="8" t="s">
        <v>1832</v>
      </c>
      <c r="P569" s="10" t="n">
        <f aca="false">IF($H569="숙박",0,IF($H569=MID(P$1,3,20),IF($I569="",1,0.6),IF($I569=MID(P$1,3,20),0.4,0)))</f>
        <v>0</v>
      </c>
      <c r="Q569" s="10" t="n">
        <f aca="false">IF($H569="숙박",0,IF($H569=MID(Q$1,3,20),IF($I569="",1,0.6),IF($I569=MID(Q$1,3,20),0.4,0)))</f>
        <v>0</v>
      </c>
      <c r="R569" s="10" t="n">
        <f aca="false">IF($H569="숙박",0,IF($H569=MID(R$1,3,20),IF($I569="",1,0.6),IF($I569=MID(R$1,3,20),0.4,0)))</f>
        <v>1</v>
      </c>
      <c r="S569" s="10" t="n">
        <f aca="false">IF($H569="숙박",0,IF($H569=MID(S$1,3,20),IF($I569="",1,0.6),IF($I569=MID(S$1,3,20),0.4,0)))</f>
        <v>0</v>
      </c>
      <c r="T569" s="10" t="n">
        <f aca="false">IF($H569="숙박",0,IF($H569=MID(T$1,3,20),IF($I569="",1,0.6),IF($I569=MID(T$1,3,20),0.4,0)))</f>
        <v>0</v>
      </c>
      <c r="U569" s="10" t="n">
        <f aca="false">IF($H569="숙박",0,IF(ISNUMBER(SEARCH("야경",$J569)),1,0))</f>
        <v>0</v>
      </c>
      <c r="V569" s="10" t="n">
        <f aca="false">IF($H569="숙박",0,1)</f>
        <v>1</v>
      </c>
    </row>
    <row r="570" customFormat="false" ht="15" hidden="false" customHeight="false" outlineLevel="0" collapsed="false">
      <c r="A570" s="8" t="n">
        <v>569</v>
      </c>
      <c r="B570" s="8" t="s">
        <v>45</v>
      </c>
      <c r="C570" s="8" t="s">
        <v>1504</v>
      </c>
      <c r="D570" s="8" t="s">
        <v>1833</v>
      </c>
      <c r="E570" s="7" t="s">
        <v>1834</v>
      </c>
      <c r="F570" s="8"/>
      <c r="G570" s="8" t="s">
        <v>216</v>
      </c>
      <c r="H570" s="9" t="s">
        <v>216</v>
      </c>
      <c r="I570" s="9" t="s">
        <v>49</v>
      </c>
      <c r="J570" s="9"/>
      <c r="K570" s="9" t="s">
        <v>191</v>
      </c>
      <c r="L570" s="8"/>
      <c r="M570" s="8"/>
      <c r="N570" s="8" t="s">
        <v>483</v>
      </c>
      <c r="O570" s="8" t="s">
        <v>1835</v>
      </c>
      <c r="P570" s="10" t="n">
        <f aca="false">IF($H570="숙박",0,IF($H570=MID(P$1,3,20),IF($I570="",1,0.6),IF($I570=MID(P$1,3,20),0.4,0)))</f>
        <v>0</v>
      </c>
      <c r="Q570" s="10" t="n">
        <f aca="false">IF($H570="숙박",0,IF($H570=MID(Q$1,3,20),IF($I570="",1,0.6),IF($I570=MID(Q$1,3,20),0.4,0)))</f>
        <v>0.4</v>
      </c>
      <c r="R570" s="10" t="n">
        <f aca="false">IF($H570="숙박",0,IF($H570=MID(R$1,3,20),IF($I570="",1,0.6),IF($I570=MID(R$1,3,20),0.4,0)))</f>
        <v>0</v>
      </c>
      <c r="S570" s="10" t="n">
        <f aca="false">IF($H570="숙박",0,IF($H570=MID(S$1,3,20),IF($I570="",1,0.6),IF($I570=MID(S$1,3,20),0.4,0)))</f>
        <v>0.6</v>
      </c>
      <c r="T570" s="10" t="n">
        <f aca="false">IF($H570="숙박",0,IF($H570=MID(T$1,3,20),IF($I570="",1,0.6),IF($I570=MID(T$1,3,20),0.4,0)))</f>
        <v>0</v>
      </c>
      <c r="U570" s="10" t="n">
        <f aca="false">IF($H570="숙박",0,IF(ISNUMBER(SEARCH("야경",$J570)),1,0))</f>
        <v>0</v>
      </c>
      <c r="V570" s="10" t="n">
        <f aca="false">IF($H570="숙박",0,1)</f>
        <v>1</v>
      </c>
    </row>
    <row r="571" customFormat="false" ht="15" hidden="false" customHeight="false" outlineLevel="0" collapsed="false">
      <c r="A571" s="8" t="n">
        <v>570</v>
      </c>
      <c r="B571" s="8" t="s">
        <v>45</v>
      </c>
      <c r="C571" s="8"/>
      <c r="D571" s="8" t="s">
        <v>1836</v>
      </c>
      <c r="E571" s="7" t="s">
        <v>1837</v>
      </c>
      <c r="F571" s="8"/>
      <c r="G571" s="8"/>
      <c r="H571" s="9" t="s">
        <v>594</v>
      </c>
      <c r="I571" s="9"/>
      <c r="J571" s="9"/>
      <c r="K571" s="9"/>
      <c r="L571" s="8"/>
      <c r="M571" s="8"/>
      <c r="N571" s="8" t="s">
        <v>595</v>
      </c>
      <c r="O571" s="8"/>
      <c r="P571" s="10" t="n">
        <f aca="false">IF($H571="숙박",0,IF($H571=MID(P$1,3,20),IF($I571="",1,0.6),IF($I571=MID(P$1,3,20),0.4,0)))</f>
        <v>0</v>
      </c>
      <c r="Q571" s="10" t="n">
        <f aca="false">IF($H571="숙박",0,IF($H571=MID(Q$1,3,20),IF($I571="",1,0.6),IF($I571=MID(Q$1,3,20),0.4,0)))</f>
        <v>0</v>
      </c>
      <c r="R571" s="10" t="n">
        <f aca="false">IF($H571="숙박",0,IF($H571=MID(R$1,3,20),IF($I571="",1,0.6),IF($I571=MID(R$1,3,20),0.4,0)))</f>
        <v>0</v>
      </c>
      <c r="S571" s="10" t="n">
        <f aca="false">IF($H571="숙박",0,IF($H571=MID(S$1,3,20),IF($I571="",1,0.6),IF($I571=MID(S$1,3,20),0.4,0)))</f>
        <v>0</v>
      </c>
      <c r="T571" s="10" t="n">
        <f aca="false">IF($H571="숙박",0,IF($H571=MID(T$1,3,20),IF($I571="",1,0.6),IF($I571=MID(T$1,3,20),0.4,0)))</f>
        <v>0</v>
      </c>
      <c r="U571" s="10" t="n">
        <f aca="false">IF($H571="숙박",0,IF(ISNUMBER(SEARCH("야경",$J571)),1,0))</f>
        <v>0</v>
      </c>
      <c r="V571" s="10" t="n">
        <f aca="false">IF($H571="숙박",0,1)</f>
        <v>0</v>
      </c>
    </row>
    <row r="572" customFormat="false" ht="15" hidden="false" customHeight="false" outlineLevel="0" collapsed="false">
      <c r="A572" s="8" t="n">
        <v>571</v>
      </c>
      <c r="B572" s="8" t="s">
        <v>45</v>
      </c>
      <c r="C572" s="8" t="s">
        <v>178</v>
      </c>
      <c r="D572" s="8" t="s">
        <v>1838</v>
      </c>
      <c r="E572" s="7" t="s">
        <v>1839</v>
      </c>
      <c r="F572" s="8"/>
      <c r="G572" s="8" t="s">
        <v>50</v>
      </c>
      <c r="H572" s="9" t="s">
        <v>50</v>
      </c>
      <c r="I572" s="9" t="s">
        <v>49</v>
      </c>
      <c r="J572" s="9" t="s">
        <v>168</v>
      </c>
      <c r="K572" s="9" t="s">
        <v>52</v>
      </c>
      <c r="L572" s="8"/>
      <c r="M572" s="8"/>
      <c r="N572" s="8" t="s">
        <v>483</v>
      </c>
      <c r="O572" s="8" t="s">
        <v>1840</v>
      </c>
      <c r="P572" s="10" t="n">
        <f aca="false">IF($H572="숙박",0,IF($H572=MID(P$1,3,20),IF($I572="",1,0.6),IF($I572=MID(P$1,3,20),0.4,0)))</f>
        <v>0</v>
      </c>
      <c r="Q572" s="10" t="n">
        <f aca="false">IF($H572="숙박",0,IF($H572=MID(Q$1,3,20),IF($I572="",1,0.6),IF($I572=MID(Q$1,3,20),0.4,0)))</f>
        <v>0.4</v>
      </c>
      <c r="R572" s="10" t="n">
        <f aca="false">IF($H572="숙박",0,IF($H572=MID(R$1,3,20),IF($I572="",1,0.6),IF($I572=MID(R$1,3,20),0.4,0)))</f>
        <v>0</v>
      </c>
      <c r="S572" s="10" t="n">
        <f aca="false">IF($H572="숙박",0,IF($H572=MID(S$1,3,20),IF($I572="",1,0.6),IF($I572=MID(S$1,3,20),0.4,0)))</f>
        <v>0</v>
      </c>
      <c r="T572" s="10" t="n">
        <f aca="false">IF($H572="숙박",0,IF($H572=MID(T$1,3,20),IF($I572="",1,0.6),IF($I572=MID(T$1,3,20),0.4,0)))</f>
        <v>0.6</v>
      </c>
      <c r="U572" s="10" t="n">
        <f aca="false">IF($H572="숙박",0,IF(ISNUMBER(SEARCH("야경",$J572)),1,0))</f>
        <v>0</v>
      </c>
      <c r="V572" s="10" t="n">
        <f aca="false">IF($H572="숙박",0,1)</f>
        <v>1</v>
      </c>
    </row>
    <row r="573" customFormat="false" ht="15" hidden="false" customHeight="false" outlineLevel="0" collapsed="false">
      <c r="A573" s="8" t="n">
        <v>572</v>
      </c>
      <c r="B573" s="8" t="s">
        <v>45</v>
      </c>
      <c r="C573" s="8" t="s">
        <v>1567</v>
      </c>
      <c r="D573" s="8" t="s">
        <v>1841</v>
      </c>
      <c r="E573" s="7" t="s">
        <v>1842</v>
      </c>
      <c r="F573" s="8"/>
      <c r="G573" s="8" t="s">
        <v>49</v>
      </c>
      <c r="H573" s="9" t="s">
        <v>49</v>
      </c>
      <c r="I573" s="9"/>
      <c r="J573" s="9"/>
      <c r="K573" s="9" t="s">
        <v>52</v>
      </c>
      <c r="L573" s="8"/>
      <c r="M573" s="8"/>
      <c r="N573" s="8"/>
      <c r="O573" s="8" t="s">
        <v>1843</v>
      </c>
      <c r="P573" s="10" t="n">
        <f aca="false">IF($H573="숙박",0,IF($H573=MID(P$1,3,20),IF($I573="",1,0.6),IF($I573=MID(P$1,3,20),0.4,0)))</f>
        <v>0</v>
      </c>
      <c r="Q573" s="10" t="n">
        <f aca="false">IF($H573="숙박",0,IF($H573=MID(Q$1,3,20),IF($I573="",1,0.6),IF($I573=MID(Q$1,3,20),0.4,0)))</f>
        <v>1</v>
      </c>
      <c r="R573" s="10" t="n">
        <f aca="false">IF($H573="숙박",0,IF($H573=MID(R$1,3,20),IF($I573="",1,0.6),IF($I573=MID(R$1,3,20),0.4,0)))</f>
        <v>0</v>
      </c>
      <c r="S573" s="10" t="n">
        <f aca="false">IF($H573="숙박",0,IF($H573=MID(S$1,3,20),IF($I573="",1,0.6),IF($I573=MID(S$1,3,20),0.4,0)))</f>
        <v>0</v>
      </c>
      <c r="T573" s="10" t="n">
        <f aca="false">IF($H573="숙박",0,IF($H573=MID(T$1,3,20),IF($I573="",1,0.6),IF($I573=MID(T$1,3,20),0.4,0)))</f>
        <v>0</v>
      </c>
      <c r="U573" s="10" t="n">
        <f aca="false">IF($H573="숙박",0,IF(ISNUMBER(SEARCH("야경",$J573)),1,0))</f>
        <v>0</v>
      </c>
      <c r="V573" s="10" t="n">
        <f aca="false">IF($H573="숙박",0,1)</f>
        <v>1</v>
      </c>
    </row>
    <row r="574" customFormat="false" ht="15" hidden="false" customHeight="false" outlineLevel="0" collapsed="false">
      <c r="A574" s="8" t="n">
        <v>573</v>
      </c>
      <c r="B574" s="8" t="s">
        <v>45</v>
      </c>
      <c r="C574" s="8" t="s">
        <v>1844</v>
      </c>
      <c r="D574" s="8" t="s">
        <v>1845</v>
      </c>
      <c r="E574" s="7" t="s">
        <v>1846</v>
      </c>
      <c r="F574" s="8"/>
      <c r="G574" s="8" t="s">
        <v>184</v>
      </c>
      <c r="H574" s="9" t="s">
        <v>184</v>
      </c>
      <c r="I574" s="9"/>
      <c r="J574" s="9"/>
      <c r="K574" s="9" t="s">
        <v>191</v>
      </c>
      <c r="L574" s="8"/>
      <c r="M574" s="8"/>
      <c r="N574" s="8"/>
      <c r="O574" s="8" t="s">
        <v>1847</v>
      </c>
      <c r="P574" s="10" t="n">
        <f aca="false">IF($H574="숙박",0,IF($H574=MID(P$1,3,20),IF($I574="",1,0.6),IF($I574=MID(P$1,3,20),0.4,0)))</f>
        <v>0</v>
      </c>
      <c r="Q574" s="10" t="n">
        <f aca="false">IF($H574="숙박",0,IF($H574=MID(Q$1,3,20),IF($I574="",1,0.6),IF($I574=MID(Q$1,3,20),0.4,0)))</f>
        <v>0</v>
      </c>
      <c r="R574" s="10" t="n">
        <f aca="false">IF($H574="숙박",0,IF($H574=MID(R$1,3,20),IF($I574="",1,0.6),IF($I574=MID(R$1,3,20),0.4,0)))</f>
        <v>1</v>
      </c>
      <c r="S574" s="10" t="n">
        <f aca="false">IF($H574="숙박",0,IF($H574=MID(S$1,3,20),IF($I574="",1,0.6),IF($I574=MID(S$1,3,20),0.4,0)))</f>
        <v>0</v>
      </c>
      <c r="T574" s="10" t="n">
        <f aca="false">IF($H574="숙박",0,IF($H574=MID(T$1,3,20),IF($I574="",1,0.6),IF($I574=MID(T$1,3,20),0.4,0)))</f>
        <v>0</v>
      </c>
      <c r="U574" s="10" t="n">
        <f aca="false">IF($H574="숙박",0,IF(ISNUMBER(SEARCH("야경",$J574)),1,0))</f>
        <v>0</v>
      </c>
      <c r="V574" s="10" t="n">
        <f aca="false">IF($H574="숙박",0,1)</f>
        <v>1</v>
      </c>
    </row>
    <row r="575" customFormat="false" ht="15" hidden="false" customHeight="false" outlineLevel="0" collapsed="false">
      <c r="A575" s="8" t="n">
        <v>574</v>
      </c>
      <c r="B575" s="8" t="s">
        <v>45</v>
      </c>
      <c r="C575" s="8"/>
      <c r="D575" s="8" t="s">
        <v>1848</v>
      </c>
      <c r="E575" s="7" t="s">
        <v>1849</v>
      </c>
      <c r="F575" s="8"/>
      <c r="G575" s="8"/>
      <c r="H575" s="9" t="s">
        <v>594</v>
      </c>
      <c r="I575" s="9"/>
      <c r="J575" s="9"/>
      <c r="K575" s="9"/>
      <c r="L575" s="8"/>
      <c r="M575" s="8"/>
      <c r="N575" s="8" t="s">
        <v>595</v>
      </c>
      <c r="O575" s="8"/>
      <c r="P575" s="10" t="n">
        <f aca="false">IF($H575="숙박",0,IF($H575=MID(P$1,3,20),IF($I575="",1,0.6),IF($I575=MID(P$1,3,20),0.4,0)))</f>
        <v>0</v>
      </c>
      <c r="Q575" s="10" t="n">
        <f aca="false">IF($H575="숙박",0,IF($H575=MID(Q$1,3,20),IF($I575="",1,0.6),IF($I575=MID(Q$1,3,20),0.4,0)))</f>
        <v>0</v>
      </c>
      <c r="R575" s="10" t="n">
        <f aca="false">IF($H575="숙박",0,IF($H575=MID(R$1,3,20),IF($I575="",1,0.6),IF($I575=MID(R$1,3,20),0.4,0)))</f>
        <v>0</v>
      </c>
      <c r="S575" s="10" t="n">
        <f aca="false">IF($H575="숙박",0,IF($H575=MID(S$1,3,20),IF($I575="",1,0.6),IF($I575=MID(S$1,3,20),0.4,0)))</f>
        <v>0</v>
      </c>
      <c r="T575" s="10" t="n">
        <f aca="false">IF($H575="숙박",0,IF($H575=MID(T$1,3,20),IF($I575="",1,0.6),IF($I575=MID(T$1,3,20),0.4,0)))</f>
        <v>0</v>
      </c>
      <c r="U575" s="10" t="n">
        <f aca="false">IF($H575="숙박",0,IF(ISNUMBER(SEARCH("야경",$J575)),1,0))</f>
        <v>0</v>
      </c>
      <c r="V575" s="10" t="n">
        <f aca="false">IF($H575="숙박",0,1)</f>
        <v>0</v>
      </c>
    </row>
    <row r="576" customFormat="false" ht="15" hidden="false" customHeight="false" outlineLevel="0" collapsed="false">
      <c r="A576" s="8" t="n">
        <v>575</v>
      </c>
      <c r="B576" s="8" t="s">
        <v>45</v>
      </c>
      <c r="C576" s="8" t="s">
        <v>1402</v>
      </c>
      <c r="D576" s="8" t="s">
        <v>1850</v>
      </c>
      <c r="E576" s="7" t="s">
        <v>1851</v>
      </c>
      <c r="F576" s="8"/>
      <c r="G576" s="8" t="s">
        <v>190</v>
      </c>
      <c r="H576" s="9" t="s">
        <v>190</v>
      </c>
      <c r="I576" s="9"/>
      <c r="J576" s="9" t="s">
        <v>1361</v>
      </c>
      <c r="K576" s="9" t="s">
        <v>191</v>
      </c>
      <c r="L576" s="8"/>
      <c r="M576" s="8"/>
      <c r="N576" s="8"/>
      <c r="O576" s="8" t="s">
        <v>1852</v>
      </c>
      <c r="P576" s="10" t="n">
        <f aca="false">IF($H576="숙박",0,IF($H576=MID(P$1,3,20),IF($I576="",1,0.6),IF($I576=MID(P$1,3,20),0.4,0)))</f>
        <v>1</v>
      </c>
      <c r="Q576" s="10" t="n">
        <f aca="false">IF($H576="숙박",0,IF($H576=MID(Q$1,3,20),IF($I576="",1,0.6),IF($I576=MID(Q$1,3,20),0.4,0)))</f>
        <v>0</v>
      </c>
      <c r="R576" s="10" t="n">
        <f aca="false">IF($H576="숙박",0,IF($H576=MID(R$1,3,20),IF($I576="",1,0.6),IF($I576=MID(R$1,3,20),0.4,0)))</f>
        <v>0</v>
      </c>
      <c r="S576" s="10" t="n">
        <f aca="false">IF($H576="숙박",0,IF($H576=MID(S$1,3,20),IF($I576="",1,0.6),IF($I576=MID(S$1,3,20),0.4,0)))</f>
        <v>0</v>
      </c>
      <c r="T576" s="10" t="n">
        <f aca="false">IF($H576="숙박",0,IF($H576=MID(T$1,3,20),IF($I576="",1,0.6),IF($I576=MID(T$1,3,20),0.4,0)))</f>
        <v>0</v>
      </c>
      <c r="U576" s="10" t="n">
        <f aca="false">IF($H576="숙박",0,IF(ISNUMBER(SEARCH("야경",$J576)),1,0))</f>
        <v>0</v>
      </c>
      <c r="V576" s="10" t="n">
        <f aca="false">IF($H576="숙박",0,1)</f>
        <v>1</v>
      </c>
    </row>
    <row r="577" customFormat="false" ht="15" hidden="false" customHeight="false" outlineLevel="0" collapsed="false">
      <c r="A577" s="8" t="n">
        <v>576</v>
      </c>
      <c r="B577" s="8" t="s">
        <v>45</v>
      </c>
      <c r="C577" s="8"/>
      <c r="D577" s="8" t="s">
        <v>1853</v>
      </c>
      <c r="E577" s="7" t="s">
        <v>1854</v>
      </c>
      <c r="F577" s="8"/>
      <c r="G577" s="8"/>
      <c r="H577" s="9" t="s">
        <v>594</v>
      </c>
      <c r="I577" s="9"/>
      <c r="J577" s="9"/>
      <c r="K577" s="9"/>
      <c r="L577" s="8"/>
      <c r="M577" s="8"/>
      <c r="N577" s="8" t="s">
        <v>595</v>
      </c>
      <c r="O577" s="8"/>
      <c r="P577" s="10" t="n">
        <f aca="false">IF($H577="숙박",0,IF($H577=MID(P$1,3,20),IF($I577="",1,0.6),IF($I577=MID(P$1,3,20),0.4,0)))</f>
        <v>0</v>
      </c>
      <c r="Q577" s="10" t="n">
        <f aca="false">IF($H577="숙박",0,IF($H577=MID(Q$1,3,20),IF($I577="",1,0.6),IF($I577=MID(Q$1,3,20),0.4,0)))</f>
        <v>0</v>
      </c>
      <c r="R577" s="10" t="n">
        <f aca="false">IF($H577="숙박",0,IF($H577=MID(R$1,3,20),IF($I577="",1,0.6),IF($I577=MID(R$1,3,20),0.4,0)))</f>
        <v>0</v>
      </c>
      <c r="S577" s="10" t="n">
        <f aca="false">IF($H577="숙박",0,IF($H577=MID(S$1,3,20),IF($I577="",1,0.6),IF($I577=MID(S$1,3,20),0.4,0)))</f>
        <v>0</v>
      </c>
      <c r="T577" s="10" t="n">
        <f aca="false">IF($H577="숙박",0,IF($H577=MID(T$1,3,20),IF($I577="",1,0.6),IF($I577=MID(T$1,3,20),0.4,0)))</f>
        <v>0</v>
      </c>
      <c r="U577" s="10" t="n">
        <f aca="false">IF($H577="숙박",0,IF(ISNUMBER(SEARCH("야경",$J577)),1,0))</f>
        <v>0</v>
      </c>
      <c r="V577" s="10" t="n">
        <f aca="false">IF($H577="숙박",0,1)</f>
        <v>0</v>
      </c>
    </row>
    <row r="578" customFormat="false" ht="15" hidden="false" customHeight="false" outlineLevel="0" collapsed="false">
      <c r="A578" s="8" t="n">
        <v>577</v>
      </c>
      <c r="B578" s="8" t="s">
        <v>45</v>
      </c>
      <c r="C578" s="8" t="s">
        <v>1855</v>
      </c>
      <c r="D578" s="8" t="s">
        <v>1856</v>
      </c>
      <c r="E578" s="7" t="s">
        <v>1857</v>
      </c>
      <c r="F578" s="8"/>
      <c r="G578" s="8" t="s">
        <v>49</v>
      </c>
      <c r="H578" s="9" t="s">
        <v>49</v>
      </c>
      <c r="I578" s="9"/>
      <c r="J578" s="9"/>
      <c r="K578" s="9" t="s">
        <v>52</v>
      </c>
      <c r="L578" s="8"/>
      <c r="M578" s="8"/>
      <c r="N578" s="8"/>
      <c r="O578" s="8" t="s">
        <v>1858</v>
      </c>
      <c r="P578" s="10" t="n">
        <f aca="false">IF($H578="숙박",0,IF($H578=MID(P$1,3,20),IF($I578="",1,0.6),IF($I578=MID(P$1,3,20),0.4,0)))</f>
        <v>0</v>
      </c>
      <c r="Q578" s="10" t="n">
        <f aca="false">IF($H578="숙박",0,IF($H578=MID(Q$1,3,20),IF($I578="",1,0.6),IF($I578=MID(Q$1,3,20),0.4,0)))</f>
        <v>1</v>
      </c>
      <c r="R578" s="10" t="n">
        <f aca="false">IF($H578="숙박",0,IF($H578=MID(R$1,3,20),IF($I578="",1,0.6),IF($I578=MID(R$1,3,20),0.4,0)))</f>
        <v>0</v>
      </c>
      <c r="S578" s="10" t="n">
        <f aca="false">IF($H578="숙박",0,IF($H578=MID(S$1,3,20),IF($I578="",1,0.6),IF($I578=MID(S$1,3,20),0.4,0)))</f>
        <v>0</v>
      </c>
      <c r="T578" s="10" t="n">
        <f aca="false">IF($H578="숙박",0,IF($H578=MID(T$1,3,20),IF($I578="",1,0.6),IF($I578=MID(T$1,3,20),0.4,0)))</f>
        <v>0</v>
      </c>
      <c r="U578" s="10" t="n">
        <f aca="false">IF($H578="숙박",0,IF(ISNUMBER(SEARCH("야경",$J578)),1,0))</f>
        <v>0</v>
      </c>
      <c r="V578" s="10" t="n">
        <f aca="false">IF($H578="숙박",0,1)</f>
        <v>1</v>
      </c>
    </row>
    <row r="579" customFormat="false" ht="15" hidden="false" customHeight="false" outlineLevel="0" collapsed="false">
      <c r="A579" s="8" t="n">
        <v>578</v>
      </c>
      <c r="B579" s="8" t="s">
        <v>45</v>
      </c>
      <c r="C579" s="8" t="s">
        <v>1855</v>
      </c>
      <c r="D579" s="8" t="s">
        <v>1859</v>
      </c>
      <c r="E579" s="7" t="s">
        <v>1860</v>
      </c>
      <c r="F579" s="8"/>
      <c r="G579" s="8" t="s">
        <v>49</v>
      </c>
      <c r="H579" s="9" t="s">
        <v>49</v>
      </c>
      <c r="I579" s="9"/>
      <c r="J579" s="9"/>
      <c r="K579" s="9" t="s">
        <v>52</v>
      </c>
      <c r="L579" s="8"/>
      <c r="M579" s="8"/>
      <c r="N579" s="8"/>
      <c r="O579" s="8" t="s">
        <v>1861</v>
      </c>
      <c r="P579" s="10" t="n">
        <f aca="false">IF($H579="숙박",0,IF($H579=MID(P$1,3,20),IF($I579="",1,0.6),IF($I579=MID(P$1,3,20),0.4,0)))</f>
        <v>0</v>
      </c>
      <c r="Q579" s="10" t="n">
        <f aca="false">IF($H579="숙박",0,IF($H579=MID(Q$1,3,20),IF($I579="",1,0.6),IF($I579=MID(Q$1,3,20),0.4,0)))</f>
        <v>1</v>
      </c>
      <c r="R579" s="10" t="n">
        <f aca="false">IF($H579="숙박",0,IF($H579=MID(R$1,3,20),IF($I579="",1,0.6),IF($I579=MID(R$1,3,20),0.4,0)))</f>
        <v>0</v>
      </c>
      <c r="S579" s="10" t="n">
        <f aca="false">IF($H579="숙박",0,IF($H579=MID(S$1,3,20),IF($I579="",1,0.6),IF($I579=MID(S$1,3,20),0.4,0)))</f>
        <v>0</v>
      </c>
      <c r="T579" s="10" t="n">
        <f aca="false">IF($H579="숙박",0,IF($H579=MID(T$1,3,20),IF($I579="",1,0.6),IF($I579=MID(T$1,3,20),0.4,0)))</f>
        <v>0</v>
      </c>
      <c r="U579" s="10" t="n">
        <f aca="false">IF($H579="숙박",0,IF(ISNUMBER(SEARCH("야경",$J579)),1,0))</f>
        <v>0</v>
      </c>
      <c r="V579" s="10" t="n">
        <f aca="false">IF($H579="숙박",0,1)</f>
        <v>1</v>
      </c>
    </row>
    <row r="580" customFormat="false" ht="15" hidden="false" customHeight="false" outlineLevel="0" collapsed="false">
      <c r="A580" s="8" t="n">
        <v>579</v>
      </c>
      <c r="B580" s="8" t="s">
        <v>45</v>
      </c>
      <c r="C580" s="8" t="s">
        <v>1636</v>
      </c>
      <c r="D580" s="8" t="s">
        <v>1862</v>
      </c>
      <c r="E580" s="7" t="s">
        <v>1863</v>
      </c>
      <c r="F580" s="8"/>
      <c r="G580" s="8" t="s">
        <v>190</v>
      </c>
      <c r="H580" s="9" t="s">
        <v>190</v>
      </c>
      <c r="I580" s="9" t="s">
        <v>216</v>
      </c>
      <c r="J580" s="9"/>
      <c r="K580" s="9" t="s">
        <v>52</v>
      </c>
      <c r="L580" s="8"/>
      <c r="M580" s="8"/>
      <c r="N580" s="8" t="s">
        <v>483</v>
      </c>
      <c r="O580" s="8" t="s">
        <v>1864</v>
      </c>
      <c r="P580" s="10" t="n">
        <f aca="false">IF($H580="숙박",0,IF($H580=MID(P$1,3,20),IF($I580="",1,0.6),IF($I580=MID(P$1,3,20),0.4,0)))</f>
        <v>0.6</v>
      </c>
      <c r="Q580" s="10" t="n">
        <f aca="false">IF($H580="숙박",0,IF($H580=MID(Q$1,3,20),IF($I580="",1,0.6),IF($I580=MID(Q$1,3,20),0.4,0)))</f>
        <v>0</v>
      </c>
      <c r="R580" s="10" t="n">
        <f aca="false">IF($H580="숙박",0,IF($H580=MID(R$1,3,20),IF($I580="",1,0.6),IF($I580=MID(R$1,3,20),0.4,0)))</f>
        <v>0</v>
      </c>
      <c r="S580" s="10" t="n">
        <f aca="false">IF($H580="숙박",0,IF($H580=MID(S$1,3,20),IF($I580="",1,0.6),IF($I580=MID(S$1,3,20),0.4,0)))</f>
        <v>0.4</v>
      </c>
      <c r="T580" s="10" t="n">
        <f aca="false">IF($H580="숙박",0,IF($H580=MID(T$1,3,20),IF($I580="",1,0.6),IF($I580=MID(T$1,3,20),0.4,0)))</f>
        <v>0</v>
      </c>
      <c r="U580" s="10" t="n">
        <f aca="false">IF($H580="숙박",0,IF(ISNUMBER(SEARCH("야경",$J580)),1,0))</f>
        <v>0</v>
      </c>
      <c r="V580" s="10" t="n">
        <f aca="false">IF($H580="숙박",0,1)</f>
        <v>1</v>
      </c>
    </row>
    <row r="581" customFormat="false" ht="15" hidden="false" customHeight="false" outlineLevel="0" collapsed="false">
      <c r="A581" s="8" t="n">
        <v>580</v>
      </c>
      <c r="B581" s="8" t="s">
        <v>45</v>
      </c>
      <c r="C581" s="8" t="s">
        <v>1865</v>
      </c>
      <c r="D581" s="8" t="s">
        <v>1866</v>
      </c>
      <c r="E581" s="7" t="s">
        <v>1867</v>
      </c>
      <c r="F581" s="8"/>
      <c r="G581" s="8" t="s">
        <v>49</v>
      </c>
      <c r="H581" s="9" t="s">
        <v>49</v>
      </c>
      <c r="I581" s="9"/>
      <c r="J581" s="9"/>
      <c r="K581" s="9" t="s">
        <v>52</v>
      </c>
      <c r="L581" s="8"/>
      <c r="M581" s="8"/>
      <c r="N581" s="8"/>
      <c r="O581" s="8" t="s">
        <v>1868</v>
      </c>
      <c r="P581" s="10" t="n">
        <f aca="false">IF($H581="숙박",0,IF($H581=MID(P$1,3,20),IF($I581="",1,0.6),IF($I581=MID(P$1,3,20),0.4,0)))</f>
        <v>0</v>
      </c>
      <c r="Q581" s="10" t="n">
        <f aca="false">IF($H581="숙박",0,IF($H581=MID(Q$1,3,20),IF($I581="",1,0.6),IF($I581=MID(Q$1,3,20),0.4,0)))</f>
        <v>1</v>
      </c>
      <c r="R581" s="10" t="n">
        <f aca="false">IF($H581="숙박",0,IF($H581=MID(R$1,3,20),IF($I581="",1,0.6),IF($I581=MID(R$1,3,20),0.4,0)))</f>
        <v>0</v>
      </c>
      <c r="S581" s="10" t="n">
        <f aca="false">IF($H581="숙박",0,IF($H581=MID(S$1,3,20),IF($I581="",1,0.6),IF($I581=MID(S$1,3,20),0.4,0)))</f>
        <v>0</v>
      </c>
      <c r="T581" s="10" t="n">
        <f aca="false">IF($H581="숙박",0,IF($H581=MID(T$1,3,20),IF($I581="",1,0.6),IF($I581=MID(T$1,3,20),0.4,0)))</f>
        <v>0</v>
      </c>
      <c r="U581" s="10" t="n">
        <f aca="false">IF($H581="숙박",0,IF(ISNUMBER(SEARCH("야경",$J581)),1,0))</f>
        <v>0</v>
      </c>
      <c r="V581" s="10" t="n">
        <f aca="false">IF($H581="숙박",0,1)</f>
        <v>1</v>
      </c>
    </row>
    <row r="582" customFormat="false" ht="15" hidden="false" customHeight="false" outlineLevel="0" collapsed="false">
      <c r="A582" s="8" t="n">
        <v>581</v>
      </c>
      <c r="B582" s="8" t="s">
        <v>45</v>
      </c>
      <c r="C582" s="8" t="s">
        <v>1640</v>
      </c>
      <c r="D582" s="8" t="s">
        <v>1869</v>
      </c>
      <c r="E582" s="7" t="s">
        <v>1870</v>
      </c>
      <c r="F582" s="8"/>
      <c r="G582" s="8" t="s">
        <v>184</v>
      </c>
      <c r="H582" s="9" t="s">
        <v>184</v>
      </c>
      <c r="I582" s="9" t="s">
        <v>190</v>
      </c>
      <c r="J582" s="9"/>
      <c r="K582" s="9" t="s">
        <v>52</v>
      </c>
      <c r="L582" s="8"/>
      <c r="M582" s="8"/>
      <c r="N582" s="8" t="s">
        <v>483</v>
      </c>
      <c r="O582" s="8" t="s">
        <v>1871</v>
      </c>
      <c r="P582" s="10" t="n">
        <f aca="false">IF($H582="숙박",0,IF($H582=MID(P$1,3,20),IF($I582="",1,0.6),IF($I582=MID(P$1,3,20),0.4,0)))</f>
        <v>0.4</v>
      </c>
      <c r="Q582" s="10" t="n">
        <f aca="false">IF($H582="숙박",0,IF($H582=MID(Q$1,3,20),IF($I582="",1,0.6),IF($I582=MID(Q$1,3,20),0.4,0)))</f>
        <v>0</v>
      </c>
      <c r="R582" s="10" t="n">
        <f aca="false">IF($H582="숙박",0,IF($H582=MID(R$1,3,20),IF($I582="",1,0.6),IF($I582=MID(R$1,3,20),0.4,0)))</f>
        <v>0.6</v>
      </c>
      <c r="S582" s="10" t="n">
        <f aca="false">IF($H582="숙박",0,IF($H582=MID(S$1,3,20),IF($I582="",1,0.6),IF($I582=MID(S$1,3,20),0.4,0)))</f>
        <v>0</v>
      </c>
      <c r="T582" s="10" t="n">
        <f aca="false">IF($H582="숙박",0,IF($H582=MID(T$1,3,20),IF($I582="",1,0.6),IF($I582=MID(T$1,3,20),0.4,0)))</f>
        <v>0</v>
      </c>
      <c r="U582" s="10" t="n">
        <f aca="false">IF($H582="숙박",0,IF(ISNUMBER(SEARCH("야경",$J582)),1,0))</f>
        <v>0</v>
      </c>
      <c r="V582" s="10" t="n">
        <f aca="false">IF($H582="숙박",0,1)</f>
        <v>1</v>
      </c>
    </row>
    <row r="583" customFormat="false" ht="15" hidden="false" customHeight="false" outlineLevel="0" collapsed="false">
      <c r="A583" s="8" t="n">
        <v>582</v>
      </c>
      <c r="B583" s="8" t="s">
        <v>45</v>
      </c>
      <c r="C583" s="8" t="s">
        <v>1336</v>
      </c>
      <c r="D583" s="8" t="s">
        <v>1872</v>
      </c>
      <c r="E583" s="7" t="s">
        <v>1873</v>
      </c>
      <c r="F583" s="8"/>
      <c r="G583" s="8" t="s">
        <v>190</v>
      </c>
      <c r="H583" s="9" t="s">
        <v>190</v>
      </c>
      <c r="I583" s="9"/>
      <c r="J583" s="9"/>
      <c r="K583" s="9" t="s">
        <v>191</v>
      </c>
      <c r="L583" s="8"/>
      <c r="M583" s="8"/>
      <c r="N583" s="8"/>
      <c r="O583" s="8" t="s">
        <v>1874</v>
      </c>
      <c r="P583" s="10" t="n">
        <f aca="false">IF($H583="숙박",0,IF($H583=MID(P$1,3,20),IF($I583="",1,0.6),IF($I583=MID(P$1,3,20),0.4,0)))</f>
        <v>1</v>
      </c>
      <c r="Q583" s="10" t="n">
        <f aca="false">IF($H583="숙박",0,IF($H583=MID(Q$1,3,20),IF($I583="",1,0.6),IF($I583=MID(Q$1,3,20),0.4,0)))</f>
        <v>0</v>
      </c>
      <c r="R583" s="10" t="n">
        <f aca="false">IF($H583="숙박",0,IF($H583=MID(R$1,3,20),IF($I583="",1,0.6),IF($I583=MID(R$1,3,20),0.4,0)))</f>
        <v>0</v>
      </c>
      <c r="S583" s="10" t="n">
        <f aca="false">IF($H583="숙박",0,IF($H583=MID(S$1,3,20),IF($I583="",1,0.6),IF($I583=MID(S$1,3,20),0.4,0)))</f>
        <v>0</v>
      </c>
      <c r="T583" s="10" t="n">
        <f aca="false">IF($H583="숙박",0,IF($H583=MID(T$1,3,20),IF($I583="",1,0.6),IF($I583=MID(T$1,3,20),0.4,0)))</f>
        <v>0</v>
      </c>
      <c r="U583" s="10" t="n">
        <f aca="false">IF($H583="숙박",0,IF(ISNUMBER(SEARCH("야경",$J583)),1,0))</f>
        <v>0</v>
      </c>
      <c r="V583" s="10" t="n">
        <f aca="false">IF($H583="숙박",0,1)</f>
        <v>1</v>
      </c>
    </row>
    <row r="584" customFormat="false" ht="15" hidden="false" customHeight="false" outlineLevel="0" collapsed="false">
      <c r="A584" s="8" t="n">
        <v>583</v>
      </c>
      <c r="B584" s="8" t="s">
        <v>45</v>
      </c>
      <c r="C584" s="8" t="s">
        <v>369</v>
      </c>
      <c r="D584" s="8" t="s">
        <v>1875</v>
      </c>
      <c r="E584" s="7" t="s">
        <v>1876</v>
      </c>
      <c r="F584" s="8"/>
      <c r="G584" s="8" t="s">
        <v>50</v>
      </c>
      <c r="H584" s="9" t="s">
        <v>50</v>
      </c>
      <c r="I584" s="9" t="s">
        <v>49</v>
      </c>
      <c r="J584" s="9" t="s">
        <v>168</v>
      </c>
      <c r="K584" s="9" t="s">
        <v>52</v>
      </c>
      <c r="L584" s="8"/>
      <c r="M584" s="8"/>
      <c r="N584" s="8" t="s">
        <v>483</v>
      </c>
      <c r="O584" s="8" t="s">
        <v>1877</v>
      </c>
      <c r="P584" s="10" t="n">
        <f aca="false">IF($H584="숙박",0,IF($H584=MID(P$1,3,20),IF($I584="",1,0.6),IF($I584=MID(P$1,3,20),0.4,0)))</f>
        <v>0</v>
      </c>
      <c r="Q584" s="10" t="n">
        <f aca="false">IF($H584="숙박",0,IF($H584=MID(Q$1,3,20),IF($I584="",1,0.6),IF($I584=MID(Q$1,3,20),0.4,0)))</f>
        <v>0.4</v>
      </c>
      <c r="R584" s="10" t="n">
        <f aca="false">IF($H584="숙박",0,IF($H584=MID(R$1,3,20),IF($I584="",1,0.6),IF($I584=MID(R$1,3,20),0.4,0)))</f>
        <v>0</v>
      </c>
      <c r="S584" s="10" t="n">
        <f aca="false">IF($H584="숙박",0,IF($H584=MID(S$1,3,20),IF($I584="",1,0.6),IF($I584=MID(S$1,3,20),0.4,0)))</f>
        <v>0</v>
      </c>
      <c r="T584" s="10" t="n">
        <f aca="false">IF($H584="숙박",0,IF($H584=MID(T$1,3,20),IF($I584="",1,0.6),IF($I584=MID(T$1,3,20),0.4,0)))</f>
        <v>0.6</v>
      </c>
      <c r="U584" s="10" t="n">
        <f aca="false">IF($H584="숙박",0,IF(ISNUMBER(SEARCH("야경",$J584)),1,0))</f>
        <v>0</v>
      </c>
      <c r="V584" s="10" t="n">
        <f aca="false">IF($H584="숙박",0,1)</f>
        <v>1</v>
      </c>
    </row>
    <row r="585" customFormat="false" ht="15" hidden="false" customHeight="false" outlineLevel="0" collapsed="false">
      <c r="A585" s="8" t="n">
        <v>584</v>
      </c>
      <c r="B585" s="8" t="s">
        <v>45</v>
      </c>
      <c r="C585" s="8" t="s">
        <v>1330</v>
      </c>
      <c r="D585" s="8" t="s">
        <v>1878</v>
      </c>
      <c r="E585" s="7" t="s">
        <v>1879</v>
      </c>
      <c r="F585" s="8"/>
      <c r="G585" s="8" t="s">
        <v>216</v>
      </c>
      <c r="H585" s="9" t="s">
        <v>216</v>
      </c>
      <c r="I585" s="9"/>
      <c r="J585" s="9"/>
      <c r="K585" s="9" t="s">
        <v>191</v>
      </c>
      <c r="L585" s="8"/>
      <c r="M585" s="8"/>
      <c r="N585" s="8"/>
      <c r="O585" s="8" t="s">
        <v>1880</v>
      </c>
      <c r="P585" s="10" t="n">
        <f aca="false">IF($H585="숙박",0,IF($H585=MID(P$1,3,20),IF($I585="",1,0.6),IF($I585=MID(P$1,3,20),0.4,0)))</f>
        <v>0</v>
      </c>
      <c r="Q585" s="10" t="n">
        <f aca="false">IF($H585="숙박",0,IF($H585=MID(Q$1,3,20),IF($I585="",1,0.6),IF($I585=MID(Q$1,3,20),0.4,0)))</f>
        <v>0</v>
      </c>
      <c r="R585" s="10" t="n">
        <f aca="false">IF($H585="숙박",0,IF($H585=MID(R$1,3,20),IF($I585="",1,0.6),IF($I585=MID(R$1,3,20),0.4,0)))</f>
        <v>0</v>
      </c>
      <c r="S585" s="10" t="n">
        <f aca="false">IF($H585="숙박",0,IF($H585=MID(S$1,3,20),IF($I585="",1,0.6),IF($I585=MID(S$1,3,20),0.4,0)))</f>
        <v>1</v>
      </c>
      <c r="T585" s="10" t="n">
        <f aca="false">IF($H585="숙박",0,IF($H585=MID(T$1,3,20),IF($I585="",1,0.6),IF($I585=MID(T$1,3,20),0.4,0)))</f>
        <v>0</v>
      </c>
      <c r="U585" s="10" t="n">
        <f aca="false">IF($H585="숙박",0,IF(ISNUMBER(SEARCH("야경",$J585)),1,0))</f>
        <v>0</v>
      </c>
      <c r="V585" s="10" t="n">
        <f aca="false">IF($H585="숙박",0,1)</f>
        <v>1</v>
      </c>
    </row>
    <row r="586" customFormat="false" ht="15" hidden="false" customHeight="false" outlineLevel="0" collapsed="false">
      <c r="A586" s="8" t="n">
        <v>585</v>
      </c>
      <c r="B586" s="8" t="s">
        <v>45</v>
      </c>
      <c r="C586" s="8" t="s">
        <v>1881</v>
      </c>
      <c r="D586" s="8" t="s">
        <v>1882</v>
      </c>
      <c r="E586" s="7" t="s">
        <v>1883</v>
      </c>
      <c r="F586" s="8"/>
      <c r="G586" s="8" t="s">
        <v>184</v>
      </c>
      <c r="H586" s="9" t="s">
        <v>184</v>
      </c>
      <c r="I586" s="9" t="s">
        <v>49</v>
      </c>
      <c r="J586" s="9" t="s">
        <v>1361</v>
      </c>
      <c r="K586" s="9" t="s">
        <v>52</v>
      </c>
      <c r="L586" s="8"/>
      <c r="M586" s="8"/>
      <c r="N586" s="8" t="s">
        <v>483</v>
      </c>
      <c r="O586" s="8" t="s">
        <v>1884</v>
      </c>
      <c r="P586" s="10" t="n">
        <f aca="false">IF($H586="숙박",0,IF($H586=MID(P$1,3,20),IF($I586="",1,0.6),IF($I586=MID(P$1,3,20),0.4,0)))</f>
        <v>0</v>
      </c>
      <c r="Q586" s="10" t="n">
        <f aca="false">IF($H586="숙박",0,IF($H586=MID(Q$1,3,20),IF($I586="",1,0.6),IF($I586=MID(Q$1,3,20),0.4,0)))</f>
        <v>0.4</v>
      </c>
      <c r="R586" s="10" t="n">
        <f aca="false">IF($H586="숙박",0,IF($H586=MID(R$1,3,20),IF($I586="",1,0.6),IF($I586=MID(R$1,3,20),0.4,0)))</f>
        <v>0.6</v>
      </c>
      <c r="S586" s="10" t="n">
        <f aca="false">IF($H586="숙박",0,IF($H586=MID(S$1,3,20),IF($I586="",1,0.6),IF($I586=MID(S$1,3,20),0.4,0)))</f>
        <v>0</v>
      </c>
      <c r="T586" s="10" t="n">
        <f aca="false">IF($H586="숙박",0,IF($H586=MID(T$1,3,20),IF($I586="",1,0.6),IF($I586=MID(T$1,3,20),0.4,0)))</f>
        <v>0</v>
      </c>
      <c r="U586" s="10" t="n">
        <f aca="false">IF($H586="숙박",0,IF(ISNUMBER(SEARCH("야경",$J586)),1,0))</f>
        <v>0</v>
      </c>
      <c r="V586" s="10" t="n">
        <f aca="false">IF($H586="숙박",0,1)</f>
        <v>1</v>
      </c>
    </row>
    <row r="587" customFormat="false" ht="15" hidden="false" customHeight="false" outlineLevel="0" collapsed="false">
      <c r="A587" s="8" t="n">
        <v>586</v>
      </c>
      <c r="B587" s="8" t="s">
        <v>45</v>
      </c>
      <c r="C587" s="8"/>
      <c r="D587" s="8" t="s">
        <v>1885</v>
      </c>
      <c r="E587" s="7" t="s">
        <v>1886</v>
      </c>
      <c r="F587" s="8"/>
      <c r="G587" s="8"/>
      <c r="H587" s="9" t="s">
        <v>594</v>
      </c>
      <c r="I587" s="9"/>
      <c r="J587" s="9"/>
      <c r="K587" s="9"/>
      <c r="L587" s="8"/>
      <c r="M587" s="8"/>
      <c r="N587" s="8" t="s">
        <v>595</v>
      </c>
      <c r="O587" s="8"/>
      <c r="P587" s="10" t="n">
        <f aca="false">IF($H587="숙박",0,IF($H587=MID(P$1,3,20),IF($I587="",1,0.6),IF($I587=MID(P$1,3,20),0.4,0)))</f>
        <v>0</v>
      </c>
      <c r="Q587" s="10" t="n">
        <f aca="false">IF($H587="숙박",0,IF($H587=MID(Q$1,3,20),IF($I587="",1,0.6),IF($I587=MID(Q$1,3,20),0.4,0)))</f>
        <v>0</v>
      </c>
      <c r="R587" s="10" t="n">
        <f aca="false">IF($H587="숙박",0,IF($H587=MID(R$1,3,20),IF($I587="",1,0.6),IF($I587=MID(R$1,3,20),0.4,0)))</f>
        <v>0</v>
      </c>
      <c r="S587" s="10" t="n">
        <f aca="false">IF($H587="숙박",0,IF($H587=MID(S$1,3,20),IF($I587="",1,0.6),IF($I587=MID(S$1,3,20),0.4,0)))</f>
        <v>0</v>
      </c>
      <c r="T587" s="10" t="n">
        <f aca="false">IF($H587="숙박",0,IF($H587=MID(T$1,3,20),IF($I587="",1,0.6),IF($I587=MID(T$1,3,20),0.4,0)))</f>
        <v>0</v>
      </c>
      <c r="U587" s="10" t="n">
        <f aca="false">IF($H587="숙박",0,IF(ISNUMBER(SEARCH("야경",$J587)),1,0))</f>
        <v>0</v>
      </c>
      <c r="V587" s="10" t="n">
        <f aca="false">IF($H587="숙박",0,1)</f>
        <v>0</v>
      </c>
    </row>
    <row r="588" customFormat="false" ht="15" hidden="false" customHeight="false" outlineLevel="0" collapsed="false">
      <c r="A588" s="8" t="n">
        <v>587</v>
      </c>
      <c r="B588" s="8" t="s">
        <v>45</v>
      </c>
      <c r="C588" s="8"/>
      <c r="D588" s="8" t="s">
        <v>1887</v>
      </c>
      <c r="E588" s="7" t="s">
        <v>1888</v>
      </c>
      <c r="F588" s="8"/>
      <c r="G588" s="8"/>
      <c r="H588" s="9" t="s">
        <v>594</v>
      </c>
      <c r="I588" s="9"/>
      <c r="J588" s="9"/>
      <c r="K588" s="9"/>
      <c r="L588" s="8"/>
      <c r="M588" s="8"/>
      <c r="N588" s="8" t="s">
        <v>595</v>
      </c>
      <c r="O588" s="8"/>
      <c r="P588" s="10" t="n">
        <f aca="false">IF($H588="숙박",0,IF($H588=MID(P$1,3,20),IF($I588="",1,0.6),IF($I588=MID(P$1,3,20),0.4,0)))</f>
        <v>0</v>
      </c>
      <c r="Q588" s="10" t="n">
        <f aca="false">IF($H588="숙박",0,IF($H588=MID(Q$1,3,20),IF($I588="",1,0.6),IF($I588=MID(Q$1,3,20),0.4,0)))</f>
        <v>0</v>
      </c>
      <c r="R588" s="10" t="n">
        <f aca="false">IF($H588="숙박",0,IF($H588=MID(R$1,3,20),IF($I588="",1,0.6),IF($I588=MID(R$1,3,20),0.4,0)))</f>
        <v>0</v>
      </c>
      <c r="S588" s="10" t="n">
        <f aca="false">IF($H588="숙박",0,IF($H588=MID(S$1,3,20),IF($I588="",1,0.6),IF($I588=MID(S$1,3,20),0.4,0)))</f>
        <v>0</v>
      </c>
      <c r="T588" s="10" t="n">
        <f aca="false">IF($H588="숙박",0,IF($H588=MID(T$1,3,20),IF($I588="",1,0.6),IF($I588=MID(T$1,3,20),0.4,0)))</f>
        <v>0</v>
      </c>
      <c r="U588" s="10" t="n">
        <f aca="false">IF($H588="숙박",0,IF(ISNUMBER(SEARCH("야경",$J588)),1,0))</f>
        <v>0</v>
      </c>
      <c r="V588" s="10" t="n">
        <f aca="false">IF($H588="숙박",0,1)</f>
        <v>0</v>
      </c>
    </row>
    <row r="589" customFormat="false" ht="15" hidden="false" customHeight="false" outlineLevel="0" collapsed="false">
      <c r="A589" s="8" t="n">
        <v>588</v>
      </c>
      <c r="B589" s="8" t="s">
        <v>45</v>
      </c>
      <c r="C589" s="8" t="s">
        <v>1415</v>
      </c>
      <c r="D589" s="8" t="s">
        <v>1889</v>
      </c>
      <c r="E589" s="7" t="s">
        <v>1890</v>
      </c>
      <c r="F589" s="8"/>
      <c r="G589" s="8" t="s">
        <v>50</v>
      </c>
      <c r="H589" s="9" t="s">
        <v>50</v>
      </c>
      <c r="I589" s="9"/>
      <c r="J589" s="9" t="s">
        <v>168</v>
      </c>
      <c r="K589" s="9" t="s">
        <v>52</v>
      </c>
      <c r="L589" s="8"/>
      <c r="M589" s="8"/>
      <c r="N589" s="8"/>
      <c r="O589" s="8" t="s">
        <v>1891</v>
      </c>
      <c r="P589" s="10" t="n">
        <f aca="false">IF($H589="숙박",0,IF($H589=MID(P$1,3,20),IF($I589="",1,0.6),IF($I589=MID(P$1,3,20),0.4,0)))</f>
        <v>0</v>
      </c>
      <c r="Q589" s="10" t="n">
        <f aca="false">IF($H589="숙박",0,IF($H589=MID(Q$1,3,20),IF($I589="",1,0.6),IF($I589=MID(Q$1,3,20),0.4,0)))</f>
        <v>0</v>
      </c>
      <c r="R589" s="10" t="n">
        <f aca="false">IF($H589="숙박",0,IF($H589=MID(R$1,3,20),IF($I589="",1,0.6),IF($I589=MID(R$1,3,20),0.4,0)))</f>
        <v>0</v>
      </c>
      <c r="S589" s="10" t="n">
        <f aca="false">IF($H589="숙박",0,IF($H589=MID(S$1,3,20),IF($I589="",1,0.6),IF($I589=MID(S$1,3,20),0.4,0)))</f>
        <v>0</v>
      </c>
      <c r="T589" s="10" t="n">
        <f aca="false">IF($H589="숙박",0,IF($H589=MID(T$1,3,20),IF($I589="",1,0.6),IF($I589=MID(T$1,3,20),0.4,0)))</f>
        <v>1</v>
      </c>
      <c r="U589" s="10" t="n">
        <f aca="false">IF($H589="숙박",0,IF(ISNUMBER(SEARCH("야경",$J589)),1,0))</f>
        <v>0</v>
      </c>
      <c r="V589" s="10" t="n">
        <f aca="false">IF($H589="숙박",0,1)</f>
        <v>1</v>
      </c>
    </row>
    <row r="590" customFormat="false" ht="15" hidden="false" customHeight="false" outlineLevel="0" collapsed="false">
      <c r="A590" s="8" t="n">
        <v>589</v>
      </c>
      <c r="B590" s="8" t="s">
        <v>45</v>
      </c>
      <c r="C590" s="8" t="s">
        <v>678</v>
      </c>
      <c r="D590" s="8" t="s">
        <v>1892</v>
      </c>
      <c r="E590" s="7" t="s">
        <v>1893</v>
      </c>
      <c r="F590" s="8"/>
      <c r="G590" s="8" t="s">
        <v>49</v>
      </c>
      <c r="H590" s="9" t="s">
        <v>49</v>
      </c>
      <c r="I590" s="9"/>
      <c r="J590" s="9"/>
      <c r="K590" s="9" t="s">
        <v>52</v>
      </c>
      <c r="L590" s="8"/>
      <c r="M590" s="8"/>
      <c r="N590" s="8"/>
      <c r="O590" s="8" t="s">
        <v>1894</v>
      </c>
      <c r="P590" s="10" t="n">
        <f aca="false">IF($H590="숙박",0,IF($H590=MID(P$1,3,20),IF($I590="",1,0.6),IF($I590=MID(P$1,3,20),0.4,0)))</f>
        <v>0</v>
      </c>
      <c r="Q590" s="10" t="n">
        <f aca="false">IF($H590="숙박",0,IF($H590=MID(Q$1,3,20),IF($I590="",1,0.6),IF($I590=MID(Q$1,3,20),0.4,0)))</f>
        <v>1</v>
      </c>
      <c r="R590" s="10" t="n">
        <f aca="false">IF($H590="숙박",0,IF($H590=MID(R$1,3,20),IF($I590="",1,0.6),IF($I590=MID(R$1,3,20),0.4,0)))</f>
        <v>0</v>
      </c>
      <c r="S590" s="10" t="n">
        <f aca="false">IF($H590="숙박",0,IF($H590=MID(S$1,3,20),IF($I590="",1,0.6),IF($I590=MID(S$1,3,20),0.4,0)))</f>
        <v>0</v>
      </c>
      <c r="T590" s="10" t="n">
        <f aca="false">IF($H590="숙박",0,IF($H590=MID(T$1,3,20),IF($I590="",1,0.6),IF($I590=MID(T$1,3,20),0.4,0)))</f>
        <v>0</v>
      </c>
      <c r="U590" s="10" t="n">
        <f aca="false">IF($H590="숙박",0,IF(ISNUMBER(SEARCH("야경",$J590)),1,0))</f>
        <v>0</v>
      </c>
      <c r="V590" s="10" t="n">
        <f aca="false">IF($H590="숙박",0,1)</f>
        <v>1</v>
      </c>
    </row>
    <row r="591" customFormat="false" ht="15" hidden="false" customHeight="false" outlineLevel="0" collapsed="false">
      <c r="A591" s="8" t="n">
        <v>590</v>
      </c>
      <c r="B591" s="8" t="s">
        <v>45</v>
      </c>
      <c r="C591" s="8" t="s">
        <v>1895</v>
      </c>
      <c r="D591" s="8" t="s">
        <v>1896</v>
      </c>
      <c r="E591" s="7" t="s">
        <v>1897</v>
      </c>
      <c r="F591" s="8"/>
      <c r="G591" s="8" t="s">
        <v>216</v>
      </c>
      <c r="H591" s="9" t="s">
        <v>216</v>
      </c>
      <c r="I591" s="9" t="s">
        <v>50</v>
      </c>
      <c r="J591" s="9" t="s">
        <v>168</v>
      </c>
      <c r="K591" s="9" t="s">
        <v>191</v>
      </c>
      <c r="L591" s="8"/>
      <c r="M591" s="8"/>
      <c r="N591" s="8" t="s">
        <v>185</v>
      </c>
      <c r="O591" s="8" t="s">
        <v>1898</v>
      </c>
      <c r="P591" s="10" t="n">
        <f aca="false">IF($H591="숙박",0,IF($H591=MID(P$1,3,20),IF($I591="",1,0.6),IF($I591=MID(P$1,3,20),0.4,0)))</f>
        <v>0</v>
      </c>
      <c r="Q591" s="10" t="n">
        <f aca="false">IF($H591="숙박",0,IF($H591=MID(Q$1,3,20),IF($I591="",1,0.6),IF($I591=MID(Q$1,3,20),0.4,0)))</f>
        <v>0</v>
      </c>
      <c r="R591" s="10" t="n">
        <f aca="false">IF($H591="숙박",0,IF($H591=MID(R$1,3,20),IF($I591="",1,0.6),IF($I591=MID(R$1,3,20),0.4,0)))</f>
        <v>0</v>
      </c>
      <c r="S591" s="10" t="n">
        <f aca="false">IF($H591="숙박",0,IF($H591=MID(S$1,3,20),IF($I591="",1,0.6),IF($I591=MID(S$1,3,20),0.4,0)))</f>
        <v>0.6</v>
      </c>
      <c r="T591" s="10" t="n">
        <f aca="false">IF($H591="숙박",0,IF($H591=MID(T$1,3,20),IF($I591="",1,0.6),IF($I591=MID(T$1,3,20),0.4,0)))</f>
        <v>0.4</v>
      </c>
      <c r="U591" s="10" t="n">
        <f aca="false">IF($H591="숙박",0,IF(ISNUMBER(SEARCH("야경",$J591)),1,0))</f>
        <v>0</v>
      </c>
      <c r="V591" s="10" t="n">
        <f aca="false">IF($H591="숙박",0,1)</f>
        <v>1</v>
      </c>
    </row>
    <row r="592" customFormat="false" ht="15" hidden="false" customHeight="false" outlineLevel="0" collapsed="false">
      <c r="A592" s="8" t="n">
        <v>591</v>
      </c>
      <c r="B592" s="8" t="s">
        <v>45</v>
      </c>
      <c r="C592" s="8" t="s">
        <v>1899</v>
      </c>
      <c r="D592" s="8" t="s">
        <v>1900</v>
      </c>
      <c r="E592" s="7" t="s">
        <v>1901</v>
      </c>
      <c r="F592" s="8"/>
      <c r="G592" s="8" t="s">
        <v>49</v>
      </c>
      <c r="H592" s="9" t="s">
        <v>49</v>
      </c>
      <c r="I592" s="9"/>
      <c r="J592" s="9"/>
      <c r="K592" s="9" t="s">
        <v>52</v>
      </c>
      <c r="L592" s="8"/>
      <c r="M592" s="8"/>
      <c r="N592" s="8"/>
      <c r="O592" s="8" t="s">
        <v>1902</v>
      </c>
      <c r="P592" s="10" t="n">
        <f aca="false">IF($H592="숙박",0,IF($H592=MID(P$1,3,20),IF($I592="",1,0.6),IF($I592=MID(P$1,3,20),0.4,0)))</f>
        <v>0</v>
      </c>
      <c r="Q592" s="10" t="n">
        <f aca="false">IF($H592="숙박",0,IF($H592=MID(Q$1,3,20),IF($I592="",1,0.6),IF($I592=MID(Q$1,3,20),0.4,0)))</f>
        <v>1</v>
      </c>
      <c r="R592" s="10" t="n">
        <f aca="false">IF($H592="숙박",0,IF($H592=MID(R$1,3,20),IF($I592="",1,0.6),IF($I592=MID(R$1,3,20),0.4,0)))</f>
        <v>0</v>
      </c>
      <c r="S592" s="10" t="n">
        <f aca="false">IF($H592="숙박",0,IF($H592=MID(S$1,3,20),IF($I592="",1,0.6),IF($I592=MID(S$1,3,20),0.4,0)))</f>
        <v>0</v>
      </c>
      <c r="T592" s="10" t="n">
        <f aca="false">IF($H592="숙박",0,IF($H592=MID(T$1,3,20),IF($I592="",1,0.6),IF($I592=MID(T$1,3,20),0.4,0)))</f>
        <v>0</v>
      </c>
      <c r="U592" s="10" t="n">
        <f aca="false">IF($H592="숙박",0,IF(ISNUMBER(SEARCH("야경",$J592)),1,0))</f>
        <v>0</v>
      </c>
      <c r="V592" s="10" t="n">
        <f aca="false">IF($H592="숙박",0,1)</f>
        <v>1</v>
      </c>
    </row>
    <row r="593" customFormat="false" ht="15" hidden="false" customHeight="false" outlineLevel="0" collapsed="false">
      <c r="A593" s="8" t="n">
        <v>592</v>
      </c>
      <c r="B593" s="8" t="s">
        <v>45</v>
      </c>
      <c r="C593" s="8" t="s">
        <v>401</v>
      </c>
      <c r="D593" s="8" t="s">
        <v>1903</v>
      </c>
      <c r="E593" s="7" t="s">
        <v>1904</v>
      </c>
      <c r="F593" s="8"/>
      <c r="G593" s="8" t="s">
        <v>190</v>
      </c>
      <c r="H593" s="9" t="s">
        <v>190</v>
      </c>
      <c r="I593" s="9"/>
      <c r="J593" s="9"/>
      <c r="K593" s="9" t="s">
        <v>191</v>
      </c>
      <c r="L593" s="8"/>
      <c r="M593" s="8"/>
      <c r="N593" s="8"/>
      <c r="O593" s="8" t="s">
        <v>1905</v>
      </c>
      <c r="P593" s="10" t="n">
        <f aca="false">IF($H593="숙박",0,IF($H593=MID(P$1,3,20),IF($I593="",1,0.6),IF($I593=MID(P$1,3,20),0.4,0)))</f>
        <v>1</v>
      </c>
      <c r="Q593" s="10" t="n">
        <f aca="false">IF($H593="숙박",0,IF($H593=MID(Q$1,3,20),IF($I593="",1,0.6),IF($I593=MID(Q$1,3,20),0.4,0)))</f>
        <v>0</v>
      </c>
      <c r="R593" s="10" t="n">
        <f aca="false">IF($H593="숙박",0,IF($H593=MID(R$1,3,20),IF($I593="",1,0.6),IF($I593=MID(R$1,3,20),0.4,0)))</f>
        <v>0</v>
      </c>
      <c r="S593" s="10" t="n">
        <f aca="false">IF($H593="숙박",0,IF($H593=MID(S$1,3,20),IF($I593="",1,0.6),IF($I593=MID(S$1,3,20),0.4,0)))</f>
        <v>0</v>
      </c>
      <c r="T593" s="10" t="n">
        <f aca="false">IF($H593="숙박",0,IF($H593=MID(T$1,3,20),IF($I593="",1,0.6),IF($I593=MID(T$1,3,20),0.4,0)))</f>
        <v>0</v>
      </c>
      <c r="U593" s="10" t="n">
        <f aca="false">IF($H593="숙박",0,IF(ISNUMBER(SEARCH("야경",$J593)),1,0))</f>
        <v>0</v>
      </c>
      <c r="V593" s="10" t="n">
        <f aca="false">IF($H593="숙박",0,1)</f>
        <v>1</v>
      </c>
    </row>
    <row r="594" customFormat="false" ht="15" hidden="false" customHeight="false" outlineLevel="0" collapsed="false">
      <c r="A594" s="8" t="n">
        <v>593</v>
      </c>
      <c r="B594" s="8" t="s">
        <v>45</v>
      </c>
      <c r="C594" s="8"/>
      <c r="D594" s="8" t="s">
        <v>1906</v>
      </c>
      <c r="E594" s="7" t="s">
        <v>1907</v>
      </c>
      <c r="F594" s="8"/>
      <c r="G594" s="8"/>
      <c r="H594" s="9" t="s">
        <v>594</v>
      </c>
      <c r="I594" s="9"/>
      <c r="J594" s="9"/>
      <c r="K594" s="9"/>
      <c r="L594" s="8"/>
      <c r="M594" s="8"/>
      <c r="N594" s="8" t="s">
        <v>595</v>
      </c>
      <c r="O594" s="8"/>
      <c r="P594" s="10" t="n">
        <f aca="false">IF($H594="숙박",0,IF($H594=MID(P$1,3,20),IF($I594="",1,0.6),IF($I594=MID(P$1,3,20),0.4,0)))</f>
        <v>0</v>
      </c>
      <c r="Q594" s="10" t="n">
        <f aca="false">IF($H594="숙박",0,IF($H594=MID(Q$1,3,20),IF($I594="",1,0.6),IF($I594=MID(Q$1,3,20),0.4,0)))</f>
        <v>0</v>
      </c>
      <c r="R594" s="10" t="n">
        <f aca="false">IF($H594="숙박",0,IF($H594=MID(R$1,3,20),IF($I594="",1,0.6),IF($I594=MID(R$1,3,20),0.4,0)))</f>
        <v>0</v>
      </c>
      <c r="S594" s="10" t="n">
        <f aca="false">IF($H594="숙박",0,IF($H594=MID(S$1,3,20),IF($I594="",1,0.6),IF($I594=MID(S$1,3,20),0.4,0)))</f>
        <v>0</v>
      </c>
      <c r="T594" s="10" t="n">
        <f aca="false">IF($H594="숙박",0,IF($H594=MID(T$1,3,20),IF($I594="",1,0.6),IF($I594=MID(T$1,3,20),0.4,0)))</f>
        <v>0</v>
      </c>
      <c r="U594" s="10" t="n">
        <f aca="false">IF($H594="숙박",0,IF(ISNUMBER(SEARCH("야경",$J594)),1,0))</f>
        <v>0</v>
      </c>
      <c r="V594" s="10" t="n">
        <f aca="false">IF($H594="숙박",0,1)</f>
        <v>0</v>
      </c>
    </row>
    <row r="595" customFormat="false" ht="15" hidden="false" customHeight="false" outlineLevel="0" collapsed="false">
      <c r="A595" s="8" t="n">
        <v>594</v>
      </c>
      <c r="B595" s="8" t="s">
        <v>45</v>
      </c>
      <c r="C595" s="8" t="s">
        <v>380</v>
      </c>
      <c r="D595" s="8" t="s">
        <v>1908</v>
      </c>
      <c r="E595" s="7" t="s">
        <v>1909</v>
      </c>
      <c r="F595" s="8"/>
      <c r="G595" s="8" t="s">
        <v>216</v>
      </c>
      <c r="H595" s="9" t="s">
        <v>216</v>
      </c>
      <c r="I595" s="9" t="s">
        <v>49</v>
      </c>
      <c r="J595" s="9" t="s">
        <v>1361</v>
      </c>
      <c r="K595" s="9" t="s">
        <v>191</v>
      </c>
      <c r="L595" s="8"/>
      <c r="M595" s="8"/>
      <c r="N595" s="8" t="s">
        <v>483</v>
      </c>
      <c r="O595" s="8" t="s">
        <v>1910</v>
      </c>
      <c r="P595" s="10" t="n">
        <f aca="false">IF($H595="숙박",0,IF($H595=MID(P$1,3,20),IF($I595="",1,0.6),IF($I595=MID(P$1,3,20),0.4,0)))</f>
        <v>0</v>
      </c>
      <c r="Q595" s="10" t="n">
        <f aca="false">IF($H595="숙박",0,IF($H595=MID(Q$1,3,20),IF($I595="",1,0.6),IF($I595=MID(Q$1,3,20),0.4,0)))</f>
        <v>0.4</v>
      </c>
      <c r="R595" s="10" t="n">
        <f aca="false">IF($H595="숙박",0,IF($H595=MID(R$1,3,20),IF($I595="",1,0.6),IF($I595=MID(R$1,3,20),0.4,0)))</f>
        <v>0</v>
      </c>
      <c r="S595" s="10" t="n">
        <f aca="false">IF($H595="숙박",0,IF($H595=MID(S$1,3,20),IF($I595="",1,0.6),IF($I595=MID(S$1,3,20),0.4,0)))</f>
        <v>0.6</v>
      </c>
      <c r="T595" s="10" t="n">
        <f aca="false">IF($H595="숙박",0,IF($H595=MID(T$1,3,20),IF($I595="",1,0.6),IF($I595=MID(T$1,3,20),0.4,0)))</f>
        <v>0</v>
      </c>
      <c r="U595" s="10" t="n">
        <f aca="false">IF($H595="숙박",0,IF(ISNUMBER(SEARCH("야경",$J595)),1,0))</f>
        <v>0</v>
      </c>
      <c r="V595" s="10" t="n">
        <f aca="false">IF($H595="숙박",0,1)</f>
        <v>1</v>
      </c>
    </row>
    <row r="596" customFormat="false" ht="15" hidden="false" customHeight="false" outlineLevel="0" collapsed="false">
      <c r="A596" s="8" t="n">
        <v>595</v>
      </c>
      <c r="B596" s="8" t="s">
        <v>45</v>
      </c>
      <c r="C596" s="8" t="s">
        <v>1911</v>
      </c>
      <c r="D596" s="8" t="s">
        <v>1912</v>
      </c>
      <c r="E596" s="7" t="s">
        <v>1913</v>
      </c>
      <c r="F596" s="8"/>
      <c r="G596" s="8" t="s">
        <v>49</v>
      </c>
      <c r="H596" s="9" t="s">
        <v>49</v>
      </c>
      <c r="I596" s="9"/>
      <c r="J596" s="9"/>
      <c r="K596" s="9" t="s">
        <v>52</v>
      </c>
      <c r="L596" s="8"/>
      <c r="M596" s="8"/>
      <c r="N596" s="8"/>
      <c r="O596" s="8" t="s">
        <v>1914</v>
      </c>
      <c r="P596" s="10" t="n">
        <f aca="false">IF($H596="숙박",0,IF($H596=MID(P$1,3,20),IF($I596="",1,0.6),IF($I596=MID(P$1,3,20),0.4,0)))</f>
        <v>0</v>
      </c>
      <c r="Q596" s="10" t="n">
        <f aca="false">IF($H596="숙박",0,IF($H596=MID(Q$1,3,20),IF($I596="",1,0.6),IF($I596=MID(Q$1,3,20),0.4,0)))</f>
        <v>1</v>
      </c>
      <c r="R596" s="10" t="n">
        <f aca="false">IF($H596="숙박",0,IF($H596=MID(R$1,3,20),IF($I596="",1,0.6),IF($I596=MID(R$1,3,20),0.4,0)))</f>
        <v>0</v>
      </c>
      <c r="S596" s="10" t="n">
        <f aca="false">IF($H596="숙박",0,IF($H596=MID(S$1,3,20),IF($I596="",1,0.6),IF($I596=MID(S$1,3,20),0.4,0)))</f>
        <v>0</v>
      </c>
      <c r="T596" s="10" t="n">
        <f aca="false">IF($H596="숙박",0,IF($H596=MID(T$1,3,20),IF($I596="",1,0.6),IF($I596=MID(T$1,3,20),0.4,0)))</f>
        <v>0</v>
      </c>
      <c r="U596" s="10" t="n">
        <f aca="false">IF($H596="숙박",0,IF(ISNUMBER(SEARCH("야경",$J596)),1,0))</f>
        <v>0</v>
      </c>
      <c r="V596" s="10" t="n">
        <f aca="false">IF($H596="숙박",0,1)</f>
        <v>1</v>
      </c>
    </row>
    <row r="597" customFormat="false" ht="15" hidden="false" customHeight="false" outlineLevel="0" collapsed="false">
      <c r="A597" s="8" t="n">
        <v>596</v>
      </c>
      <c r="B597" s="8" t="s">
        <v>45</v>
      </c>
      <c r="C597" s="8"/>
      <c r="D597" s="8" t="s">
        <v>1915</v>
      </c>
      <c r="E597" s="7" t="s">
        <v>1916</v>
      </c>
      <c r="F597" s="8"/>
      <c r="G597" s="8"/>
      <c r="H597" s="9" t="s">
        <v>594</v>
      </c>
      <c r="I597" s="9"/>
      <c r="J597" s="9"/>
      <c r="K597" s="9"/>
      <c r="L597" s="8"/>
      <c r="M597" s="8"/>
      <c r="N597" s="8" t="s">
        <v>595</v>
      </c>
      <c r="O597" s="8"/>
      <c r="P597" s="10" t="n">
        <f aca="false">IF($H597="숙박",0,IF($H597=MID(P$1,3,20),IF($I597="",1,0.6),IF($I597=MID(P$1,3,20),0.4,0)))</f>
        <v>0</v>
      </c>
      <c r="Q597" s="10" t="n">
        <f aca="false">IF($H597="숙박",0,IF($H597=MID(Q$1,3,20),IF($I597="",1,0.6),IF($I597=MID(Q$1,3,20),0.4,0)))</f>
        <v>0</v>
      </c>
      <c r="R597" s="10" t="n">
        <f aca="false">IF($H597="숙박",0,IF($H597=MID(R$1,3,20),IF($I597="",1,0.6),IF($I597=MID(R$1,3,20),0.4,0)))</f>
        <v>0</v>
      </c>
      <c r="S597" s="10" t="n">
        <f aca="false">IF($H597="숙박",0,IF($H597=MID(S$1,3,20),IF($I597="",1,0.6),IF($I597=MID(S$1,3,20),0.4,0)))</f>
        <v>0</v>
      </c>
      <c r="T597" s="10" t="n">
        <f aca="false">IF($H597="숙박",0,IF($H597=MID(T$1,3,20),IF($I597="",1,0.6),IF($I597=MID(T$1,3,20),0.4,0)))</f>
        <v>0</v>
      </c>
      <c r="U597" s="10" t="n">
        <f aca="false">IF($H597="숙박",0,IF(ISNUMBER(SEARCH("야경",$J597)),1,0))</f>
        <v>0</v>
      </c>
      <c r="V597" s="10" t="n">
        <f aca="false">IF($H597="숙박",0,1)</f>
        <v>0</v>
      </c>
    </row>
    <row r="598" customFormat="false" ht="15" hidden="false" customHeight="false" outlineLevel="0" collapsed="false">
      <c r="A598" s="8" t="n">
        <v>597</v>
      </c>
      <c r="B598" s="8" t="s">
        <v>45</v>
      </c>
      <c r="C598" s="8" t="s">
        <v>1917</v>
      </c>
      <c r="D598" s="8" t="s">
        <v>1918</v>
      </c>
      <c r="E598" s="7" t="s">
        <v>1919</v>
      </c>
      <c r="F598" s="8"/>
      <c r="G598" s="8" t="s">
        <v>49</v>
      </c>
      <c r="H598" s="9" t="s">
        <v>49</v>
      </c>
      <c r="I598" s="9"/>
      <c r="J598" s="9"/>
      <c r="K598" s="9" t="s">
        <v>52</v>
      </c>
      <c r="L598" s="8"/>
      <c r="M598" s="8"/>
      <c r="N598" s="8"/>
      <c r="O598" s="8" t="s">
        <v>1920</v>
      </c>
      <c r="P598" s="10" t="n">
        <f aca="false">IF($H598="숙박",0,IF($H598=MID(P$1,3,20),IF($I598="",1,0.6),IF($I598=MID(P$1,3,20),0.4,0)))</f>
        <v>0</v>
      </c>
      <c r="Q598" s="10" t="n">
        <f aca="false">IF($H598="숙박",0,IF($H598=MID(Q$1,3,20),IF($I598="",1,0.6),IF($I598=MID(Q$1,3,20),0.4,0)))</f>
        <v>1</v>
      </c>
      <c r="R598" s="10" t="n">
        <f aca="false">IF($H598="숙박",0,IF($H598=MID(R$1,3,20),IF($I598="",1,0.6),IF($I598=MID(R$1,3,20),0.4,0)))</f>
        <v>0</v>
      </c>
      <c r="S598" s="10" t="n">
        <f aca="false">IF($H598="숙박",0,IF($H598=MID(S$1,3,20),IF($I598="",1,0.6),IF($I598=MID(S$1,3,20),0.4,0)))</f>
        <v>0</v>
      </c>
      <c r="T598" s="10" t="n">
        <f aca="false">IF($H598="숙박",0,IF($H598=MID(T$1,3,20),IF($I598="",1,0.6),IF($I598=MID(T$1,3,20),0.4,0)))</f>
        <v>0</v>
      </c>
      <c r="U598" s="10" t="n">
        <f aca="false">IF($H598="숙박",0,IF(ISNUMBER(SEARCH("야경",$J598)),1,0))</f>
        <v>0</v>
      </c>
      <c r="V598" s="10" t="n">
        <f aca="false">IF($H598="숙박",0,1)</f>
        <v>1</v>
      </c>
    </row>
    <row r="599" customFormat="false" ht="15" hidden="false" customHeight="false" outlineLevel="0" collapsed="false">
      <c r="A599" s="8" t="n">
        <v>598</v>
      </c>
      <c r="B599" s="8" t="s">
        <v>45</v>
      </c>
      <c r="C599" s="8"/>
      <c r="D599" s="8" t="s">
        <v>1921</v>
      </c>
      <c r="E599" s="7" t="s">
        <v>1922</v>
      </c>
      <c r="F599" s="8"/>
      <c r="G599" s="8"/>
      <c r="H599" s="9" t="s">
        <v>594</v>
      </c>
      <c r="I599" s="9"/>
      <c r="J599" s="9"/>
      <c r="K599" s="9"/>
      <c r="L599" s="8"/>
      <c r="M599" s="8"/>
      <c r="N599" s="8" t="s">
        <v>595</v>
      </c>
      <c r="O599" s="8"/>
      <c r="P599" s="10" t="n">
        <f aca="false">IF($H599="숙박",0,IF($H599=MID(P$1,3,20),IF($I599="",1,0.6),IF($I599=MID(P$1,3,20),0.4,0)))</f>
        <v>0</v>
      </c>
      <c r="Q599" s="10" t="n">
        <f aca="false">IF($H599="숙박",0,IF($H599=MID(Q$1,3,20),IF($I599="",1,0.6),IF($I599=MID(Q$1,3,20),0.4,0)))</f>
        <v>0</v>
      </c>
      <c r="R599" s="10" t="n">
        <f aca="false">IF($H599="숙박",0,IF($H599=MID(R$1,3,20),IF($I599="",1,0.6),IF($I599=MID(R$1,3,20),0.4,0)))</f>
        <v>0</v>
      </c>
      <c r="S599" s="10" t="n">
        <f aca="false">IF($H599="숙박",0,IF($H599=MID(S$1,3,20),IF($I599="",1,0.6),IF($I599=MID(S$1,3,20),0.4,0)))</f>
        <v>0</v>
      </c>
      <c r="T599" s="10" t="n">
        <f aca="false">IF($H599="숙박",0,IF($H599=MID(T$1,3,20),IF($I599="",1,0.6),IF($I599=MID(T$1,3,20),0.4,0)))</f>
        <v>0</v>
      </c>
      <c r="U599" s="10" t="n">
        <f aca="false">IF($H599="숙박",0,IF(ISNUMBER(SEARCH("야경",$J599)),1,0))</f>
        <v>0</v>
      </c>
      <c r="V599" s="10" t="n">
        <f aca="false">IF($H599="숙박",0,1)</f>
        <v>0</v>
      </c>
    </row>
    <row r="600" customFormat="false" ht="15" hidden="false" customHeight="false" outlineLevel="0" collapsed="false">
      <c r="A600" s="8" t="n">
        <v>599</v>
      </c>
      <c r="B600" s="8" t="s">
        <v>45</v>
      </c>
      <c r="C600" s="8" t="s">
        <v>1444</v>
      </c>
      <c r="D600" s="8" t="s">
        <v>1923</v>
      </c>
      <c r="E600" s="7" t="s">
        <v>1924</v>
      </c>
      <c r="F600" s="8"/>
      <c r="G600" s="8" t="s">
        <v>49</v>
      </c>
      <c r="H600" s="9" t="s">
        <v>49</v>
      </c>
      <c r="I600" s="9"/>
      <c r="J600" s="9"/>
      <c r="K600" s="9" t="s">
        <v>52</v>
      </c>
      <c r="L600" s="8"/>
      <c r="M600" s="8"/>
      <c r="N600" s="8"/>
      <c r="O600" s="8" t="s">
        <v>1925</v>
      </c>
      <c r="P600" s="10" t="n">
        <f aca="false">IF($H600="숙박",0,IF($H600=MID(P$1,3,20),IF($I600="",1,0.6),IF($I600=MID(P$1,3,20),0.4,0)))</f>
        <v>0</v>
      </c>
      <c r="Q600" s="10" t="n">
        <f aca="false">IF($H600="숙박",0,IF($H600=MID(Q$1,3,20),IF($I600="",1,0.6),IF($I600=MID(Q$1,3,20),0.4,0)))</f>
        <v>1</v>
      </c>
      <c r="R600" s="10" t="n">
        <f aca="false">IF($H600="숙박",0,IF($H600=MID(R$1,3,20),IF($I600="",1,0.6),IF($I600=MID(R$1,3,20),0.4,0)))</f>
        <v>0</v>
      </c>
      <c r="S600" s="10" t="n">
        <f aca="false">IF($H600="숙박",0,IF($H600=MID(S$1,3,20),IF($I600="",1,0.6),IF($I600=MID(S$1,3,20),0.4,0)))</f>
        <v>0</v>
      </c>
      <c r="T600" s="10" t="n">
        <f aca="false">IF($H600="숙박",0,IF($H600=MID(T$1,3,20),IF($I600="",1,0.6),IF($I600=MID(T$1,3,20),0.4,0)))</f>
        <v>0</v>
      </c>
      <c r="U600" s="10" t="n">
        <f aca="false">IF($H600="숙박",0,IF(ISNUMBER(SEARCH("야경",$J600)),1,0))</f>
        <v>0</v>
      </c>
      <c r="V600" s="10" t="n">
        <f aca="false">IF($H600="숙박",0,1)</f>
        <v>1</v>
      </c>
    </row>
    <row r="601" customFormat="false" ht="15" hidden="false" customHeight="false" outlineLevel="0" collapsed="false">
      <c r="A601" s="8" t="n">
        <v>600</v>
      </c>
      <c r="B601" s="8" t="s">
        <v>45</v>
      </c>
      <c r="C601" s="8" t="s">
        <v>1444</v>
      </c>
      <c r="D601" s="8" t="s">
        <v>1926</v>
      </c>
      <c r="E601" s="7" t="s">
        <v>1927</v>
      </c>
      <c r="F601" s="8"/>
      <c r="G601" s="8" t="s">
        <v>49</v>
      </c>
      <c r="H601" s="9" t="s">
        <v>49</v>
      </c>
      <c r="I601" s="9"/>
      <c r="J601" s="9"/>
      <c r="K601" s="9" t="s">
        <v>52</v>
      </c>
      <c r="L601" s="8"/>
      <c r="M601" s="8"/>
      <c r="N601" s="8"/>
      <c r="O601" s="8" t="s">
        <v>1928</v>
      </c>
      <c r="P601" s="10" t="n">
        <f aca="false">IF($H601="숙박",0,IF($H601=MID(P$1,3,20),IF($I601="",1,0.6),IF($I601=MID(P$1,3,20),0.4,0)))</f>
        <v>0</v>
      </c>
      <c r="Q601" s="10" t="n">
        <f aca="false">IF($H601="숙박",0,IF($H601=MID(Q$1,3,20),IF($I601="",1,0.6),IF($I601=MID(Q$1,3,20),0.4,0)))</f>
        <v>1</v>
      </c>
      <c r="R601" s="10" t="n">
        <f aca="false">IF($H601="숙박",0,IF($H601=MID(R$1,3,20),IF($I601="",1,0.6),IF($I601=MID(R$1,3,20),0.4,0)))</f>
        <v>0</v>
      </c>
      <c r="S601" s="10" t="n">
        <f aca="false">IF($H601="숙박",0,IF($H601=MID(S$1,3,20),IF($I601="",1,0.6),IF($I601=MID(S$1,3,20),0.4,0)))</f>
        <v>0</v>
      </c>
      <c r="T601" s="10" t="n">
        <f aca="false">IF($H601="숙박",0,IF($H601=MID(T$1,3,20),IF($I601="",1,0.6),IF($I601=MID(T$1,3,20),0.4,0)))</f>
        <v>0</v>
      </c>
      <c r="U601" s="10" t="n">
        <f aca="false">IF($H601="숙박",0,IF(ISNUMBER(SEARCH("야경",$J601)),1,0))</f>
        <v>0</v>
      </c>
      <c r="V601" s="10" t="n">
        <f aca="false">IF($H601="숙박",0,1)</f>
        <v>1</v>
      </c>
    </row>
    <row r="602" customFormat="false" ht="15" hidden="false" customHeight="false" outlineLevel="0" collapsed="false">
      <c r="A602" s="8" t="n">
        <v>601</v>
      </c>
      <c r="B602" s="8" t="s">
        <v>45</v>
      </c>
      <c r="C602" s="8"/>
      <c r="D602" s="8" t="s">
        <v>1929</v>
      </c>
      <c r="E602" s="7" t="s">
        <v>1930</v>
      </c>
      <c r="F602" s="8"/>
      <c r="G602" s="8"/>
      <c r="H602" s="9" t="s">
        <v>594</v>
      </c>
      <c r="I602" s="9"/>
      <c r="J602" s="9"/>
      <c r="K602" s="9"/>
      <c r="L602" s="8"/>
      <c r="M602" s="8"/>
      <c r="N602" s="8" t="s">
        <v>595</v>
      </c>
      <c r="O602" s="8"/>
      <c r="P602" s="10" t="n">
        <f aca="false">IF($H602="숙박",0,IF($H602=MID(P$1,3,20),IF($I602="",1,0.6),IF($I602=MID(P$1,3,20),0.4,0)))</f>
        <v>0</v>
      </c>
      <c r="Q602" s="10" t="n">
        <f aca="false">IF($H602="숙박",0,IF($H602=MID(Q$1,3,20),IF($I602="",1,0.6),IF($I602=MID(Q$1,3,20),0.4,0)))</f>
        <v>0</v>
      </c>
      <c r="R602" s="10" t="n">
        <f aca="false">IF($H602="숙박",0,IF($H602=MID(R$1,3,20),IF($I602="",1,0.6),IF($I602=MID(R$1,3,20),0.4,0)))</f>
        <v>0</v>
      </c>
      <c r="S602" s="10" t="n">
        <f aca="false">IF($H602="숙박",0,IF($H602=MID(S$1,3,20),IF($I602="",1,0.6),IF($I602=MID(S$1,3,20),0.4,0)))</f>
        <v>0</v>
      </c>
      <c r="T602" s="10" t="n">
        <f aca="false">IF($H602="숙박",0,IF($H602=MID(T$1,3,20),IF($I602="",1,0.6),IF($I602=MID(T$1,3,20),0.4,0)))</f>
        <v>0</v>
      </c>
      <c r="U602" s="10" t="n">
        <f aca="false">IF($H602="숙박",0,IF(ISNUMBER(SEARCH("야경",$J602)),1,0))</f>
        <v>0</v>
      </c>
      <c r="V602" s="10" t="n">
        <f aca="false">IF($H602="숙박",0,1)</f>
        <v>0</v>
      </c>
    </row>
    <row r="603" customFormat="false" ht="15" hidden="false" customHeight="false" outlineLevel="0" collapsed="false">
      <c r="A603" s="8" t="n">
        <v>602</v>
      </c>
      <c r="B603" s="8" t="s">
        <v>45</v>
      </c>
      <c r="C603" s="8" t="s">
        <v>1504</v>
      </c>
      <c r="D603" s="8" t="s">
        <v>1931</v>
      </c>
      <c r="E603" s="7" t="s">
        <v>1932</v>
      </c>
      <c r="F603" s="8"/>
      <c r="G603" s="8" t="s">
        <v>49</v>
      </c>
      <c r="H603" s="9" t="s">
        <v>49</v>
      </c>
      <c r="I603" s="9"/>
      <c r="J603" s="9"/>
      <c r="K603" s="9" t="s">
        <v>209</v>
      </c>
      <c r="L603" s="8"/>
      <c r="M603" s="8"/>
      <c r="N603" s="8"/>
      <c r="O603" s="8" t="s">
        <v>1933</v>
      </c>
      <c r="P603" s="10" t="n">
        <f aca="false">IF($H603="숙박",0,IF($H603=MID(P$1,3,20),IF($I603="",1,0.6),IF($I603=MID(P$1,3,20),0.4,0)))</f>
        <v>0</v>
      </c>
      <c r="Q603" s="10" t="n">
        <f aca="false">IF($H603="숙박",0,IF($H603=MID(Q$1,3,20),IF($I603="",1,0.6),IF($I603=MID(Q$1,3,20),0.4,0)))</f>
        <v>1</v>
      </c>
      <c r="R603" s="10" t="n">
        <f aca="false">IF($H603="숙박",0,IF($H603=MID(R$1,3,20),IF($I603="",1,0.6),IF($I603=MID(R$1,3,20),0.4,0)))</f>
        <v>0</v>
      </c>
      <c r="S603" s="10" t="n">
        <f aca="false">IF($H603="숙박",0,IF($H603=MID(S$1,3,20),IF($I603="",1,0.6),IF($I603=MID(S$1,3,20),0.4,0)))</f>
        <v>0</v>
      </c>
      <c r="T603" s="10" t="n">
        <f aca="false">IF($H603="숙박",0,IF($H603=MID(T$1,3,20),IF($I603="",1,0.6),IF($I603=MID(T$1,3,20),0.4,0)))</f>
        <v>0</v>
      </c>
      <c r="U603" s="10" t="n">
        <f aca="false">IF($H603="숙박",0,IF(ISNUMBER(SEARCH("야경",$J603)),1,0))</f>
        <v>0</v>
      </c>
      <c r="V603" s="10" t="n">
        <f aca="false">IF($H603="숙박",0,1)</f>
        <v>1</v>
      </c>
    </row>
    <row r="604" customFormat="false" ht="15" hidden="false" customHeight="false" outlineLevel="0" collapsed="false">
      <c r="A604" s="8" t="n">
        <v>603</v>
      </c>
      <c r="B604" s="8" t="s">
        <v>45</v>
      </c>
      <c r="C604" s="8" t="s">
        <v>376</v>
      </c>
      <c r="D604" s="8" t="s">
        <v>1934</v>
      </c>
      <c r="E604" s="7" t="s">
        <v>1935</v>
      </c>
      <c r="F604" s="8"/>
      <c r="G604" s="8" t="s">
        <v>50</v>
      </c>
      <c r="H604" s="9" t="s">
        <v>50</v>
      </c>
      <c r="I604" s="9" t="s">
        <v>190</v>
      </c>
      <c r="J604" s="9" t="s">
        <v>168</v>
      </c>
      <c r="K604" s="9" t="s">
        <v>52</v>
      </c>
      <c r="L604" s="8"/>
      <c r="M604" s="8"/>
      <c r="N604" s="8" t="s">
        <v>483</v>
      </c>
      <c r="O604" s="8" t="s">
        <v>1936</v>
      </c>
      <c r="P604" s="10" t="n">
        <f aca="false">IF($H604="숙박",0,IF($H604=MID(P$1,3,20),IF($I604="",1,0.6),IF($I604=MID(P$1,3,20),0.4,0)))</f>
        <v>0.4</v>
      </c>
      <c r="Q604" s="10" t="n">
        <f aca="false">IF($H604="숙박",0,IF($H604=MID(Q$1,3,20),IF($I604="",1,0.6),IF($I604=MID(Q$1,3,20),0.4,0)))</f>
        <v>0</v>
      </c>
      <c r="R604" s="10" t="n">
        <f aca="false">IF($H604="숙박",0,IF($H604=MID(R$1,3,20),IF($I604="",1,0.6),IF($I604=MID(R$1,3,20),0.4,0)))</f>
        <v>0</v>
      </c>
      <c r="S604" s="10" t="n">
        <f aca="false">IF($H604="숙박",0,IF($H604=MID(S$1,3,20),IF($I604="",1,0.6),IF($I604=MID(S$1,3,20),0.4,0)))</f>
        <v>0</v>
      </c>
      <c r="T604" s="10" t="n">
        <f aca="false">IF($H604="숙박",0,IF($H604=MID(T$1,3,20),IF($I604="",1,0.6),IF($I604=MID(T$1,3,20),0.4,0)))</f>
        <v>0.6</v>
      </c>
      <c r="U604" s="10" t="n">
        <f aca="false">IF($H604="숙박",0,IF(ISNUMBER(SEARCH("야경",$J604)),1,0))</f>
        <v>0</v>
      </c>
      <c r="V604" s="10" t="n">
        <f aca="false">IF($H604="숙박",0,1)</f>
        <v>1</v>
      </c>
    </row>
    <row r="605" customFormat="false" ht="15" hidden="false" customHeight="false" outlineLevel="0" collapsed="false">
      <c r="A605" s="8" t="n">
        <v>604</v>
      </c>
      <c r="B605" s="8" t="s">
        <v>45</v>
      </c>
      <c r="C605" s="8"/>
      <c r="D605" s="8" t="s">
        <v>1937</v>
      </c>
      <c r="E605" s="7" t="s">
        <v>1938</v>
      </c>
      <c r="F605" s="8"/>
      <c r="G605" s="8"/>
      <c r="H605" s="9" t="s">
        <v>594</v>
      </c>
      <c r="I605" s="9"/>
      <c r="J605" s="9"/>
      <c r="K605" s="9"/>
      <c r="L605" s="8"/>
      <c r="M605" s="8"/>
      <c r="N605" s="8" t="s">
        <v>595</v>
      </c>
      <c r="O605" s="8"/>
      <c r="P605" s="10" t="n">
        <f aca="false">IF($H605="숙박",0,IF($H605=MID(P$1,3,20),IF($I605="",1,0.6),IF($I605=MID(P$1,3,20),0.4,0)))</f>
        <v>0</v>
      </c>
      <c r="Q605" s="10" t="n">
        <f aca="false">IF($H605="숙박",0,IF($H605=MID(Q$1,3,20),IF($I605="",1,0.6),IF($I605=MID(Q$1,3,20),0.4,0)))</f>
        <v>0</v>
      </c>
      <c r="R605" s="10" t="n">
        <f aca="false">IF($H605="숙박",0,IF($H605=MID(R$1,3,20),IF($I605="",1,0.6),IF($I605=MID(R$1,3,20),0.4,0)))</f>
        <v>0</v>
      </c>
      <c r="S605" s="10" t="n">
        <f aca="false">IF($H605="숙박",0,IF($H605=MID(S$1,3,20),IF($I605="",1,0.6),IF($I605=MID(S$1,3,20),0.4,0)))</f>
        <v>0</v>
      </c>
      <c r="T605" s="10" t="n">
        <f aca="false">IF($H605="숙박",0,IF($H605=MID(T$1,3,20),IF($I605="",1,0.6),IF($I605=MID(T$1,3,20),0.4,0)))</f>
        <v>0</v>
      </c>
      <c r="U605" s="10" t="n">
        <f aca="false">IF($H605="숙박",0,IF(ISNUMBER(SEARCH("야경",$J605)),1,0))</f>
        <v>0</v>
      </c>
      <c r="V605" s="10" t="n">
        <f aca="false">IF($H605="숙박",0,1)</f>
        <v>0</v>
      </c>
    </row>
    <row r="606" customFormat="false" ht="15" hidden="false" customHeight="false" outlineLevel="0" collapsed="false">
      <c r="A606" s="8" t="n">
        <v>605</v>
      </c>
      <c r="B606" s="8" t="s">
        <v>45</v>
      </c>
      <c r="C606" s="8" t="s">
        <v>467</v>
      </c>
      <c r="D606" s="8" t="s">
        <v>1939</v>
      </c>
      <c r="E606" s="7" t="s">
        <v>1940</v>
      </c>
      <c r="F606" s="8"/>
      <c r="G606" s="8" t="s">
        <v>50</v>
      </c>
      <c r="H606" s="9" t="s">
        <v>50</v>
      </c>
      <c r="I606" s="9"/>
      <c r="J606" s="9" t="s">
        <v>168</v>
      </c>
      <c r="K606" s="9" t="s">
        <v>52</v>
      </c>
      <c r="L606" s="8"/>
      <c r="M606" s="8"/>
      <c r="N606" s="8"/>
      <c r="O606" s="8" t="s">
        <v>1941</v>
      </c>
      <c r="P606" s="10" t="n">
        <f aca="false">IF($H606="숙박",0,IF($H606=MID(P$1,3,20),IF($I606="",1,0.6),IF($I606=MID(P$1,3,20),0.4,0)))</f>
        <v>0</v>
      </c>
      <c r="Q606" s="10" t="n">
        <f aca="false">IF($H606="숙박",0,IF($H606=MID(Q$1,3,20),IF($I606="",1,0.6),IF($I606=MID(Q$1,3,20),0.4,0)))</f>
        <v>0</v>
      </c>
      <c r="R606" s="10" t="n">
        <f aca="false">IF($H606="숙박",0,IF($H606=MID(R$1,3,20),IF($I606="",1,0.6),IF($I606=MID(R$1,3,20),0.4,0)))</f>
        <v>0</v>
      </c>
      <c r="S606" s="10" t="n">
        <f aca="false">IF($H606="숙박",0,IF($H606=MID(S$1,3,20),IF($I606="",1,0.6),IF($I606=MID(S$1,3,20),0.4,0)))</f>
        <v>0</v>
      </c>
      <c r="T606" s="10" t="n">
        <f aca="false">IF($H606="숙박",0,IF($H606=MID(T$1,3,20),IF($I606="",1,0.6),IF($I606=MID(T$1,3,20),0.4,0)))</f>
        <v>1</v>
      </c>
      <c r="U606" s="10" t="n">
        <f aca="false">IF($H606="숙박",0,IF(ISNUMBER(SEARCH("야경",$J606)),1,0))</f>
        <v>0</v>
      </c>
      <c r="V606" s="10" t="n">
        <f aca="false">IF($H606="숙박",0,1)</f>
        <v>1</v>
      </c>
    </row>
    <row r="607" customFormat="false" ht="15" hidden="false" customHeight="false" outlineLevel="0" collapsed="false">
      <c r="A607" s="8" t="n">
        <v>606</v>
      </c>
      <c r="B607" s="8" t="s">
        <v>45</v>
      </c>
      <c r="C607" s="8" t="s">
        <v>1489</v>
      </c>
      <c r="D607" s="8" t="s">
        <v>1942</v>
      </c>
      <c r="E607" s="7" t="s">
        <v>1943</v>
      </c>
      <c r="F607" s="8"/>
      <c r="G607" s="8" t="s">
        <v>190</v>
      </c>
      <c r="H607" s="9" t="s">
        <v>190</v>
      </c>
      <c r="I607" s="9"/>
      <c r="J607" s="9"/>
      <c r="K607" s="9" t="s">
        <v>191</v>
      </c>
      <c r="L607" s="8"/>
      <c r="M607" s="8"/>
      <c r="N607" s="8"/>
      <c r="O607" s="8" t="s">
        <v>1944</v>
      </c>
      <c r="P607" s="10" t="n">
        <f aca="false">IF($H607="숙박",0,IF($H607=MID(P$1,3,20),IF($I607="",1,0.6),IF($I607=MID(P$1,3,20),0.4,0)))</f>
        <v>1</v>
      </c>
      <c r="Q607" s="10" t="n">
        <f aca="false">IF($H607="숙박",0,IF($H607=MID(Q$1,3,20),IF($I607="",1,0.6),IF($I607=MID(Q$1,3,20),0.4,0)))</f>
        <v>0</v>
      </c>
      <c r="R607" s="10" t="n">
        <f aca="false">IF($H607="숙박",0,IF($H607=MID(R$1,3,20),IF($I607="",1,0.6),IF($I607=MID(R$1,3,20),0.4,0)))</f>
        <v>0</v>
      </c>
      <c r="S607" s="10" t="n">
        <f aca="false">IF($H607="숙박",0,IF($H607=MID(S$1,3,20),IF($I607="",1,0.6),IF($I607=MID(S$1,3,20),0.4,0)))</f>
        <v>0</v>
      </c>
      <c r="T607" s="10" t="n">
        <f aca="false">IF($H607="숙박",0,IF($H607=MID(T$1,3,20),IF($I607="",1,0.6),IF($I607=MID(T$1,3,20),0.4,0)))</f>
        <v>0</v>
      </c>
      <c r="U607" s="10" t="n">
        <f aca="false">IF($H607="숙박",0,IF(ISNUMBER(SEARCH("야경",$J607)),1,0))</f>
        <v>0</v>
      </c>
      <c r="V607" s="10" t="n">
        <f aca="false">IF($H607="숙박",0,1)</f>
        <v>1</v>
      </c>
    </row>
    <row r="608" customFormat="false" ht="15" hidden="false" customHeight="false" outlineLevel="0" collapsed="false">
      <c r="A608" s="8" t="n">
        <v>607</v>
      </c>
      <c r="B608" s="8" t="s">
        <v>45</v>
      </c>
      <c r="C608" s="8" t="s">
        <v>1493</v>
      </c>
      <c r="D608" s="8" t="s">
        <v>1945</v>
      </c>
      <c r="E608" s="7" t="s">
        <v>1946</v>
      </c>
      <c r="F608" s="8"/>
      <c r="G608" s="8" t="s">
        <v>190</v>
      </c>
      <c r="H608" s="9" t="s">
        <v>190</v>
      </c>
      <c r="I608" s="9"/>
      <c r="J608" s="9"/>
      <c r="K608" s="9" t="s">
        <v>191</v>
      </c>
      <c r="L608" s="8"/>
      <c r="M608" s="8"/>
      <c r="N608" s="8"/>
      <c r="O608" s="8" t="s">
        <v>1947</v>
      </c>
      <c r="P608" s="10" t="n">
        <f aca="false">IF($H608="숙박",0,IF($H608=MID(P$1,3,20),IF($I608="",1,0.6),IF($I608=MID(P$1,3,20),0.4,0)))</f>
        <v>1</v>
      </c>
      <c r="Q608" s="10" t="n">
        <f aca="false">IF($H608="숙박",0,IF($H608=MID(Q$1,3,20),IF($I608="",1,0.6),IF($I608=MID(Q$1,3,20),0.4,0)))</f>
        <v>0</v>
      </c>
      <c r="R608" s="10" t="n">
        <f aca="false">IF($H608="숙박",0,IF($H608=MID(R$1,3,20),IF($I608="",1,0.6),IF($I608=MID(R$1,3,20),0.4,0)))</f>
        <v>0</v>
      </c>
      <c r="S608" s="10" t="n">
        <f aca="false">IF($H608="숙박",0,IF($H608=MID(S$1,3,20),IF($I608="",1,0.6),IF($I608=MID(S$1,3,20),0.4,0)))</f>
        <v>0</v>
      </c>
      <c r="T608" s="10" t="n">
        <f aca="false">IF($H608="숙박",0,IF($H608=MID(T$1,3,20),IF($I608="",1,0.6),IF($I608=MID(T$1,3,20),0.4,0)))</f>
        <v>0</v>
      </c>
      <c r="U608" s="10" t="n">
        <f aca="false">IF($H608="숙박",0,IF(ISNUMBER(SEARCH("야경",$J608)),1,0))</f>
        <v>0</v>
      </c>
      <c r="V608" s="10" t="n">
        <f aca="false">IF($H608="숙박",0,1)</f>
        <v>1</v>
      </c>
    </row>
    <row r="609" customFormat="false" ht="15" hidden="false" customHeight="false" outlineLevel="0" collapsed="false">
      <c r="A609" s="8" t="n">
        <v>608</v>
      </c>
      <c r="B609" s="8" t="s">
        <v>45</v>
      </c>
      <c r="C609" s="8" t="s">
        <v>376</v>
      </c>
      <c r="D609" s="8" t="s">
        <v>1948</v>
      </c>
      <c r="E609" s="7" t="s">
        <v>1949</v>
      </c>
      <c r="F609" s="8"/>
      <c r="G609" s="8" t="s">
        <v>50</v>
      </c>
      <c r="H609" s="9" t="s">
        <v>50</v>
      </c>
      <c r="I609" s="9" t="s">
        <v>190</v>
      </c>
      <c r="J609" s="9" t="s">
        <v>168</v>
      </c>
      <c r="K609" s="9" t="s">
        <v>52</v>
      </c>
      <c r="L609" s="8"/>
      <c r="M609" s="8"/>
      <c r="N609" s="8" t="s">
        <v>483</v>
      </c>
      <c r="O609" s="8" t="s">
        <v>1950</v>
      </c>
      <c r="P609" s="10" t="n">
        <f aca="false">IF($H609="숙박",0,IF($H609=MID(P$1,3,20),IF($I609="",1,0.6),IF($I609=MID(P$1,3,20),0.4,0)))</f>
        <v>0.4</v>
      </c>
      <c r="Q609" s="10" t="n">
        <f aca="false">IF($H609="숙박",0,IF($H609=MID(Q$1,3,20),IF($I609="",1,0.6),IF($I609=MID(Q$1,3,20),0.4,0)))</f>
        <v>0</v>
      </c>
      <c r="R609" s="10" t="n">
        <f aca="false">IF($H609="숙박",0,IF($H609=MID(R$1,3,20),IF($I609="",1,0.6),IF($I609=MID(R$1,3,20),0.4,0)))</f>
        <v>0</v>
      </c>
      <c r="S609" s="10" t="n">
        <f aca="false">IF($H609="숙박",0,IF($H609=MID(S$1,3,20),IF($I609="",1,0.6),IF($I609=MID(S$1,3,20),0.4,0)))</f>
        <v>0</v>
      </c>
      <c r="T609" s="10" t="n">
        <f aca="false">IF($H609="숙박",0,IF($H609=MID(T$1,3,20),IF($I609="",1,0.6),IF($I609=MID(T$1,3,20),0.4,0)))</f>
        <v>0.6</v>
      </c>
      <c r="U609" s="10" t="n">
        <f aca="false">IF($H609="숙박",0,IF(ISNUMBER(SEARCH("야경",$J609)),1,0))</f>
        <v>0</v>
      </c>
      <c r="V609" s="10" t="n">
        <f aca="false">IF($H609="숙박",0,1)</f>
        <v>1</v>
      </c>
    </row>
    <row r="610" customFormat="false" ht="15" hidden="false" customHeight="false" outlineLevel="0" collapsed="false">
      <c r="A610" s="8" t="n">
        <v>609</v>
      </c>
      <c r="B610" s="8" t="s">
        <v>45</v>
      </c>
      <c r="C610" s="8" t="s">
        <v>376</v>
      </c>
      <c r="D610" s="8" t="s">
        <v>1951</v>
      </c>
      <c r="E610" s="7" t="s">
        <v>1952</v>
      </c>
      <c r="F610" s="8"/>
      <c r="G610" s="8" t="s">
        <v>190</v>
      </c>
      <c r="H610" s="9" t="s">
        <v>190</v>
      </c>
      <c r="I610" s="9"/>
      <c r="J610" s="9" t="s">
        <v>1361</v>
      </c>
      <c r="K610" s="9" t="s">
        <v>191</v>
      </c>
      <c r="L610" s="8"/>
      <c r="M610" s="8"/>
      <c r="N610" s="8"/>
      <c r="O610" s="8" t="s">
        <v>1953</v>
      </c>
      <c r="P610" s="10" t="n">
        <f aca="false">IF($H610="숙박",0,IF($H610=MID(P$1,3,20),IF($I610="",1,0.6),IF($I610=MID(P$1,3,20),0.4,0)))</f>
        <v>1</v>
      </c>
      <c r="Q610" s="10" t="n">
        <f aca="false">IF($H610="숙박",0,IF($H610=MID(Q$1,3,20),IF($I610="",1,0.6),IF($I610=MID(Q$1,3,20),0.4,0)))</f>
        <v>0</v>
      </c>
      <c r="R610" s="10" t="n">
        <f aca="false">IF($H610="숙박",0,IF($H610=MID(R$1,3,20),IF($I610="",1,0.6),IF($I610=MID(R$1,3,20),0.4,0)))</f>
        <v>0</v>
      </c>
      <c r="S610" s="10" t="n">
        <f aca="false">IF($H610="숙박",0,IF($H610=MID(S$1,3,20),IF($I610="",1,0.6),IF($I610=MID(S$1,3,20),0.4,0)))</f>
        <v>0</v>
      </c>
      <c r="T610" s="10" t="n">
        <f aca="false">IF($H610="숙박",0,IF($H610=MID(T$1,3,20),IF($I610="",1,0.6),IF($I610=MID(T$1,3,20),0.4,0)))</f>
        <v>0</v>
      </c>
      <c r="U610" s="10" t="n">
        <f aca="false">IF($H610="숙박",0,IF(ISNUMBER(SEARCH("야경",$J610)),1,0))</f>
        <v>0</v>
      </c>
      <c r="V610" s="10" t="n">
        <f aca="false">IF($H610="숙박",0,1)</f>
        <v>1</v>
      </c>
    </row>
    <row r="611" customFormat="false" ht="15" hidden="false" customHeight="false" outlineLevel="0" collapsed="false">
      <c r="A611" s="8" t="n">
        <v>610</v>
      </c>
      <c r="B611" s="8" t="s">
        <v>45</v>
      </c>
      <c r="C611" s="8" t="s">
        <v>376</v>
      </c>
      <c r="D611" s="8" t="s">
        <v>1954</v>
      </c>
      <c r="E611" s="7" t="s">
        <v>1955</v>
      </c>
      <c r="F611" s="8"/>
      <c r="G611" s="8" t="s">
        <v>49</v>
      </c>
      <c r="H611" s="9" t="s">
        <v>49</v>
      </c>
      <c r="I611" s="9" t="s">
        <v>184</v>
      </c>
      <c r="J611" s="9"/>
      <c r="K611" s="9" t="s">
        <v>52</v>
      </c>
      <c r="L611" s="8"/>
      <c r="M611" s="8"/>
      <c r="N611" s="8" t="s">
        <v>483</v>
      </c>
      <c r="O611" s="8" t="s">
        <v>1956</v>
      </c>
      <c r="P611" s="10" t="n">
        <f aca="false">IF($H611="숙박",0,IF($H611=MID(P$1,3,20),IF($I611="",1,0.6),IF($I611=MID(P$1,3,20),0.4,0)))</f>
        <v>0</v>
      </c>
      <c r="Q611" s="10" t="n">
        <f aca="false">IF($H611="숙박",0,IF($H611=MID(Q$1,3,20),IF($I611="",1,0.6),IF($I611=MID(Q$1,3,20),0.4,0)))</f>
        <v>0.6</v>
      </c>
      <c r="R611" s="10" t="n">
        <f aca="false">IF($H611="숙박",0,IF($H611=MID(R$1,3,20),IF($I611="",1,0.6),IF($I611=MID(R$1,3,20),0.4,0)))</f>
        <v>0.4</v>
      </c>
      <c r="S611" s="10" t="n">
        <f aca="false">IF($H611="숙박",0,IF($H611=MID(S$1,3,20),IF($I611="",1,0.6),IF($I611=MID(S$1,3,20),0.4,0)))</f>
        <v>0</v>
      </c>
      <c r="T611" s="10" t="n">
        <f aca="false">IF($H611="숙박",0,IF($H611=MID(T$1,3,20),IF($I611="",1,0.6),IF($I611=MID(T$1,3,20),0.4,0)))</f>
        <v>0</v>
      </c>
      <c r="U611" s="10" t="n">
        <f aca="false">IF($H611="숙박",0,IF(ISNUMBER(SEARCH("야경",$J611)),1,0))</f>
        <v>0</v>
      </c>
      <c r="V611" s="10" t="n">
        <f aca="false">IF($H611="숙박",0,1)</f>
        <v>1</v>
      </c>
    </row>
    <row r="612" customFormat="false" ht="15" hidden="false" customHeight="false" outlineLevel="0" collapsed="false">
      <c r="A612" s="8" t="n">
        <v>611</v>
      </c>
      <c r="B612" s="8" t="s">
        <v>45</v>
      </c>
      <c r="C612" s="8" t="s">
        <v>1343</v>
      </c>
      <c r="D612" s="8" t="s">
        <v>1957</v>
      </c>
      <c r="E612" s="7" t="s">
        <v>1958</v>
      </c>
      <c r="F612" s="8"/>
      <c r="G612" s="8" t="s">
        <v>190</v>
      </c>
      <c r="H612" s="9" t="s">
        <v>190</v>
      </c>
      <c r="I612" s="9"/>
      <c r="J612" s="9" t="s">
        <v>1361</v>
      </c>
      <c r="K612" s="9" t="s">
        <v>191</v>
      </c>
      <c r="L612" s="8"/>
      <c r="M612" s="8"/>
      <c r="N612" s="8"/>
      <c r="O612" s="8" t="s">
        <v>1959</v>
      </c>
      <c r="P612" s="10" t="n">
        <f aca="false">IF($H612="숙박",0,IF($H612=MID(P$1,3,20),IF($I612="",1,0.6),IF($I612=MID(P$1,3,20),0.4,0)))</f>
        <v>1</v>
      </c>
      <c r="Q612" s="10" t="n">
        <f aca="false">IF($H612="숙박",0,IF($H612=MID(Q$1,3,20),IF($I612="",1,0.6),IF($I612=MID(Q$1,3,20),0.4,0)))</f>
        <v>0</v>
      </c>
      <c r="R612" s="10" t="n">
        <f aca="false">IF($H612="숙박",0,IF($H612=MID(R$1,3,20),IF($I612="",1,0.6),IF($I612=MID(R$1,3,20),0.4,0)))</f>
        <v>0</v>
      </c>
      <c r="S612" s="10" t="n">
        <f aca="false">IF($H612="숙박",0,IF($H612=MID(S$1,3,20),IF($I612="",1,0.6),IF($I612=MID(S$1,3,20),0.4,0)))</f>
        <v>0</v>
      </c>
      <c r="T612" s="10" t="n">
        <f aca="false">IF($H612="숙박",0,IF($H612=MID(T$1,3,20),IF($I612="",1,0.6),IF($I612=MID(T$1,3,20),0.4,0)))</f>
        <v>0</v>
      </c>
      <c r="U612" s="10" t="n">
        <f aca="false">IF($H612="숙박",0,IF(ISNUMBER(SEARCH("야경",$J612)),1,0))</f>
        <v>0</v>
      </c>
      <c r="V612" s="10" t="n">
        <f aca="false">IF($H612="숙박",0,1)</f>
        <v>1</v>
      </c>
    </row>
    <row r="613" customFormat="false" ht="15" hidden="false" customHeight="false" outlineLevel="0" collapsed="false">
      <c r="A613" s="8" t="n">
        <v>612</v>
      </c>
      <c r="B613" s="8" t="s">
        <v>45</v>
      </c>
      <c r="C613" s="8"/>
      <c r="D613" s="8" t="s">
        <v>1960</v>
      </c>
      <c r="E613" s="7" t="s">
        <v>1961</v>
      </c>
      <c r="F613" s="8"/>
      <c r="G613" s="8"/>
      <c r="H613" s="9" t="s">
        <v>594</v>
      </c>
      <c r="I613" s="9"/>
      <c r="J613" s="9"/>
      <c r="K613" s="9"/>
      <c r="L613" s="8"/>
      <c r="M613" s="8"/>
      <c r="N613" s="8" t="s">
        <v>595</v>
      </c>
      <c r="O613" s="8"/>
      <c r="P613" s="10" t="n">
        <f aca="false">IF($H613="숙박",0,IF($H613=MID(P$1,3,20),IF($I613="",1,0.6),IF($I613=MID(P$1,3,20),0.4,0)))</f>
        <v>0</v>
      </c>
      <c r="Q613" s="10" t="n">
        <f aca="false">IF($H613="숙박",0,IF($H613=MID(Q$1,3,20),IF($I613="",1,0.6),IF($I613=MID(Q$1,3,20),0.4,0)))</f>
        <v>0</v>
      </c>
      <c r="R613" s="10" t="n">
        <f aca="false">IF($H613="숙박",0,IF($H613=MID(R$1,3,20),IF($I613="",1,0.6),IF($I613=MID(R$1,3,20),0.4,0)))</f>
        <v>0</v>
      </c>
      <c r="S613" s="10" t="n">
        <f aca="false">IF($H613="숙박",0,IF($H613=MID(S$1,3,20),IF($I613="",1,0.6),IF($I613=MID(S$1,3,20),0.4,0)))</f>
        <v>0</v>
      </c>
      <c r="T613" s="10" t="n">
        <f aca="false">IF($H613="숙박",0,IF($H613=MID(T$1,3,20),IF($I613="",1,0.6),IF($I613=MID(T$1,3,20),0.4,0)))</f>
        <v>0</v>
      </c>
      <c r="U613" s="10" t="n">
        <f aca="false">IF($H613="숙박",0,IF(ISNUMBER(SEARCH("야경",$J613)),1,0))</f>
        <v>0</v>
      </c>
      <c r="V613" s="10" t="n">
        <f aca="false">IF($H613="숙박",0,1)</f>
        <v>0</v>
      </c>
    </row>
    <row r="614" customFormat="false" ht="15" hidden="false" customHeight="false" outlineLevel="0" collapsed="false">
      <c r="A614" s="8" t="n">
        <v>613</v>
      </c>
      <c r="B614" s="8" t="s">
        <v>45</v>
      </c>
      <c r="C614" s="8" t="s">
        <v>290</v>
      </c>
      <c r="D614" s="8" t="s">
        <v>1962</v>
      </c>
      <c r="E614" s="7" t="s">
        <v>1963</v>
      </c>
      <c r="F614" s="8"/>
      <c r="G614" s="8" t="s">
        <v>190</v>
      </c>
      <c r="H614" s="9" t="s">
        <v>190</v>
      </c>
      <c r="I614" s="9"/>
      <c r="J614" s="9"/>
      <c r="K614" s="9" t="s">
        <v>191</v>
      </c>
      <c r="L614" s="8"/>
      <c r="M614" s="8"/>
      <c r="N614" s="8"/>
      <c r="O614" s="8" t="s">
        <v>1964</v>
      </c>
      <c r="P614" s="10" t="n">
        <f aca="false">IF($H614="숙박",0,IF($H614=MID(P$1,3,20),IF($I614="",1,0.6),IF($I614=MID(P$1,3,20),0.4,0)))</f>
        <v>1</v>
      </c>
      <c r="Q614" s="10" t="n">
        <f aca="false">IF($H614="숙박",0,IF($H614=MID(Q$1,3,20),IF($I614="",1,0.6),IF($I614=MID(Q$1,3,20),0.4,0)))</f>
        <v>0</v>
      </c>
      <c r="R614" s="10" t="n">
        <f aca="false">IF($H614="숙박",0,IF($H614=MID(R$1,3,20),IF($I614="",1,0.6),IF($I614=MID(R$1,3,20),0.4,0)))</f>
        <v>0</v>
      </c>
      <c r="S614" s="10" t="n">
        <f aca="false">IF($H614="숙박",0,IF($H614=MID(S$1,3,20),IF($I614="",1,0.6),IF($I614=MID(S$1,3,20),0.4,0)))</f>
        <v>0</v>
      </c>
      <c r="T614" s="10" t="n">
        <f aca="false">IF($H614="숙박",0,IF($H614=MID(T$1,3,20),IF($I614="",1,0.6),IF($I614=MID(T$1,3,20),0.4,0)))</f>
        <v>0</v>
      </c>
      <c r="U614" s="10" t="n">
        <f aca="false">IF($H614="숙박",0,IF(ISNUMBER(SEARCH("야경",$J614)),1,0))</f>
        <v>0</v>
      </c>
      <c r="V614" s="10" t="n">
        <f aca="false">IF($H614="숙박",0,1)</f>
        <v>1</v>
      </c>
    </row>
    <row r="615" customFormat="false" ht="15" hidden="false" customHeight="false" outlineLevel="0" collapsed="false">
      <c r="A615" s="8" t="n">
        <v>614</v>
      </c>
      <c r="B615" s="8" t="s">
        <v>45</v>
      </c>
      <c r="C615" s="8"/>
      <c r="D615" s="8" t="s">
        <v>1965</v>
      </c>
      <c r="E615" s="7" t="s">
        <v>1966</v>
      </c>
      <c r="F615" s="8"/>
      <c r="G615" s="8"/>
      <c r="H615" s="9" t="s">
        <v>594</v>
      </c>
      <c r="I615" s="9"/>
      <c r="J615" s="9"/>
      <c r="K615" s="9"/>
      <c r="L615" s="8"/>
      <c r="M615" s="8"/>
      <c r="N615" s="8" t="s">
        <v>595</v>
      </c>
      <c r="O615" s="8"/>
      <c r="P615" s="10" t="n">
        <f aca="false">IF($H615="숙박",0,IF($H615=MID(P$1,3,20),IF($I615="",1,0.6),IF($I615=MID(P$1,3,20),0.4,0)))</f>
        <v>0</v>
      </c>
      <c r="Q615" s="10" t="n">
        <f aca="false">IF($H615="숙박",0,IF($H615=MID(Q$1,3,20),IF($I615="",1,0.6),IF($I615=MID(Q$1,3,20),0.4,0)))</f>
        <v>0</v>
      </c>
      <c r="R615" s="10" t="n">
        <f aca="false">IF($H615="숙박",0,IF($H615=MID(R$1,3,20),IF($I615="",1,0.6),IF($I615=MID(R$1,3,20),0.4,0)))</f>
        <v>0</v>
      </c>
      <c r="S615" s="10" t="n">
        <f aca="false">IF($H615="숙박",0,IF($H615=MID(S$1,3,20),IF($I615="",1,0.6),IF($I615=MID(S$1,3,20),0.4,0)))</f>
        <v>0</v>
      </c>
      <c r="T615" s="10" t="n">
        <f aca="false">IF($H615="숙박",0,IF($H615=MID(T$1,3,20),IF($I615="",1,0.6),IF($I615=MID(T$1,3,20),0.4,0)))</f>
        <v>0</v>
      </c>
      <c r="U615" s="10" t="n">
        <f aca="false">IF($H615="숙박",0,IF(ISNUMBER(SEARCH("야경",$J615)),1,0))</f>
        <v>0</v>
      </c>
      <c r="V615" s="10" t="n">
        <f aca="false">IF($H615="숙박",0,1)</f>
        <v>0</v>
      </c>
    </row>
    <row r="616" customFormat="false" ht="15" hidden="false" customHeight="false" outlineLevel="0" collapsed="false">
      <c r="A616" s="8" t="n">
        <v>615</v>
      </c>
      <c r="B616" s="8" t="s">
        <v>45</v>
      </c>
      <c r="C616" s="8" t="s">
        <v>317</v>
      </c>
      <c r="D616" s="8" t="s">
        <v>1967</v>
      </c>
      <c r="E616" s="7" t="s">
        <v>1968</v>
      </c>
      <c r="F616" s="8"/>
      <c r="G616" s="8" t="s">
        <v>49</v>
      </c>
      <c r="H616" s="9" t="s">
        <v>49</v>
      </c>
      <c r="I616" s="9"/>
      <c r="J616" s="9" t="s">
        <v>43</v>
      </c>
      <c r="K616" s="9" t="s">
        <v>52</v>
      </c>
      <c r="L616" s="8"/>
      <c r="M616" s="8"/>
      <c r="N616" s="8"/>
      <c r="O616" s="8" t="s">
        <v>1969</v>
      </c>
      <c r="P616" s="10" t="n">
        <f aca="false">IF($H616="숙박",0,IF($H616=MID(P$1,3,20),IF($I616="",1,0.6),IF($I616=MID(P$1,3,20),0.4,0)))</f>
        <v>0</v>
      </c>
      <c r="Q616" s="10" t="n">
        <f aca="false">IF($H616="숙박",0,IF($H616=MID(Q$1,3,20),IF($I616="",1,0.6),IF($I616=MID(Q$1,3,20),0.4,0)))</f>
        <v>1</v>
      </c>
      <c r="R616" s="10" t="n">
        <f aca="false">IF($H616="숙박",0,IF($H616=MID(R$1,3,20),IF($I616="",1,0.6),IF($I616=MID(R$1,3,20),0.4,0)))</f>
        <v>0</v>
      </c>
      <c r="S616" s="10" t="n">
        <f aca="false">IF($H616="숙박",0,IF($H616=MID(S$1,3,20),IF($I616="",1,0.6),IF($I616=MID(S$1,3,20),0.4,0)))</f>
        <v>0</v>
      </c>
      <c r="T616" s="10" t="n">
        <f aca="false">IF($H616="숙박",0,IF($H616=MID(T$1,3,20),IF($I616="",1,0.6),IF($I616=MID(T$1,3,20),0.4,0)))</f>
        <v>0</v>
      </c>
      <c r="U616" s="10" t="n">
        <f aca="false">IF($H616="숙박",0,IF(ISNUMBER(SEARCH("야경",$J616)),1,0))</f>
        <v>1</v>
      </c>
      <c r="V616" s="10" t="n">
        <f aca="false">IF($H616="숙박",0,1)</f>
        <v>1</v>
      </c>
    </row>
    <row r="617" customFormat="false" ht="15" hidden="false" customHeight="false" outlineLevel="0" collapsed="false">
      <c r="A617" s="8" t="n">
        <v>616</v>
      </c>
      <c r="B617" s="8" t="s">
        <v>45</v>
      </c>
      <c r="C617" s="8"/>
      <c r="D617" s="8" t="s">
        <v>1970</v>
      </c>
      <c r="E617" s="7" t="s">
        <v>1971</v>
      </c>
      <c r="F617" s="8"/>
      <c r="G617" s="8"/>
      <c r="H617" s="9" t="s">
        <v>594</v>
      </c>
      <c r="I617" s="9"/>
      <c r="J617" s="9"/>
      <c r="K617" s="9"/>
      <c r="L617" s="8"/>
      <c r="M617" s="8"/>
      <c r="N617" s="8" t="s">
        <v>595</v>
      </c>
      <c r="O617" s="8"/>
      <c r="P617" s="10" t="n">
        <f aca="false">IF($H617="숙박",0,IF($H617=MID(P$1,3,20),IF($I617="",1,0.6),IF($I617=MID(P$1,3,20),0.4,0)))</f>
        <v>0</v>
      </c>
      <c r="Q617" s="10" t="n">
        <f aca="false">IF($H617="숙박",0,IF($H617=MID(Q$1,3,20),IF($I617="",1,0.6),IF($I617=MID(Q$1,3,20),0.4,0)))</f>
        <v>0</v>
      </c>
      <c r="R617" s="10" t="n">
        <f aca="false">IF($H617="숙박",0,IF($H617=MID(R$1,3,20),IF($I617="",1,0.6),IF($I617=MID(R$1,3,20),0.4,0)))</f>
        <v>0</v>
      </c>
      <c r="S617" s="10" t="n">
        <f aca="false">IF($H617="숙박",0,IF($H617=MID(S$1,3,20),IF($I617="",1,0.6),IF($I617=MID(S$1,3,20),0.4,0)))</f>
        <v>0</v>
      </c>
      <c r="T617" s="10" t="n">
        <f aca="false">IF($H617="숙박",0,IF($H617=MID(T$1,3,20),IF($I617="",1,0.6),IF($I617=MID(T$1,3,20),0.4,0)))</f>
        <v>0</v>
      </c>
      <c r="U617" s="10" t="n">
        <f aca="false">IF($H617="숙박",0,IF(ISNUMBER(SEARCH("야경",$J617)),1,0))</f>
        <v>0</v>
      </c>
      <c r="V617" s="10" t="n">
        <f aca="false">IF($H617="숙박",0,1)</f>
        <v>0</v>
      </c>
    </row>
    <row r="618" customFormat="false" ht="15" hidden="false" customHeight="false" outlineLevel="0" collapsed="false">
      <c r="A618" s="8" t="n">
        <v>617</v>
      </c>
      <c r="B618" s="8" t="s">
        <v>45</v>
      </c>
      <c r="C618" s="8" t="s">
        <v>1444</v>
      </c>
      <c r="D618" s="8" t="s">
        <v>1972</v>
      </c>
      <c r="E618" s="7" t="s">
        <v>1973</v>
      </c>
      <c r="F618" s="8"/>
      <c r="G618" s="8" t="s">
        <v>190</v>
      </c>
      <c r="H618" s="9" t="s">
        <v>190</v>
      </c>
      <c r="I618" s="9"/>
      <c r="J618" s="9"/>
      <c r="K618" s="9" t="s">
        <v>191</v>
      </c>
      <c r="L618" s="8"/>
      <c r="M618" s="8"/>
      <c r="N618" s="8"/>
      <c r="O618" s="8" t="s">
        <v>1974</v>
      </c>
      <c r="P618" s="10" t="n">
        <f aca="false">IF($H618="숙박",0,IF($H618=MID(P$1,3,20),IF($I618="",1,0.6),IF($I618=MID(P$1,3,20),0.4,0)))</f>
        <v>1</v>
      </c>
      <c r="Q618" s="10" t="n">
        <f aca="false">IF($H618="숙박",0,IF($H618=MID(Q$1,3,20),IF($I618="",1,0.6),IF($I618=MID(Q$1,3,20),0.4,0)))</f>
        <v>0</v>
      </c>
      <c r="R618" s="10" t="n">
        <f aca="false">IF($H618="숙박",0,IF($H618=MID(R$1,3,20),IF($I618="",1,0.6),IF($I618=MID(R$1,3,20),0.4,0)))</f>
        <v>0</v>
      </c>
      <c r="S618" s="10" t="n">
        <f aca="false">IF($H618="숙박",0,IF($H618=MID(S$1,3,20),IF($I618="",1,0.6),IF($I618=MID(S$1,3,20),0.4,0)))</f>
        <v>0</v>
      </c>
      <c r="T618" s="10" t="n">
        <f aca="false">IF($H618="숙박",0,IF($H618=MID(T$1,3,20),IF($I618="",1,0.6),IF($I618=MID(T$1,3,20),0.4,0)))</f>
        <v>0</v>
      </c>
      <c r="U618" s="10" t="n">
        <f aca="false">IF($H618="숙박",0,IF(ISNUMBER(SEARCH("야경",$J618)),1,0))</f>
        <v>0</v>
      </c>
      <c r="V618" s="10" t="n">
        <f aca="false">IF($H618="숙박",0,1)</f>
        <v>1</v>
      </c>
    </row>
    <row r="619" customFormat="false" ht="15" hidden="false" customHeight="false" outlineLevel="0" collapsed="false">
      <c r="A619" s="8" t="n">
        <v>618</v>
      </c>
      <c r="B619" s="8" t="s">
        <v>45</v>
      </c>
      <c r="C619" s="8"/>
      <c r="D619" s="8" t="s">
        <v>1975</v>
      </c>
      <c r="E619" s="7" t="s">
        <v>1976</v>
      </c>
      <c r="F619" s="8"/>
      <c r="G619" s="8"/>
      <c r="H619" s="9" t="s">
        <v>594</v>
      </c>
      <c r="I619" s="9"/>
      <c r="J619" s="9"/>
      <c r="K619" s="9"/>
      <c r="L619" s="8"/>
      <c r="M619" s="8"/>
      <c r="N619" s="8" t="s">
        <v>595</v>
      </c>
      <c r="O619" s="8"/>
      <c r="P619" s="10" t="n">
        <f aca="false">IF($H619="숙박",0,IF($H619=MID(P$1,3,20),IF($I619="",1,0.6),IF($I619=MID(P$1,3,20),0.4,0)))</f>
        <v>0</v>
      </c>
      <c r="Q619" s="10" t="n">
        <f aca="false">IF($H619="숙박",0,IF($H619=MID(Q$1,3,20),IF($I619="",1,0.6),IF($I619=MID(Q$1,3,20),0.4,0)))</f>
        <v>0</v>
      </c>
      <c r="R619" s="10" t="n">
        <f aca="false">IF($H619="숙박",0,IF($H619=MID(R$1,3,20),IF($I619="",1,0.6),IF($I619=MID(R$1,3,20),0.4,0)))</f>
        <v>0</v>
      </c>
      <c r="S619" s="10" t="n">
        <f aca="false">IF($H619="숙박",0,IF($H619=MID(S$1,3,20),IF($I619="",1,0.6),IF($I619=MID(S$1,3,20),0.4,0)))</f>
        <v>0</v>
      </c>
      <c r="T619" s="10" t="n">
        <f aca="false">IF($H619="숙박",0,IF($H619=MID(T$1,3,20),IF($I619="",1,0.6),IF($I619=MID(T$1,3,20),0.4,0)))</f>
        <v>0</v>
      </c>
      <c r="U619" s="10" t="n">
        <f aca="false">IF($H619="숙박",0,IF(ISNUMBER(SEARCH("야경",$J619)),1,0))</f>
        <v>0</v>
      </c>
      <c r="V619" s="10" t="n">
        <f aca="false">IF($H619="숙박",0,1)</f>
        <v>0</v>
      </c>
    </row>
    <row r="620" customFormat="false" ht="15" hidden="false" customHeight="false" outlineLevel="0" collapsed="false">
      <c r="A620" s="8" t="n">
        <v>619</v>
      </c>
      <c r="B620" s="8" t="s">
        <v>45</v>
      </c>
      <c r="C620" s="8" t="s">
        <v>1636</v>
      </c>
      <c r="D620" s="8" t="s">
        <v>1977</v>
      </c>
      <c r="E620" s="7" t="s">
        <v>1978</v>
      </c>
      <c r="F620" s="8"/>
      <c r="G620" s="8" t="s">
        <v>216</v>
      </c>
      <c r="H620" s="9" t="s">
        <v>216</v>
      </c>
      <c r="I620" s="9"/>
      <c r="J620" s="9"/>
      <c r="K620" s="9" t="s">
        <v>191</v>
      </c>
      <c r="L620" s="8"/>
      <c r="M620" s="8"/>
      <c r="N620" s="8"/>
      <c r="O620" s="8" t="s">
        <v>1979</v>
      </c>
      <c r="P620" s="10" t="n">
        <f aca="false">IF($H620="숙박",0,IF($H620=MID(P$1,3,20),IF($I620="",1,0.6),IF($I620=MID(P$1,3,20),0.4,0)))</f>
        <v>0</v>
      </c>
      <c r="Q620" s="10" t="n">
        <f aca="false">IF($H620="숙박",0,IF($H620=MID(Q$1,3,20),IF($I620="",1,0.6),IF($I620=MID(Q$1,3,20),0.4,0)))</f>
        <v>0</v>
      </c>
      <c r="R620" s="10" t="n">
        <f aca="false">IF($H620="숙박",0,IF($H620=MID(R$1,3,20),IF($I620="",1,0.6),IF($I620=MID(R$1,3,20),0.4,0)))</f>
        <v>0</v>
      </c>
      <c r="S620" s="10" t="n">
        <f aca="false">IF($H620="숙박",0,IF($H620=MID(S$1,3,20),IF($I620="",1,0.6),IF($I620=MID(S$1,3,20),0.4,0)))</f>
        <v>1</v>
      </c>
      <c r="T620" s="10" t="n">
        <f aca="false">IF($H620="숙박",0,IF($H620=MID(T$1,3,20),IF($I620="",1,0.6),IF($I620=MID(T$1,3,20),0.4,0)))</f>
        <v>0</v>
      </c>
      <c r="U620" s="10" t="n">
        <f aca="false">IF($H620="숙박",0,IF(ISNUMBER(SEARCH("야경",$J620)),1,0))</f>
        <v>0</v>
      </c>
      <c r="V620" s="10" t="n">
        <f aca="false">IF($H620="숙박",0,1)</f>
        <v>1</v>
      </c>
    </row>
    <row r="621" customFormat="false" ht="15" hidden="false" customHeight="false" outlineLevel="0" collapsed="false">
      <c r="A621" s="8" t="n">
        <v>620</v>
      </c>
      <c r="B621" s="8" t="s">
        <v>45</v>
      </c>
      <c r="C621" s="8" t="s">
        <v>178</v>
      </c>
      <c r="D621" s="8" t="s">
        <v>1980</v>
      </c>
      <c r="E621" s="7" t="s">
        <v>1981</v>
      </c>
      <c r="F621" s="8"/>
      <c r="G621" s="8" t="s">
        <v>184</v>
      </c>
      <c r="H621" s="9" t="s">
        <v>184</v>
      </c>
      <c r="I621" s="9" t="s">
        <v>190</v>
      </c>
      <c r="J621" s="9"/>
      <c r="K621" s="9" t="s">
        <v>52</v>
      </c>
      <c r="L621" s="8"/>
      <c r="M621" s="8"/>
      <c r="N621" s="8" t="s">
        <v>483</v>
      </c>
      <c r="O621" s="8" t="s">
        <v>1982</v>
      </c>
      <c r="P621" s="10" t="n">
        <f aca="false">IF($H621="숙박",0,IF($H621=MID(P$1,3,20),IF($I621="",1,0.6),IF($I621=MID(P$1,3,20),0.4,0)))</f>
        <v>0.4</v>
      </c>
      <c r="Q621" s="10" t="n">
        <f aca="false">IF($H621="숙박",0,IF($H621=MID(Q$1,3,20),IF($I621="",1,0.6),IF($I621=MID(Q$1,3,20),0.4,0)))</f>
        <v>0</v>
      </c>
      <c r="R621" s="10" t="n">
        <f aca="false">IF($H621="숙박",0,IF($H621=MID(R$1,3,20),IF($I621="",1,0.6),IF($I621=MID(R$1,3,20),0.4,0)))</f>
        <v>0.6</v>
      </c>
      <c r="S621" s="10" t="n">
        <f aca="false">IF($H621="숙박",0,IF($H621=MID(S$1,3,20),IF($I621="",1,0.6),IF($I621=MID(S$1,3,20),0.4,0)))</f>
        <v>0</v>
      </c>
      <c r="T621" s="10" t="n">
        <f aca="false">IF($H621="숙박",0,IF($H621=MID(T$1,3,20),IF($I621="",1,0.6),IF($I621=MID(T$1,3,20),0.4,0)))</f>
        <v>0</v>
      </c>
      <c r="U621" s="10" t="n">
        <f aca="false">IF($H621="숙박",0,IF(ISNUMBER(SEARCH("야경",$J621)),1,0))</f>
        <v>0</v>
      </c>
      <c r="V621" s="10" t="n">
        <f aca="false">IF($H621="숙박",0,1)</f>
        <v>1</v>
      </c>
    </row>
    <row r="622" customFormat="false" ht="15" hidden="false" customHeight="false" outlineLevel="0" collapsed="false">
      <c r="A622" s="8" t="n">
        <v>621</v>
      </c>
      <c r="B622" s="8" t="s">
        <v>45</v>
      </c>
      <c r="C622" s="8" t="s">
        <v>342</v>
      </c>
      <c r="D622" s="8" t="s">
        <v>1983</v>
      </c>
      <c r="E622" s="7" t="s">
        <v>1984</v>
      </c>
      <c r="F622" s="8"/>
      <c r="G622" s="8" t="s">
        <v>50</v>
      </c>
      <c r="H622" s="9" t="s">
        <v>50</v>
      </c>
      <c r="I622" s="9"/>
      <c r="J622" s="9" t="s">
        <v>168</v>
      </c>
      <c r="K622" s="9" t="s">
        <v>52</v>
      </c>
      <c r="L622" s="8"/>
      <c r="M622" s="8"/>
      <c r="N622" s="8"/>
      <c r="O622" s="8" t="s">
        <v>1985</v>
      </c>
      <c r="P622" s="10" t="n">
        <f aca="false">IF($H622="숙박",0,IF($H622=MID(P$1,3,20),IF($I622="",1,0.6),IF($I622=MID(P$1,3,20),0.4,0)))</f>
        <v>0</v>
      </c>
      <c r="Q622" s="10" t="n">
        <f aca="false">IF($H622="숙박",0,IF($H622=MID(Q$1,3,20),IF($I622="",1,0.6),IF($I622=MID(Q$1,3,20),0.4,0)))</f>
        <v>0</v>
      </c>
      <c r="R622" s="10" t="n">
        <f aca="false">IF($H622="숙박",0,IF($H622=MID(R$1,3,20),IF($I622="",1,0.6),IF($I622=MID(R$1,3,20),0.4,0)))</f>
        <v>0</v>
      </c>
      <c r="S622" s="10" t="n">
        <f aca="false">IF($H622="숙박",0,IF($H622=MID(S$1,3,20),IF($I622="",1,0.6),IF($I622=MID(S$1,3,20),0.4,0)))</f>
        <v>0</v>
      </c>
      <c r="T622" s="10" t="n">
        <f aca="false">IF($H622="숙박",0,IF($H622=MID(T$1,3,20),IF($I622="",1,0.6),IF($I622=MID(T$1,3,20),0.4,0)))</f>
        <v>1</v>
      </c>
      <c r="U622" s="10" t="n">
        <f aca="false">IF($H622="숙박",0,IF(ISNUMBER(SEARCH("야경",$J622)),1,0))</f>
        <v>0</v>
      </c>
      <c r="V622" s="10" t="n">
        <f aca="false">IF($H622="숙박",0,1)</f>
        <v>1</v>
      </c>
    </row>
    <row r="623" customFormat="false" ht="15" hidden="false" customHeight="false" outlineLevel="0" collapsed="false">
      <c r="A623" s="8" t="n">
        <v>622</v>
      </c>
      <c r="B623" s="8" t="s">
        <v>45</v>
      </c>
      <c r="C623" s="8" t="s">
        <v>1986</v>
      </c>
      <c r="D623" s="8" t="s">
        <v>1987</v>
      </c>
      <c r="E623" s="7" t="s">
        <v>1988</v>
      </c>
      <c r="F623" s="8"/>
      <c r="G623" s="8" t="s">
        <v>49</v>
      </c>
      <c r="H623" s="9" t="s">
        <v>49</v>
      </c>
      <c r="I623" s="9"/>
      <c r="J623" s="9"/>
      <c r="K623" s="9" t="s">
        <v>52</v>
      </c>
      <c r="L623" s="8"/>
      <c r="M623" s="8"/>
      <c r="N623" s="8"/>
      <c r="O623" s="8" t="s">
        <v>1989</v>
      </c>
      <c r="P623" s="10" t="n">
        <f aca="false">IF($H623="숙박",0,IF($H623=MID(P$1,3,20),IF($I623="",1,0.6),IF($I623=MID(P$1,3,20),0.4,0)))</f>
        <v>0</v>
      </c>
      <c r="Q623" s="10" t="n">
        <f aca="false">IF($H623="숙박",0,IF($H623=MID(Q$1,3,20),IF($I623="",1,0.6),IF($I623=MID(Q$1,3,20),0.4,0)))</f>
        <v>1</v>
      </c>
      <c r="R623" s="10" t="n">
        <f aca="false">IF($H623="숙박",0,IF($H623=MID(R$1,3,20),IF($I623="",1,0.6),IF($I623=MID(R$1,3,20),0.4,0)))</f>
        <v>0</v>
      </c>
      <c r="S623" s="10" t="n">
        <f aca="false">IF($H623="숙박",0,IF($H623=MID(S$1,3,20),IF($I623="",1,0.6),IF($I623=MID(S$1,3,20),0.4,0)))</f>
        <v>0</v>
      </c>
      <c r="T623" s="10" t="n">
        <f aca="false">IF($H623="숙박",0,IF($H623=MID(T$1,3,20),IF($I623="",1,0.6),IF($I623=MID(T$1,3,20),0.4,0)))</f>
        <v>0</v>
      </c>
      <c r="U623" s="10" t="n">
        <f aca="false">IF($H623="숙박",0,IF(ISNUMBER(SEARCH("야경",$J623)),1,0))</f>
        <v>0</v>
      </c>
      <c r="V623" s="10" t="n">
        <f aca="false">IF($H623="숙박",0,1)</f>
        <v>1</v>
      </c>
    </row>
    <row r="624" customFormat="false" ht="15" hidden="false" customHeight="false" outlineLevel="0" collapsed="false">
      <c r="A624" s="8" t="n">
        <v>623</v>
      </c>
      <c r="B624" s="8" t="s">
        <v>45</v>
      </c>
      <c r="C624" s="8"/>
      <c r="D624" s="8" t="s">
        <v>1990</v>
      </c>
      <c r="E624" s="7" t="s">
        <v>1991</v>
      </c>
      <c r="F624" s="8"/>
      <c r="G624" s="8"/>
      <c r="H624" s="9" t="s">
        <v>594</v>
      </c>
      <c r="I624" s="9"/>
      <c r="J624" s="9"/>
      <c r="K624" s="9"/>
      <c r="L624" s="8"/>
      <c r="M624" s="8"/>
      <c r="N624" s="8" t="s">
        <v>595</v>
      </c>
      <c r="O624" s="8"/>
      <c r="P624" s="10" t="n">
        <f aca="false">IF($H624="숙박",0,IF($H624=MID(P$1,3,20),IF($I624="",1,0.6),IF($I624=MID(P$1,3,20),0.4,0)))</f>
        <v>0</v>
      </c>
      <c r="Q624" s="10" t="n">
        <f aca="false">IF($H624="숙박",0,IF($H624=MID(Q$1,3,20),IF($I624="",1,0.6),IF($I624=MID(Q$1,3,20),0.4,0)))</f>
        <v>0</v>
      </c>
      <c r="R624" s="10" t="n">
        <f aca="false">IF($H624="숙박",0,IF($H624=MID(R$1,3,20),IF($I624="",1,0.6),IF($I624=MID(R$1,3,20),0.4,0)))</f>
        <v>0</v>
      </c>
      <c r="S624" s="10" t="n">
        <f aca="false">IF($H624="숙박",0,IF($H624=MID(S$1,3,20),IF($I624="",1,0.6),IF($I624=MID(S$1,3,20),0.4,0)))</f>
        <v>0</v>
      </c>
      <c r="T624" s="10" t="n">
        <f aca="false">IF($H624="숙박",0,IF($H624=MID(T$1,3,20),IF($I624="",1,0.6),IF($I624=MID(T$1,3,20),0.4,0)))</f>
        <v>0</v>
      </c>
      <c r="U624" s="10" t="n">
        <f aca="false">IF($H624="숙박",0,IF(ISNUMBER(SEARCH("야경",$J624)),1,0))</f>
        <v>0</v>
      </c>
      <c r="V624" s="10" t="n">
        <f aca="false">IF($H624="숙박",0,1)</f>
        <v>0</v>
      </c>
    </row>
    <row r="625" customFormat="false" ht="15" hidden="false" customHeight="false" outlineLevel="0" collapsed="false">
      <c r="A625" s="8" t="n">
        <v>624</v>
      </c>
      <c r="B625" s="8" t="s">
        <v>45</v>
      </c>
      <c r="C625" s="8"/>
      <c r="D625" s="8" t="s">
        <v>1992</v>
      </c>
      <c r="E625" s="7" t="s">
        <v>1993</v>
      </c>
      <c r="F625" s="8"/>
      <c r="G625" s="8"/>
      <c r="H625" s="9" t="s">
        <v>594</v>
      </c>
      <c r="I625" s="9"/>
      <c r="J625" s="9"/>
      <c r="K625" s="9"/>
      <c r="L625" s="8"/>
      <c r="M625" s="8"/>
      <c r="N625" s="8" t="s">
        <v>595</v>
      </c>
      <c r="O625" s="8"/>
      <c r="P625" s="10" t="n">
        <f aca="false">IF($H625="숙박",0,IF($H625=MID(P$1,3,20),IF($I625="",1,0.6),IF($I625=MID(P$1,3,20),0.4,0)))</f>
        <v>0</v>
      </c>
      <c r="Q625" s="10" t="n">
        <f aca="false">IF($H625="숙박",0,IF($H625=MID(Q$1,3,20),IF($I625="",1,0.6),IF($I625=MID(Q$1,3,20),0.4,0)))</f>
        <v>0</v>
      </c>
      <c r="R625" s="10" t="n">
        <f aca="false">IF($H625="숙박",0,IF($H625=MID(R$1,3,20),IF($I625="",1,0.6),IF($I625=MID(R$1,3,20),0.4,0)))</f>
        <v>0</v>
      </c>
      <c r="S625" s="10" t="n">
        <f aca="false">IF($H625="숙박",0,IF($H625=MID(S$1,3,20),IF($I625="",1,0.6),IF($I625=MID(S$1,3,20),0.4,0)))</f>
        <v>0</v>
      </c>
      <c r="T625" s="10" t="n">
        <f aca="false">IF($H625="숙박",0,IF($H625=MID(T$1,3,20),IF($I625="",1,0.6),IF($I625=MID(T$1,3,20),0.4,0)))</f>
        <v>0</v>
      </c>
      <c r="U625" s="10" t="n">
        <f aca="false">IF($H625="숙박",0,IF(ISNUMBER(SEARCH("야경",$J625)),1,0))</f>
        <v>0</v>
      </c>
      <c r="V625" s="10" t="n">
        <f aca="false">IF($H625="숙박",0,1)</f>
        <v>0</v>
      </c>
    </row>
    <row r="626" customFormat="false" ht="15" hidden="false" customHeight="false" outlineLevel="0" collapsed="false">
      <c r="A626" s="8" t="n">
        <v>625</v>
      </c>
      <c r="B626" s="8" t="s">
        <v>45</v>
      </c>
      <c r="C626" s="8" t="s">
        <v>1911</v>
      </c>
      <c r="D626" s="8" t="s">
        <v>1994</v>
      </c>
      <c r="E626" s="7" t="s">
        <v>1995</v>
      </c>
      <c r="F626" s="8"/>
      <c r="G626" s="8" t="s">
        <v>50</v>
      </c>
      <c r="H626" s="9" t="s">
        <v>50</v>
      </c>
      <c r="I626" s="9" t="s">
        <v>184</v>
      </c>
      <c r="J626" s="9" t="s">
        <v>168</v>
      </c>
      <c r="K626" s="9" t="s">
        <v>52</v>
      </c>
      <c r="L626" s="8"/>
      <c r="M626" s="8"/>
      <c r="N626" s="8" t="s">
        <v>483</v>
      </c>
      <c r="O626" s="8" t="s">
        <v>1996</v>
      </c>
      <c r="P626" s="10" t="n">
        <f aca="false">IF($H626="숙박",0,IF($H626=MID(P$1,3,20),IF($I626="",1,0.6),IF($I626=MID(P$1,3,20),0.4,0)))</f>
        <v>0</v>
      </c>
      <c r="Q626" s="10" t="n">
        <f aca="false">IF($H626="숙박",0,IF($H626=MID(Q$1,3,20),IF($I626="",1,0.6),IF($I626=MID(Q$1,3,20),0.4,0)))</f>
        <v>0</v>
      </c>
      <c r="R626" s="10" t="n">
        <f aca="false">IF($H626="숙박",0,IF($H626=MID(R$1,3,20),IF($I626="",1,0.6),IF($I626=MID(R$1,3,20),0.4,0)))</f>
        <v>0.4</v>
      </c>
      <c r="S626" s="10" t="n">
        <f aca="false">IF($H626="숙박",0,IF($H626=MID(S$1,3,20),IF($I626="",1,0.6),IF($I626=MID(S$1,3,20),0.4,0)))</f>
        <v>0</v>
      </c>
      <c r="T626" s="10" t="n">
        <f aca="false">IF($H626="숙박",0,IF($H626=MID(T$1,3,20),IF($I626="",1,0.6),IF($I626=MID(T$1,3,20),0.4,0)))</f>
        <v>0.6</v>
      </c>
      <c r="U626" s="10" t="n">
        <f aca="false">IF($H626="숙박",0,IF(ISNUMBER(SEARCH("야경",$J626)),1,0))</f>
        <v>0</v>
      </c>
      <c r="V626" s="10" t="n">
        <f aca="false">IF($H626="숙박",0,1)</f>
        <v>1</v>
      </c>
    </row>
    <row r="627" customFormat="false" ht="15" hidden="false" customHeight="false" outlineLevel="0" collapsed="false">
      <c r="A627" s="8" t="n">
        <v>626</v>
      </c>
      <c r="B627" s="8" t="s">
        <v>45</v>
      </c>
      <c r="C627" s="8" t="s">
        <v>401</v>
      </c>
      <c r="D627" s="8" t="s">
        <v>1997</v>
      </c>
      <c r="E627" s="7" t="s">
        <v>1998</v>
      </c>
      <c r="F627" s="8"/>
      <c r="G627" s="8" t="s">
        <v>50</v>
      </c>
      <c r="H627" s="9" t="s">
        <v>50</v>
      </c>
      <c r="I627" s="9" t="s">
        <v>190</v>
      </c>
      <c r="J627" s="9" t="s">
        <v>168</v>
      </c>
      <c r="K627" s="9" t="s">
        <v>52</v>
      </c>
      <c r="L627" s="8"/>
      <c r="M627" s="8"/>
      <c r="N627" s="8" t="s">
        <v>483</v>
      </c>
      <c r="O627" s="8" t="s">
        <v>1999</v>
      </c>
      <c r="P627" s="10" t="n">
        <f aca="false">IF($H627="숙박",0,IF($H627=MID(P$1,3,20),IF($I627="",1,0.6),IF($I627=MID(P$1,3,20),0.4,0)))</f>
        <v>0.4</v>
      </c>
      <c r="Q627" s="10" t="n">
        <f aca="false">IF($H627="숙박",0,IF($H627=MID(Q$1,3,20),IF($I627="",1,0.6),IF($I627=MID(Q$1,3,20),0.4,0)))</f>
        <v>0</v>
      </c>
      <c r="R627" s="10" t="n">
        <f aca="false">IF($H627="숙박",0,IF($H627=MID(R$1,3,20),IF($I627="",1,0.6),IF($I627=MID(R$1,3,20),0.4,0)))</f>
        <v>0</v>
      </c>
      <c r="S627" s="10" t="n">
        <f aca="false">IF($H627="숙박",0,IF($H627=MID(S$1,3,20),IF($I627="",1,0.6),IF($I627=MID(S$1,3,20),0.4,0)))</f>
        <v>0</v>
      </c>
      <c r="T627" s="10" t="n">
        <f aca="false">IF($H627="숙박",0,IF($H627=MID(T$1,3,20),IF($I627="",1,0.6),IF($I627=MID(T$1,3,20),0.4,0)))</f>
        <v>0.6</v>
      </c>
      <c r="U627" s="10" t="n">
        <f aca="false">IF($H627="숙박",0,IF(ISNUMBER(SEARCH("야경",$J627)),1,0))</f>
        <v>0</v>
      </c>
      <c r="V627" s="10" t="n">
        <f aca="false">IF($H627="숙박",0,1)</f>
        <v>1</v>
      </c>
    </row>
    <row r="628" customFormat="false" ht="15" hidden="false" customHeight="false" outlineLevel="0" collapsed="false">
      <c r="A628" s="8" t="n">
        <v>627</v>
      </c>
      <c r="B628" s="8" t="s">
        <v>45</v>
      </c>
      <c r="C628" s="8" t="s">
        <v>788</v>
      </c>
      <c r="D628" s="8" t="s">
        <v>2000</v>
      </c>
      <c r="E628" s="7" t="s">
        <v>2001</v>
      </c>
      <c r="F628" s="8"/>
      <c r="G628" s="8" t="s">
        <v>184</v>
      </c>
      <c r="H628" s="9" t="s">
        <v>184</v>
      </c>
      <c r="I628" s="9"/>
      <c r="J628" s="9"/>
      <c r="K628" s="9" t="s">
        <v>52</v>
      </c>
      <c r="L628" s="8"/>
      <c r="M628" s="8"/>
      <c r="N628" s="8"/>
      <c r="O628" s="8" t="s">
        <v>2002</v>
      </c>
      <c r="P628" s="10" t="n">
        <f aca="false">IF($H628="숙박",0,IF($H628=MID(P$1,3,20),IF($I628="",1,0.6),IF($I628=MID(P$1,3,20),0.4,0)))</f>
        <v>0</v>
      </c>
      <c r="Q628" s="10" t="n">
        <f aca="false">IF($H628="숙박",0,IF($H628=MID(Q$1,3,20),IF($I628="",1,0.6),IF($I628=MID(Q$1,3,20),0.4,0)))</f>
        <v>0</v>
      </c>
      <c r="R628" s="10" t="n">
        <f aca="false">IF($H628="숙박",0,IF($H628=MID(R$1,3,20),IF($I628="",1,0.6),IF($I628=MID(R$1,3,20),0.4,0)))</f>
        <v>1</v>
      </c>
      <c r="S628" s="10" t="n">
        <f aca="false">IF($H628="숙박",0,IF($H628=MID(S$1,3,20),IF($I628="",1,0.6),IF($I628=MID(S$1,3,20),0.4,0)))</f>
        <v>0</v>
      </c>
      <c r="T628" s="10" t="n">
        <f aca="false">IF($H628="숙박",0,IF($H628=MID(T$1,3,20),IF($I628="",1,0.6),IF($I628=MID(T$1,3,20),0.4,0)))</f>
        <v>0</v>
      </c>
      <c r="U628" s="10" t="n">
        <f aca="false">IF($H628="숙박",0,IF(ISNUMBER(SEARCH("야경",$J628)),1,0))</f>
        <v>0</v>
      </c>
      <c r="V628" s="10" t="n">
        <f aca="false">IF($H628="숙박",0,1)</f>
        <v>1</v>
      </c>
    </row>
    <row r="629" customFormat="false" ht="15" hidden="false" customHeight="false" outlineLevel="0" collapsed="false">
      <c r="A629" s="8" t="n">
        <v>628</v>
      </c>
      <c r="B629" s="8" t="s">
        <v>45</v>
      </c>
      <c r="C629" s="8" t="s">
        <v>1508</v>
      </c>
      <c r="D629" s="8" t="s">
        <v>2003</v>
      </c>
      <c r="E629" s="7" t="s">
        <v>2004</v>
      </c>
      <c r="F629" s="8"/>
      <c r="G629" s="8" t="s">
        <v>49</v>
      </c>
      <c r="H629" s="9" t="s">
        <v>49</v>
      </c>
      <c r="I629" s="9"/>
      <c r="J629" s="9"/>
      <c r="K629" s="9" t="s">
        <v>52</v>
      </c>
      <c r="L629" s="8"/>
      <c r="M629" s="8"/>
      <c r="N629" s="8"/>
      <c r="O629" s="8" t="s">
        <v>2005</v>
      </c>
      <c r="P629" s="10" t="n">
        <f aca="false">IF($H629="숙박",0,IF($H629=MID(P$1,3,20),IF($I629="",1,0.6),IF($I629=MID(P$1,3,20),0.4,0)))</f>
        <v>0</v>
      </c>
      <c r="Q629" s="10" t="n">
        <f aca="false">IF($H629="숙박",0,IF($H629=MID(Q$1,3,20),IF($I629="",1,0.6),IF($I629=MID(Q$1,3,20),0.4,0)))</f>
        <v>1</v>
      </c>
      <c r="R629" s="10" t="n">
        <f aca="false">IF($H629="숙박",0,IF($H629=MID(R$1,3,20),IF($I629="",1,0.6),IF($I629=MID(R$1,3,20),0.4,0)))</f>
        <v>0</v>
      </c>
      <c r="S629" s="10" t="n">
        <f aca="false">IF($H629="숙박",0,IF($H629=MID(S$1,3,20),IF($I629="",1,0.6),IF($I629=MID(S$1,3,20),0.4,0)))</f>
        <v>0</v>
      </c>
      <c r="T629" s="10" t="n">
        <f aca="false">IF($H629="숙박",0,IF($H629=MID(T$1,3,20),IF($I629="",1,0.6),IF($I629=MID(T$1,3,20),0.4,0)))</f>
        <v>0</v>
      </c>
      <c r="U629" s="10" t="n">
        <f aca="false">IF($H629="숙박",0,IF(ISNUMBER(SEARCH("야경",$J629)),1,0))</f>
        <v>0</v>
      </c>
      <c r="V629" s="10" t="n">
        <f aca="false">IF($H629="숙박",0,1)</f>
        <v>1</v>
      </c>
    </row>
    <row r="630" customFormat="false" ht="15" hidden="false" customHeight="false" outlineLevel="0" collapsed="false">
      <c r="A630" s="8" t="n">
        <v>629</v>
      </c>
      <c r="B630" s="8" t="s">
        <v>45</v>
      </c>
      <c r="C630" s="8" t="s">
        <v>1467</v>
      </c>
      <c r="D630" s="8" t="s">
        <v>2006</v>
      </c>
      <c r="E630" s="7" t="s">
        <v>2007</v>
      </c>
      <c r="F630" s="8"/>
      <c r="G630" s="8" t="s">
        <v>190</v>
      </c>
      <c r="H630" s="9" t="s">
        <v>190</v>
      </c>
      <c r="I630" s="9" t="s">
        <v>49</v>
      </c>
      <c r="J630" s="9"/>
      <c r="K630" s="9" t="s">
        <v>191</v>
      </c>
      <c r="L630" s="8"/>
      <c r="M630" s="8"/>
      <c r="N630" s="8" t="s">
        <v>483</v>
      </c>
      <c r="O630" s="8" t="s">
        <v>2008</v>
      </c>
      <c r="P630" s="10" t="n">
        <f aca="false">IF($H630="숙박",0,IF($H630=MID(P$1,3,20),IF($I630="",1,0.6),IF($I630=MID(P$1,3,20),0.4,0)))</f>
        <v>0.6</v>
      </c>
      <c r="Q630" s="10" t="n">
        <f aca="false">IF($H630="숙박",0,IF($H630=MID(Q$1,3,20),IF($I630="",1,0.6),IF($I630=MID(Q$1,3,20),0.4,0)))</f>
        <v>0.4</v>
      </c>
      <c r="R630" s="10" t="n">
        <f aca="false">IF($H630="숙박",0,IF($H630=MID(R$1,3,20),IF($I630="",1,0.6),IF($I630=MID(R$1,3,20),0.4,0)))</f>
        <v>0</v>
      </c>
      <c r="S630" s="10" t="n">
        <f aca="false">IF($H630="숙박",0,IF($H630=MID(S$1,3,20),IF($I630="",1,0.6),IF($I630=MID(S$1,3,20),0.4,0)))</f>
        <v>0</v>
      </c>
      <c r="T630" s="10" t="n">
        <f aca="false">IF($H630="숙박",0,IF($H630=MID(T$1,3,20),IF($I630="",1,0.6),IF($I630=MID(T$1,3,20),0.4,0)))</f>
        <v>0</v>
      </c>
      <c r="U630" s="10" t="n">
        <f aca="false">IF($H630="숙박",0,IF(ISNUMBER(SEARCH("야경",$J630)),1,0))</f>
        <v>0</v>
      </c>
      <c r="V630" s="10" t="n">
        <f aca="false">IF($H630="숙박",0,1)</f>
        <v>1</v>
      </c>
    </row>
    <row r="631" customFormat="false" ht="15" hidden="false" customHeight="false" outlineLevel="0" collapsed="false">
      <c r="A631" s="8" t="n">
        <v>630</v>
      </c>
      <c r="B631" s="8" t="s">
        <v>45</v>
      </c>
      <c r="C631" s="8" t="s">
        <v>1467</v>
      </c>
      <c r="D631" s="8" t="s">
        <v>2009</v>
      </c>
      <c r="E631" s="7" t="s">
        <v>2010</v>
      </c>
      <c r="F631" s="8"/>
      <c r="G631" s="8" t="s">
        <v>49</v>
      </c>
      <c r="H631" s="9" t="s">
        <v>49</v>
      </c>
      <c r="I631" s="9"/>
      <c r="J631" s="9"/>
      <c r="K631" s="9" t="s">
        <v>52</v>
      </c>
      <c r="L631" s="8"/>
      <c r="M631" s="8"/>
      <c r="N631" s="8"/>
      <c r="O631" s="8" t="s">
        <v>2011</v>
      </c>
      <c r="P631" s="10" t="n">
        <f aca="false">IF($H631="숙박",0,IF($H631=MID(P$1,3,20),IF($I631="",1,0.6),IF($I631=MID(P$1,3,20),0.4,0)))</f>
        <v>0</v>
      </c>
      <c r="Q631" s="10" t="n">
        <f aca="false">IF($H631="숙박",0,IF($H631=MID(Q$1,3,20),IF($I631="",1,0.6),IF($I631=MID(Q$1,3,20),0.4,0)))</f>
        <v>1</v>
      </c>
      <c r="R631" s="10" t="n">
        <f aca="false">IF($H631="숙박",0,IF($H631=MID(R$1,3,20),IF($I631="",1,0.6),IF($I631=MID(R$1,3,20),0.4,0)))</f>
        <v>0</v>
      </c>
      <c r="S631" s="10" t="n">
        <f aca="false">IF($H631="숙박",0,IF($H631=MID(S$1,3,20),IF($I631="",1,0.6),IF($I631=MID(S$1,3,20),0.4,0)))</f>
        <v>0</v>
      </c>
      <c r="T631" s="10" t="n">
        <f aca="false">IF($H631="숙박",0,IF($H631=MID(T$1,3,20),IF($I631="",1,0.6),IF($I631=MID(T$1,3,20),0.4,0)))</f>
        <v>0</v>
      </c>
      <c r="U631" s="10" t="n">
        <f aca="false">IF($H631="숙박",0,IF(ISNUMBER(SEARCH("야경",$J631)),1,0))</f>
        <v>0</v>
      </c>
      <c r="V631" s="10" t="n">
        <f aca="false">IF($H631="숙박",0,1)</f>
        <v>1</v>
      </c>
    </row>
    <row r="632" customFormat="false" ht="15" hidden="false" customHeight="false" outlineLevel="0" collapsed="false">
      <c r="A632" s="8" t="n">
        <v>631</v>
      </c>
      <c r="B632" s="8" t="s">
        <v>45</v>
      </c>
      <c r="C632" s="8" t="s">
        <v>342</v>
      </c>
      <c r="D632" s="8" t="s">
        <v>2012</v>
      </c>
      <c r="E632" s="7" t="s">
        <v>2013</v>
      </c>
      <c r="F632" s="8"/>
      <c r="G632" s="8" t="s">
        <v>49</v>
      </c>
      <c r="H632" s="9" t="s">
        <v>49</v>
      </c>
      <c r="I632" s="9" t="s">
        <v>190</v>
      </c>
      <c r="J632" s="9"/>
      <c r="K632" s="9" t="s">
        <v>52</v>
      </c>
      <c r="L632" s="8"/>
      <c r="M632" s="8"/>
      <c r="N632" s="8" t="s">
        <v>483</v>
      </c>
      <c r="O632" s="8" t="s">
        <v>2014</v>
      </c>
      <c r="P632" s="10" t="n">
        <f aca="false">IF($H632="숙박",0,IF($H632=MID(P$1,3,20),IF($I632="",1,0.6),IF($I632=MID(P$1,3,20),0.4,0)))</f>
        <v>0.4</v>
      </c>
      <c r="Q632" s="10" t="n">
        <f aca="false">IF($H632="숙박",0,IF($H632=MID(Q$1,3,20),IF($I632="",1,0.6),IF($I632=MID(Q$1,3,20),0.4,0)))</f>
        <v>0.6</v>
      </c>
      <c r="R632" s="10" t="n">
        <f aca="false">IF($H632="숙박",0,IF($H632=MID(R$1,3,20),IF($I632="",1,0.6),IF($I632=MID(R$1,3,20),0.4,0)))</f>
        <v>0</v>
      </c>
      <c r="S632" s="10" t="n">
        <f aca="false">IF($H632="숙박",0,IF($H632=MID(S$1,3,20),IF($I632="",1,0.6),IF($I632=MID(S$1,3,20),0.4,0)))</f>
        <v>0</v>
      </c>
      <c r="T632" s="10" t="n">
        <f aca="false">IF($H632="숙박",0,IF($H632=MID(T$1,3,20),IF($I632="",1,0.6),IF($I632=MID(T$1,3,20),0.4,0)))</f>
        <v>0</v>
      </c>
      <c r="U632" s="10" t="n">
        <f aca="false">IF($H632="숙박",0,IF(ISNUMBER(SEARCH("야경",$J632)),1,0))</f>
        <v>0</v>
      </c>
      <c r="V632" s="10" t="n">
        <f aca="false">IF($H632="숙박",0,1)</f>
        <v>1</v>
      </c>
    </row>
    <row r="633" customFormat="false" ht="15" hidden="false" customHeight="false" outlineLevel="0" collapsed="false">
      <c r="A633" s="8" t="n">
        <v>632</v>
      </c>
      <c r="B633" s="8" t="s">
        <v>45</v>
      </c>
      <c r="C633" s="8" t="s">
        <v>342</v>
      </c>
      <c r="D633" s="8" t="s">
        <v>2015</v>
      </c>
      <c r="E633" s="7" t="s">
        <v>2016</v>
      </c>
      <c r="F633" s="8"/>
      <c r="G633" s="8" t="s">
        <v>184</v>
      </c>
      <c r="H633" s="9" t="s">
        <v>184</v>
      </c>
      <c r="I633" s="9"/>
      <c r="J633" s="9" t="s">
        <v>479</v>
      </c>
      <c r="K633" s="9" t="s">
        <v>191</v>
      </c>
      <c r="L633" s="8"/>
      <c r="M633" s="8"/>
      <c r="N633" s="8"/>
      <c r="O633" s="8" t="s">
        <v>2017</v>
      </c>
      <c r="P633" s="10" t="n">
        <f aca="false">IF($H633="숙박",0,IF($H633=MID(P$1,3,20),IF($I633="",1,0.6),IF($I633=MID(P$1,3,20),0.4,0)))</f>
        <v>0</v>
      </c>
      <c r="Q633" s="10" t="n">
        <f aca="false">IF($H633="숙박",0,IF($H633=MID(Q$1,3,20),IF($I633="",1,0.6),IF($I633=MID(Q$1,3,20),0.4,0)))</f>
        <v>0</v>
      </c>
      <c r="R633" s="10" t="n">
        <f aca="false">IF($H633="숙박",0,IF($H633=MID(R$1,3,20),IF($I633="",1,0.6),IF($I633=MID(R$1,3,20),0.4,0)))</f>
        <v>1</v>
      </c>
      <c r="S633" s="10" t="n">
        <f aca="false">IF($H633="숙박",0,IF($H633=MID(S$1,3,20),IF($I633="",1,0.6),IF($I633=MID(S$1,3,20),0.4,0)))</f>
        <v>0</v>
      </c>
      <c r="T633" s="10" t="n">
        <f aca="false">IF($H633="숙박",0,IF($H633=MID(T$1,3,20),IF($I633="",1,0.6),IF($I633=MID(T$1,3,20),0.4,0)))</f>
        <v>0</v>
      </c>
      <c r="U633" s="10" t="n">
        <f aca="false">IF($H633="숙박",0,IF(ISNUMBER(SEARCH("야경",$J633)),1,0))</f>
        <v>0</v>
      </c>
      <c r="V633" s="10" t="n">
        <f aca="false">IF($H633="숙박",0,1)</f>
        <v>1</v>
      </c>
    </row>
    <row r="634" customFormat="false" ht="15" hidden="false" customHeight="false" outlineLevel="0" collapsed="false">
      <c r="A634" s="8" t="n">
        <v>633</v>
      </c>
      <c r="B634" s="8" t="s">
        <v>45</v>
      </c>
      <c r="C634" s="8" t="s">
        <v>1367</v>
      </c>
      <c r="D634" s="8" t="s">
        <v>2018</v>
      </c>
      <c r="E634" s="7" t="s">
        <v>2019</v>
      </c>
      <c r="F634" s="8"/>
      <c r="G634" s="8" t="s">
        <v>49</v>
      </c>
      <c r="H634" s="9" t="s">
        <v>49</v>
      </c>
      <c r="I634" s="9"/>
      <c r="J634" s="9"/>
      <c r="K634" s="9" t="s">
        <v>52</v>
      </c>
      <c r="L634" s="8"/>
      <c r="M634" s="8"/>
      <c r="N634" s="8"/>
      <c r="O634" s="8" t="s">
        <v>2020</v>
      </c>
      <c r="P634" s="10" t="n">
        <f aca="false">IF($H634="숙박",0,IF($H634=MID(P$1,3,20),IF($I634="",1,0.6),IF($I634=MID(P$1,3,20),0.4,0)))</f>
        <v>0</v>
      </c>
      <c r="Q634" s="10" t="n">
        <f aca="false">IF($H634="숙박",0,IF($H634=MID(Q$1,3,20),IF($I634="",1,0.6),IF($I634=MID(Q$1,3,20),0.4,0)))</f>
        <v>1</v>
      </c>
      <c r="R634" s="10" t="n">
        <f aca="false">IF($H634="숙박",0,IF($H634=MID(R$1,3,20),IF($I634="",1,0.6),IF($I634=MID(R$1,3,20),0.4,0)))</f>
        <v>0</v>
      </c>
      <c r="S634" s="10" t="n">
        <f aca="false">IF($H634="숙박",0,IF($H634=MID(S$1,3,20),IF($I634="",1,0.6),IF($I634=MID(S$1,3,20),0.4,0)))</f>
        <v>0</v>
      </c>
      <c r="T634" s="10" t="n">
        <f aca="false">IF($H634="숙박",0,IF($H634=MID(T$1,3,20),IF($I634="",1,0.6),IF($I634=MID(T$1,3,20),0.4,0)))</f>
        <v>0</v>
      </c>
      <c r="U634" s="10" t="n">
        <f aca="false">IF($H634="숙박",0,IF(ISNUMBER(SEARCH("야경",$J634)),1,0))</f>
        <v>0</v>
      </c>
      <c r="V634" s="10" t="n">
        <f aca="false">IF($H634="숙박",0,1)</f>
        <v>1</v>
      </c>
    </row>
    <row r="635" customFormat="false" ht="15" hidden="false" customHeight="false" outlineLevel="0" collapsed="false">
      <c r="A635" s="8" t="n">
        <v>634</v>
      </c>
      <c r="B635" s="8" t="s">
        <v>45</v>
      </c>
      <c r="C635" s="8"/>
      <c r="D635" s="8" t="s">
        <v>2021</v>
      </c>
      <c r="E635" s="7" t="s">
        <v>2022</v>
      </c>
      <c r="F635" s="8"/>
      <c r="G635" s="8"/>
      <c r="H635" s="9" t="s">
        <v>594</v>
      </c>
      <c r="I635" s="9"/>
      <c r="J635" s="9"/>
      <c r="K635" s="9"/>
      <c r="L635" s="8"/>
      <c r="M635" s="8"/>
      <c r="N635" s="8" t="s">
        <v>595</v>
      </c>
      <c r="O635" s="8"/>
      <c r="P635" s="10" t="n">
        <f aca="false">IF($H635="숙박",0,IF($H635=MID(P$1,3,20),IF($I635="",1,0.6),IF($I635=MID(P$1,3,20),0.4,0)))</f>
        <v>0</v>
      </c>
      <c r="Q635" s="10" t="n">
        <f aca="false">IF($H635="숙박",0,IF($H635=MID(Q$1,3,20),IF($I635="",1,0.6),IF($I635=MID(Q$1,3,20),0.4,0)))</f>
        <v>0</v>
      </c>
      <c r="R635" s="10" t="n">
        <f aca="false">IF($H635="숙박",0,IF($H635=MID(R$1,3,20),IF($I635="",1,0.6),IF($I635=MID(R$1,3,20),0.4,0)))</f>
        <v>0</v>
      </c>
      <c r="S635" s="10" t="n">
        <f aca="false">IF($H635="숙박",0,IF($H635=MID(S$1,3,20),IF($I635="",1,0.6),IF($I635=MID(S$1,3,20),0.4,0)))</f>
        <v>0</v>
      </c>
      <c r="T635" s="10" t="n">
        <f aca="false">IF($H635="숙박",0,IF($H635=MID(T$1,3,20),IF($I635="",1,0.6),IF($I635=MID(T$1,3,20),0.4,0)))</f>
        <v>0</v>
      </c>
      <c r="U635" s="10" t="n">
        <f aca="false">IF($H635="숙박",0,IF(ISNUMBER(SEARCH("야경",$J635)),1,0))</f>
        <v>0</v>
      </c>
      <c r="V635" s="10" t="n">
        <f aca="false">IF($H635="숙박",0,1)</f>
        <v>0</v>
      </c>
    </row>
    <row r="636" customFormat="false" ht="15" hidden="false" customHeight="false" outlineLevel="0" collapsed="false">
      <c r="A636" s="8" t="n">
        <v>635</v>
      </c>
      <c r="B636" s="8" t="s">
        <v>45</v>
      </c>
      <c r="C636" s="8" t="s">
        <v>174</v>
      </c>
      <c r="D636" s="8" t="s">
        <v>2023</v>
      </c>
      <c r="E636" s="7" t="s">
        <v>2024</v>
      </c>
      <c r="F636" s="8"/>
      <c r="G636" s="8" t="s">
        <v>50</v>
      </c>
      <c r="H636" s="9" t="s">
        <v>50</v>
      </c>
      <c r="I636" s="9"/>
      <c r="J636" s="9" t="s">
        <v>168</v>
      </c>
      <c r="K636" s="9" t="s">
        <v>52</v>
      </c>
      <c r="L636" s="8"/>
      <c r="M636" s="8"/>
      <c r="N636" s="8"/>
      <c r="O636" s="8" t="s">
        <v>2025</v>
      </c>
      <c r="P636" s="10" t="n">
        <f aca="false">IF($H636="숙박",0,IF($H636=MID(P$1,3,20),IF($I636="",1,0.6),IF($I636=MID(P$1,3,20),0.4,0)))</f>
        <v>0</v>
      </c>
      <c r="Q636" s="10" t="n">
        <f aca="false">IF($H636="숙박",0,IF($H636=MID(Q$1,3,20),IF($I636="",1,0.6),IF($I636=MID(Q$1,3,20),0.4,0)))</f>
        <v>0</v>
      </c>
      <c r="R636" s="10" t="n">
        <f aca="false">IF($H636="숙박",0,IF($H636=MID(R$1,3,20),IF($I636="",1,0.6),IF($I636=MID(R$1,3,20),0.4,0)))</f>
        <v>0</v>
      </c>
      <c r="S636" s="10" t="n">
        <f aca="false">IF($H636="숙박",0,IF($H636=MID(S$1,3,20),IF($I636="",1,0.6),IF($I636=MID(S$1,3,20),0.4,0)))</f>
        <v>0</v>
      </c>
      <c r="T636" s="10" t="n">
        <f aca="false">IF($H636="숙박",0,IF($H636=MID(T$1,3,20),IF($I636="",1,0.6),IF($I636=MID(T$1,3,20),0.4,0)))</f>
        <v>1</v>
      </c>
      <c r="U636" s="10" t="n">
        <f aca="false">IF($H636="숙박",0,IF(ISNUMBER(SEARCH("야경",$J636)),1,0))</f>
        <v>0</v>
      </c>
      <c r="V636" s="10" t="n">
        <f aca="false">IF($H636="숙박",0,1)</f>
        <v>1</v>
      </c>
    </row>
    <row r="637" customFormat="false" ht="15" hidden="false" customHeight="false" outlineLevel="0" collapsed="false">
      <c r="A637" s="8" t="n">
        <v>636</v>
      </c>
      <c r="B637" s="8" t="s">
        <v>45</v>
      </c>
      <c r="C637" s="8" t="s">
        <v>317</v>
      </c>
      <c r="D637" s="8" t="s">
        <v>2026</v>
      </c>
      <c r="E637" s="7" t="s">
        <v>2027</v>
      </c>
      <c r="F637" s="8"/>
      <c r="G637" s="8" t="s">
        <v>50</v>
      </c>
      <c r="H637" s="9" t="s">
        <v>50</v>
      </c>
      <c r="I637" s="9"/>
      <c r="J637" s="9" t="s">
        <v>168</v>
      </c>
      <c r="K637" s="9" t="s">
        <v>52</v>
      </c>
      <c r="L637" s="8"/>
      <c r="M637" s="8"/>
      <c r="N637" s="8"/>
      <c r="O637" s="8" t="s">
        <v>2028</v>
      </c>
      <c r="P637" s="10" t="n">
        <f aca="false">IF($H637="숙박",0,IF($H637=MID(P$1,3,20),IF($I637="",1,0.6),IF($I637=MID(P$1,3,20),0.4,0)))</f>
        <v>0</v>
      </c>
      <c r="Q637" s="10" t="n">
        <f aca="false">IF($H637="숙박",0,IF($H637=MID(Q$1,3,20),IF($I637="",1,0.6),IF($I637=MID(Q$1,3,20),0.4,0)))</f>
        <v>0</v>
      </c>
      <c r="R637" s="10" t="n">
        <f aca="false">IF($H637="숙박",0,IF($H637=MID(R$1,3,20),IF($I637="",1,0.6),IF($I637=MID(R$1,3,20),0.4,0)))</f>
        <v>0</v>
      </c>
      <c r="S637" s="10" t="n">
        <f aca="false">IF($H637="숙박",0,IF($H637=MID(S$1,3,20),IF($I637="",1,0.6),IF($I637=MID(S$1,3,20),0.4,0)))</f>
        <v>0</v>
      </c>
      <c r="T637" s="10" t="n">
        <f aca="false">IF($H637="숙박",0,IF($H637=MID(T$1,3,20),IF($I637="",1,0.6),IF($I637=MID(T$1,3,20),0.4,0)))</f>
        <v>1</v>
      </c>
      <c r="U637" s="10" t="n">
        <f aca="false">IF($H637="숙박",0,IF(ISNUMBER(SEARCH("야경",$J637)),1,0))</f>
        <v>0</v>
      </c>
      <c r="V637" s="10" t="n">
        <f aca="false">IF($H637="숙박",0,1)</f>
        <v>1</v>
      </c>
    </row>
    <row r="638" customFormat="false" ht="15" hidden="false" customHeight="false" outlineLevel="0" collapsed="false">
      <c r="A638" s="8" t="n">
        <v>637</v>
      </c>
      <c r="B638" s="8" t="s">
        <v>45</v>
      </c>
      <c r="C638" s="8"/>
      <c r="D638" s="8" t="s">
        <v>2029</v>
      </c>
      <c r="E638" s="7" t="s">
        <v>2030</v>
      </c>
      <c r="F638" s="8"/>
      <c r="G638" s="8" t="s">
        <v>190</v>
      </c>
      <c r="H638" s="9" t="s">
        <v>190</v>
      </c>
      <c r="I638" s="9"/>
      <c r="J638" s="9"/>
      <c r="K638" s="9" t="s">
        <v>191</v>
      </c>
      <c r="L638" s="8"/>
      <c r="M638" s="8"/>
      <c r="N638" s="8"/>
      <c r="O638" s="8" t="s">
        <v>2031</v>
      </c>
      <c r="P638" s="10" t="n">
        <f aca="false">IF($H638="숙박",0,IF($H638=MID(P$1,3,20),IF($I638="",1,0.6),IF($I638=MID(P$1,3,20),0.4,0)))</f>
        <v>1</v>
      </c>
      <c r="Q638" s="10" t="n">
        <f aca="false">IF($H638="숙박",0,IF($H638=MID(Q$1,3,20),IF($I638="",1,0.6),IF($I638=MID(Q$1,3,20),0.4,0)))</f>
        <v>0</v>
      </c>
      <c r="R638" s="10" t="n">
        <f aca="false">IF($H638="숙박",0,IF($H638=MID(R$1,3,20),IF($I638="",1,0.6),IF($I638=MID(R$1,3,20),0.4,0)))</f>
        <v>0</v>
      </c>
      <c r="S638" s="10" t="n">
        <f aca="false">IF($H638="숙박",0,IF($H638=MID(S$1,3,20),IF($I638="",1,0.6),IF($I638=MID(S$1,3,20),0.4,0)))</f>
        <v>0</v>
      </c>
      <c r="T638" s="10" t="n">
        <f aca="false">IF($H638="숙박",0,IF($H638=MID(T$1,3,20),IF($I638="",1,0.6),IF($I638=MID(T$1,3,20),0.4,0)))</f>
        <v>0</v>
      </c>
      <c r="U638" s="10" t="n">
        <f aca="false">IF($H638="숙박",0,IF(ISNUMBER(SEARCH("야경",$J638)),1,0))</f>
        <v>0</v>
      </c>
      <c r="V638" s="10" t="n">
        <f aca="false">IF($H638="숙박",0,1)</f>
        <v>1</v>
      </c>
    </row>
    <row r="639" customFormat="false" ht="15" hidden="false" customHeight="false" outlineLevel="0" collapsed="false">
      <c r="A639" s="8" t="n">
        <v>638</v>
      </c>
      <c r="B639" s="8" t="s">
        <v>45</v>
      </c>
      <c r="C639" s="8" t="s">
        <v>1504</v>
      </c>
      <c r="D639" s="8" t="s">
        <v>2032</v>
      </c>
      <c r="E639" s="7" t="s">
        <v>2033</v>
      </c>
      <c r="F639" s="8"/>
      <c r="G639" s="8" t="s">
        <v>184</v>
      </c>
      <c r="H639" s="9" t="s">
        <v>184</v>
      </c>
      <c r="I639" s="9"/>
      <c r="J639" s="9"/>
      <c r="K639" s="9" t="s">
        <v>191</v>
      </c>
      <c r="L639" s="8"/>
      <c r="M639" s="8"/>
      <c r="N639" s="8"/>
      <c r="O639" s="8" t="s">
        <v>2034</v>
      </c>
      <c r="P639" s="10" t="n">
        <f aca="false">IF($H639="숙박",0,IF($H639=MID(P$1,3,20),IF($I639="",1,0.6),IF($I639=MID(P$1,3,20),0.4,0)))</f>
        <v>0</v>
      </c>
      <c r="Q639" s="10" t="n">
        <f aca="false">IF($H639="숙박",0,IF($H639=MID(Q$1,3,20),IF($I639="",1,0.6),IF($I639=MID(Q$1,3,20),0.4,0)))</f>
        <v>0</v>
      </c>
      <c r="R639" s="10" t="n">
        <f aca="false">IF($H639="숙박",0,IF($H639=MID(R$1,3,20),IF($I639="",1,0.6),IF($I639=MID(R$1,3,20),0.4,0)))</f>
        <v>1</v>
      </c>
      <c r="S639" s="10" t="n">
        <f aca="false">IF($H639="숙박",0,IF($H639=MID(S$1,3,20),IF($I639="",1,0.6),IF($I639=MID(S$1,3,20),0.4,0)))</f>
        <v>0</v>
      </c>
      <c r="T639" s="10" t="n">
        <f aca="false">IF($H639="숙박",0,IF($H639=MID(T$1,3,20),IF($I639="",1,0.6),IF($I639=MID(T$1,3,20),0.4,0)))</f>
        <v>0</v>
      </c>
      <c r="U639" s="10" t="n">
        <f aca="false">IF($H639="숙박",0,IF(ISNUMBER(SEARCH("야경",$J639)),1,0))</f>
        <v>0</v>
      </c>
      <c r="V639" s="10" t="n">
        <f aca="false">IF($H639="숙박",0,1)</f>
        <v>1</v>
      </c>
    </row>
    <row r="640" customFormat="false" ht="15" hidden="false" customHeight="false" outlineLevel="0" collapsed="false">
      <c r="A640" s="8" t="n">
        <v>639</v>
      </c>
      <c r="B640" s="8" t="s">
        <v>45</v>
      </c>
      <c r="C640" s="8" t="s">
        <v>1750</v>
      </c>
      <c r="D640" s="8" t="s">
        <v>2035</v>
      </c>
      <c r="E640" s="7" t="s">
        <v>2036</v>
      </c>
      <c r="F640" s="8"/>
      <c r="G640" s="8" t="s">
        <v>190</v>
      </c>
      <c r="H640" s="9" t="s">
        <v>190</v>
      </c>
      <c r="I640" s="9"/>
      <c r="J640" s="9"/>
      <c r="K640" s="9" t="s">
        <v>191</v>
      </c>
      <c r="L640" s="8"/>
      <c r="M640" s="8"/>
      <c r="N640" s="8"/>
      <c r="O640" s="8" t="s">
        <v>2037</v>
      </c>
      <c r="P640" s="10" t="n">
        <f aca="false">IF($H640="숙박",0,IF($H640=MID(P$1,3,20),IF($I640="",1,0.6),IF($I640=MID(P$1,3,20),0.4,0)))</f>
        <v>1</v>
      </c>
      <c r="Q640" s="10" t="n">
        <f aca="false">IF($H640="숙박",0,IF($H640=MID(Q$1,3,20),IF($I640="",1,0.6),IF($I640=MID(Q$1,3,20),0.4,0)))</f>
        <v>0</v>
      </c>
      <c r="R640" s="10" t="n">
        <f aca="false">IF($H640="숙박",0,IF($H640=MID(R$1,3,20),IF($I640="",1,0.6),IF($I640=MID(R$1,3,20),0.4,0)))</f>
        <v>0</v>
      </c>
      <c r="S640" s="10" t="n">
        <f aca="false">IF($H640="숙박",0,IF($H640=MID(S$1,3,20),IF($I640="",1,0.6),IF($I640=MID(S$1,3,20),0.4,0)))</f>
        <v>0</v>
      </c>
      <c r="T640" s="10" t="n">
        <f aca="false">IF($H640="숙박",0,IF($H640=MID(T$1,3,20),IF($I640="",1,0.6),IF($I640=MID(T$1,3,20),0.4,0)))</f>
        <v>0</v>
      </c>
      <c r="U640" s="10" t="n">
        <f aca="false">IF($H640="숙박",0,IF(ISNUMBER(SEARCH("야경",$J640)),1,0))</f>
        <v>0</v>
      </c>
      <c r="V640" s="10" t="n">
        <f aca="false">IF($H640="숙박",0,1)</f>
        <v>1</v>
      </c>
    </row>
    <row r="641" customFormat="false" ht="15" hidden="false" customHeight="false" outlineLevel="0" collapsed="false">
      <c r="A641" s="8" t="n">
        <v>640</v>
      </c>
      <c r="B641" s="8" t="s">
        <v>45</v>
      </c>
      <c r="C641" s="8" t="s">
        <v>1489</v>
      </c>
      <c r="D641" s="8" t="s">
        <v>2038</v>
      </c>
      <c r="E641" s="7" t="s">
        <v>2039</v>
      </c>
      <c r="F641" s="8"/>
      <c r="G641" s="8" t="s">
        <v>190</v>
      </c>
      <c r="H641" s="9" t="s">
        <v>190</v>
      </c>
      <c r="I641" s="9" t="s">
        <v>49</v>
      </c>
      <c r="J641" s="9"/>
      <c r="K641" s="9" t="s">
        <v>191</v>
      </c>
      <c r="L641" s="8"/>
      <c r="M641" s="8"/>
      <c r="N641" s="8" t="s">
        <v>483</v>
      </c>
      <c r="O641" s="8" t="s">
        <v>2040</v>
      </c>
      <c r="P641" s="10" t="n">
        <f aca="false">IF($H641="숙박",0,IF($H641=MID(P$1,3,20),IF($I641="",1,0.6),IF($I641=MID(P$1,3,20),0.4,0)))</f>
        <v>0.6</v>
      </c>
      <c r="Q641" s="10" t="n">
        <f aca="false">IF($H641="숙박",0,IF($H641=MID(Q$1,3,20),IF($I641="",1,0.6),IF($I641=MID(Q$1,3,20),0.4,0)))</f>
        <v>0.4</v>
      </c>
      <c r="R641" s="10" t="n">
        <f aca="false">IF($H641="숙박",0,IF($H641=MID(R$1,3,20),IF($I641="",1,0.6),IF($I641=MID(R$1,3,20),0.4,0)))</f>
        <v>0</v>
      </c>
      <c r="S641" s="10" t="n">
        <f aca="false">IF($H641="숙박",0,IF($H641=MID(S$1,3,20),IF($I641="",1,0.6),IF($I641=MID(S$1,3,20),0.4,0)))</f>
        <v>0</v>
      </c>
      <c r="T641" s="10" t="n">
        <f aca="false">IF($H641="숙박",0,IF($H641=MID(T$1,3,20),IF($I641="",1,0.6),IF($I641=MID(T$1,3,20),0.4,0)))</f>
        <v>0</v>
      </c>
      <c r="U641" s="10" t="n">
        <f aca="false">IF($H641="숙박",0,IF(ISNUMBER(SEARCH("야경",$J641)),1,0))</f>
        <v>0</v>
      </c>
      <c r="V641" s="10" t="n">
        <f aca="false">IF($H641="숙박",0,1)</f>
        <v>1</v>
      </c>
    </row>
    <row r="642" customFormat="false" ht="15" hidden="false" customHeight="false" outlineLevel="0" collapsed="false">
      <c r="A642" s="8" t="n">
        <v>641</v>
      </c>
      <c r="B642" s="8" t="s">
        <v>45</v>
      </c>
      <c r="C642" s="8" t="s">
        <v>2041</v>
      </c>
      <c r="D642" s="8" t="s">
        <v>2042</v>
      </c>
      <c r="E642" s="7" t="s">
        <v>2043</v>
      </c>
      <c r="F642" s="8"/>
      <c r="G642" s="8" t="s">
        <v>190</v>
      </c>
      <c r="H642" s="9" t="s">
        <v>190</v>
      </c>
      <c r="I642" s="9"/>
      <c r="J642" s="9"/>
      <c r="K642" s="9" t="s">
        <v>191</v>
      </c>
      <c r="L642" s="8"/>
      <c r="M642" s="8"/>
      <c r="N642" s="8"/>
      <c r="O642" s="8" t="s">
        <v>2044</v>
      </c>
      <c r="P642" s="10" t="n">
        <f aca="false">IF($H642="숙박",0,IF($H642=MID(P$1,3,20),IF($I642="",1,0.6),IF($I642=MID(P$1,3,20),0.4,0)))</f>
        <v>1</v>
      </c>
      <c r="Q642" s="10" t="n">
        <f aca="false">IF($H642="숙박",0,IF($H642=MID(Q$1,3,20),IF($I642="",1,0.6),IF($I642=MID(Q$1,3,20),0.4,0)))</f>
        <v>0</v>
      </c>
      <c r="R642" s="10" t="n">
        <f aca="false">IF($H642="숙박",0,IF($H642=MID(R$1,3,20),IF($I642="",1,0.6),IF($I642=MID(R$1,3,20),0.4,0)))</f>
        <v>0</v>
      </c>
      <c r="S642" s="10" t="n">
        <f aca="false">IF($H642="숙박",0,IF($H642=MID(S$1,3,20),IF($I642="",1,0.6),IF($I642=MID(S$1,3,20),0.4,0)))</f>
        <v>0</v>
      </c>
      <c r="T642" s="10" t="n">
        <f aca="false">IF($H642="숙박",0,IF($H642=MID(T$1,3,20),IF($I642="",1,0.6),IF($I642=MID(T$1,3,20),0.4,0)))</f>
        <v>0</v>
      </c>
      <c r="U642" s="10" t="n">
        <f aca="false">IF($H642="숙박",0,IF(ISNUMBER(SEARCH("야경",$J642)),1,0))</f>
        <v>0</v>
      </c>
      <c r="V642" s="10" t="n">
        <f aca="false">IF($H642="숙박",0,1)</f>
        <v>1</v>
      </c>
    </row>
    <row r="643" customFormat="false" ht="15" hidden="false" customHeight="false" outlineLevel="0" collapsed="false">
      <c r="A643" s="8" t="n">
        <v>642</v>
      </c>
      <c r="B643" s="8" t="s">
        <v>45</v>
      </c>
      <c r="C643" s="8"/>
      <c r="D643" s="8" t="s">
        <v>2045</v>
      </c>
      <c r="E643" s="7" t="s">
        <v>2046</v>
      </c>
      <c r="F643" s="8"/>
      <c r="G643" s="8"/>
      <c r="H643" s="9" t="s">
        <v>594</v>
      </c>
      <c r="I643" s="9"/>
      <c r="J643" s="9"/>
      <c r="K643" s="9"/>
      <c r="L643" s="8"/>
      <c r="M643" s="8"/>
      <c r="N643" s="8" t="s">
        <v>595</v>
      </c>
      <c r="O643" s="8"/>
      <c r="P643" s="10" t="n">
        <f aca="false">IF($H643="숙박",0,IF($H643=MID(P$1,3,20),IF($I643="",1,0.6),IF($I643=MID(P$1,3,20),0.4,0)))</f>
        <v>0</v>
      </c>
      <c r="Q643" s="10" t="n">
        <f aca="false">IF($H643="숙박",0,IF($H643=MID(Q$1,3,20),IF($I643="",1,0.6),IF($I643=MID(Q$1,3,20),0.4,0)))</f>
        <v>0</v>
      </c>
      <c r="R643" s="10" t="n">
        <f aca="false">IF($H643="숙박",0,IF($H643=MID(R$1,3,20),IF($I643="",1,0.6),IF($I643=MID(R$1,3,20),0.4,0)))</f>
        <v>0</v>
      </c>
      <c r="S643" s="10" t="n">
        <f aca="false">IF($H643="숙박",0,IF($H643=MID(S$1,3,20),IF($I643="",1,0.6),IF($I643=MID(S$1,3,20),0.4,0)))</f>
        <v>0</v>
      </c>
      <c r="T643" s="10" t="n">
        <f aca="false">IF($H643="숙박",0,IF($H643=MID(T$1,3,20),IF($I643="",1,0.6),IF($I643=MID(T$1,3,20),0.4,0)))</f>
        <v>0</v>
      </c>
      <c r="U643" s="10" t="n">
        <f aca="false">IF($H643="숙박",0,IF(ISNUMBER(SEARCH("야경",$J643)),1,0))</f>
        <v>0</v>
      </c>
      <c r="V643" s="10" t="n">
        <f aca="false">IF($H643="숙박",0,1)</f>
        <v>0</v>
      </c>
    </row>
    <row r="644" customFormat="false" ht="15" hidden="false" customHeight="false" outlineLevel="0" collapsed="false">
      <c r="A644" s="8" t="n">
        <v>643</v>
      </c>
      <c r="B644" s="8" t="s">
        <v>45</v>
      </c>
      <c r="C644" s="8" t="s">
        <v>1567</v>
      </c>
      <c r="D644" s="8" t="s">
        <v>2047</v>
      </c>
      <c r="E644" s="7" t="s">
        <v>2048</v>
      </c>
      <c r="F644" s="8"/>
      <c r="G644" s="8" t="s">
        <v>49</v>
      </c>
      <c r="H644" s="9" t="s">
        <v>49</v>
      </c>
      <c r="I644" s="9" t="s">
        <v>184</v>
      </c>
      <c r="J644" s="9"/>
      <c r="K644" s="9" t="s">
        <v>52</v>
      </c>
      <c r="L644" s="8"/>
      <c r="M644" s="8"/>
      <c r="N644" s="8" t="s">
        <v>483</v>
      </c>
      <c r="O644" s="7" t="s">
        <v>2049</v>
      </c>
      <c r="P644" s="10" t="n">
        <f aca="false">IF($H644="숙박",0,IF($H644=MID(P$1,3,20),IF($I644="",1,0.6),IF($I644=MID(P$1,3,20),0.4,0)))</f>
        <v>0</v>
      </c>
      <c r="Q644" s="10" t="n">
        <f aca="false">IF($H644="숙박",0,IF($H644=MID(Q$1,3,20),IF($I644="",1,0.6),IF($I644=MID(Q$1,3,20),0.4,0)))</f>
        <v>0.6</v>
      </c>
      <c r="R644" s="10" t="n">
        <f aca="false">IF($H644="숙박",0,IF($H644=MID(R$1,3,20),IF($I644="",1,0.6),IF($I644=MID(R$1,3,20),0.4,0)))</f>
        <v>0.4</v>
      </c>
      <c r="S644" s="10" t="n">
        <f aca="false">IF($H644="숙박",0,IF($H644=MID(S$1,3,20),IF($I644="",1,0.6),IF($I644=MID(S$1,3,20),0.4,0)))</f>
        <v>0</v>
      </c>
      <c r="T644" s="10" t="n">
        <f aca="false">IF($H644="숙박",0,IF($H644=MID(T$1,3,20),IF($I644="",1,0.6),IF($I644=MID(T$1,3,20),0.4,0)))</f>
        <v>0</v>
      </c>
      <c r="U644" s="10" t="n">
        <f aca="false">IF($H644="숙박",0,IF(ISNUMBER(SEARCH("야경",$J644)),1,0))</f>
        <v>0</v>
      </c>
      <c r="V644" s="10" t="n">
        <f aca="false">IF($H644="숙박",0,1)</f>
        <v>1</v>
      </c>
    </row>
    <row r="645" customFormat="false" ht="15" hidden="false" customHeight="false" outlineLevel="0" collapsed="false">
      <c r="A645" s="8" t="n">
        <v>644</v>
      </c>
      <c r="B645" s="8" t="s">
        <v>45</v>
      </c>
      <c r="C645" s="8" t="s">
        <v>327</v>
      </c>
      <c r="D645" s="8" t="s">
        <v>2050</v>
      </c>
      <c r="E645" s="7" t="s">
        <v>2051</v>
      </c>
      <c r="F645" s="8"/>
      <c r="G645" s="8" t="s">
        <v>216</v>
      </c>
      <c r="H645" s="9" t="s">
        <v>216</v>
      </c>
      <c r="I645" s="9"/>
      <c r="J645" s="9"/>
      <c r="K645" s="9" t="s">
        <v>52</v>
      </c>
      <c r="L645" s="8"/>
      <c r="M645" s="8"/>
      <c r="N645" s="8"/>
      <c r="O645" s="8" t="s">
        <v>2052</v>
      </c>
      <c r="P645" s="10" t="n">
        <f aca="false">IF($H645="숙박",0,IF($H645=MID(P$1,3,20),IF($I645="",1,0.6),IF($I645=MID(P$1,3,20),0.4,0)))</f>
        <v>0</v>
      </c>
      <c r="Q645" s="10" t="n">
        <f aca="false">IF($H645="숙박",0,IF($H645=MID(Q$1,3,20),IF($I645="",1,0.6),IF($I645=MID(Q$1,3,20),0.4,0)))</f>
        <v>0</v>
      </c>
      <c r="R645" s="10" t="n">
        <f aca="false">IF($H645="숙박",0,IF($H645=MID(R$1,3,20),IF($I645="",1,0.6),IF($I645=MID(R$1,3,20),0.4,0)))</f>
        <v>0</v>
      </c>
      <c r="S645" s="10" t="n">
        <f aca="false">IF($H645="숙박",0,IF($H645=MID(S$1,3,20),IF($I645="",1,0.6),IF($I645=MID(S$1,3,20),0.4,0)))</f>
        <v>1</v>
      </c>
      <c r="T645" s="10" t="n">
        <f aca="false">IF($H645="숙박",0,IF($H645=MID(T$1,3,20),IF($I645="",1,0.6),IF($I645=MID(T$1,3,20),0.4,0)))</f>
        <v>0</v>
      </c>
      <c r="U645" s="10" t="n">
        <f aca="false">IF($H645="숙박",0,IF(ISNUMBER(SEARCH("야경",$J645)),1,0))</f>
        <v>0</v>
      </c>
      <c r="V645" s="10" t="n">
        <f aca="false">IF($H645="숙박",0,1)</f>
        <v>1</v>
      </c>
    </row>
    <row r="646" customFormat="false" ht="15" hidden="false" customHeight="false" outlineLevel="0" collapsed="false">
      <c r="A646" s="8" t="n">
        <v>645</v>
      </c>
      <c r="B646" s="8" t="s">
        <v>45</v>
      </c>
      <c r="C646" s="8"/>
      <c r="D646" s="8" t="s">
        <v>2053</v>
      </c>
      <c r="E646" s="7" t="s">
        <v>2054</v>
      </c>
      <c r="F646" s="8"/>
      <c r="G646" s="8"/>
      <c r="H646" s="9" t="s">
        <v>594</v>
      </c>
      <c r="I646" s="9"/>
      <c r="J646" s="9"/>
      <c r="K646" s="9"/>
      <c r="L646" s="8"/>
      <c r="M646" s="8"/>
      <c r="N646" s="8" t="s">
        <v>595</v>
      </c>
      <c r="O646" s="8"/>
      <c r="P646" s="10" t="n">
        <f aca="false">IF($H646="숙박",0,IF($H646=MID(P$1,3,20),IF($I646="",1,0.6),IF($I646=MID(P$1,3,20),0.4,0)))</f>
        <v>0</v>
      </c>
      <c r="Q646" s="10" t="n">
        <f aca="false">IF($H646="숙박",0,IF($H646=MID(Q$1,3,20),IF($I646="",1,0.6),IF($I646=MID(Q$1,3,20),0.4,0)))</f>
        <v>0</v>
      </c>
      <c r="R646" s="10" t="n">
        <f aca="false">IF($H646="숙박",0,IF($H646=MID(R$1,3,20),IF($I646="",1,0.6),IF($I646=MID(R$1,3,20),0.4,0)))</f>
        <v>0</v>
      </c>
      <c r="S646" s="10" t="n">
        <f aca="false">IF($H646="숙박",0,IF($H646=MID(S$1,3,20),IF($I646="",1,0.6),IF($I646=MID(S$1,3,20),0.4,0)))</f>
        <v>0</v>
      </c>
      <c r="T646" s="10" t="n">
        <f aca="false">IF($H646="숙박",0,IF($H646=MID(T$1,3,20),IF($I646="",1,0.6),IF($I646=MID(T$1,3,20),0.4,0)))</f>
        <v>0</v>
      </c>
      <c r="U646" s="10" t="n">
        <f aca="false">IF($H646="숙박",0,IF(ISNUMBER(SEARCH("야경",$J646)),1,0))</f>
        <v>0</v>
      </c>
      <c r="V646" s="10" t="n">
        <f aca="false">IF($H646="숙박",0,1)</f>
        <v>0</v>
      </c>
    </row>
    <row r="647" customFormat="false" ht="15" hidden="false" customHeight="false" outlineLevel="0" collapsed="false">
      <c r="A647" s="8" t="n">
        <v>646</v>
      </c>
      <c r="B647" s="8" t="s">
        <v>45</v>
      </c>
      <c r="C647" s="8"/>
      <c r="D647" s="8" t="s">
        <v>2055</v>
      </c>
      <c r="E647" s="7" t="s">
        <v>2056</v>
      </c>
      <c r="F647" s="8"/>
      <c r="G647" s="8"/>
      <c r="H647" s="9" t="s">
        <v>594</v>
      </c>
      <c r="I647" s="9"/>
      <c r="J647" s="9"/>
      <c r="K647" s="9"/>
      <c r="L647" s="8"/>
      <c r="M647" s="8"/>
      <c r="N647" s="8" t="s">
        <v>595</v>
      </c>
      <c r="O647" s="8"/>
      <c r="P647" s="10" t="n">
        <f aca="false">IF($H647="숙박",0,IF($H647=MID(P$1,3,20),IF($I647="",1,0.6),IF($I647=MID(P$1,3,20),0.4,0)))</f>
        <v>0</v>
      </c>
      <c r="Q647" s="10" t="n">
        <f aca="false">IF($H647="숙박",0,IF($H647=MID(Q$1,3,20),IF($I647="",1,0.6),IF($I647=MID(Q$1,3,20),0.4,0)))</f>
        <v>0</v>
      </c>
      <c r="R647" s="10" t="n">
        <f aca="false">IF($H647="숙박",0,IF($H647=MID(R$1,3,20),IF($I647="",1,0.6),IF($I647=MID(R$1,3,20),0.4,0)))</f>
        <v>0</v>
      </c>
      <c r="S647" s="10" t="n">
        <f aca="false">IF($H647="숙박",0,IF($H647=MID(S$1,3,20),IF($I647="",1,0.6),IF($I647=MID(S$1,3,20),0.4,0)))</f>
        <v>0</v>
      </c>
      <c r="T647" s="10" t="n">
        <f aca="false">IF($H647="숙박",0,IF($H647=MID(T$1,3,20),IF($I647="",1,0.6),IF($I647=MID(T$1,3,20),0.4,0)))</f>
        <v>0</v>
      </c>
      <c r="U647" s="10" t="n">
        <f aca="false">IF($H647="숙박",0,IF(ISNUMBER(SEARCH("야경",$J647)),1,0))</f>
        <v>0</v>
      </c>
      <c r="V647" s="10" t="n">
        <f aca="false">IF($H647="숙박",0,1)</f>
        <v>0</v>
      </c>
    </row>
    <row r="648" customFormat="false" ht="15" hidden="false" customHeight="false" outlineLevel="0" collapsed="false">
      <c r="A648" s="8" t="n">
        <v>647</v>
      </c>
      <c r="B648" s="8" t="s">
        <v>45</v>
      </c>
      <c r="C648" s="8" t="s">
        <v>2057</v>
      </c>
      <c r="D648" s="8" t="s">
        <v>2058</v>
      </c>
      <c r="E648" s="7" t="s">
        <v>2059</v>
      </c>
      <c r="F648" s="8"/>
      <c r="G648" s="8" t="s">
        <v>50</v>
      </c>
      <c r="H648" s="9" t="s">
        <v>50</v>
      </c>
      <c r="I648" s="9"/>
      <c r="J648" s="9" t="s">
        <v>168</v>
      </c>
      <c r="K648" s="9" t="s">
        <v>52</v>
      </c>
      <c r="L648" s="8"/>
      <c r="M648" s="8"/>
      <c r="N648" s="8"/>
      <c r="O648" s="7" t="s">
        <v>2060</v>
      </c>
      <c r="P648" s="10" t="n">
        <f aca="false">IF($H648="숙박",0,IF($H648=MID(P$1,3,20),IF($I648="",1,0.6),IF($I648=MID(P$1,3,20),0.4,0)))</f>
        <v>0</v>
      </c>
      <c r="Q648" s="10" t="n">
        <f aca="false">IF($H648="숙박",0,IF($H648=MID(Q$1,3,20),IF($I648="",1,0.6),IF($I648=MID(Q$1,3,20),0.4,0)))</f>
        <v>0</v>
      </c>
      <c r="R648" s="10" t="n">
        <f aca="false">IF($H648="숙박",0,IF($H648=MID(R$1,3,20),IF($I648="",1,0.6),IF($I648=MID(R$1,3,20),0.4,0)))</f>
        <v>0</v>
      </c>
      <c r="S648" s="10" t="n">
        <f aca="false">IF($H648="숙박",0,IF($H648=MID(S$1,3,20),IF($I648="",1,0.6),IF($I648=MID(S$1,3,20),0.4,0)))</f>
        <v>0</v>
      </c>
      <c r="T648" s="10" t="n">
        <f aca="false">IF($H648="숙박",0,IF($H648=MID(T$1,3,20),IF($I648="",1,0.6),IF($I648=MID(T$1,3,20),0.4,0)))</f>
        <v>1</v>
      </c>
      <c r="U648" s="10" t="n">
        <f aca="false">IF($H648="숙박",0,IF(ISNUMBER(SEARCH("야경",$J648)),1,0))</f>
        <v>0</v>
      </c>
      <c r="V648" s="10" t="n">
        <f aca="false">IF($H648="숙박",0,1)</f>
        <v>1</v>
      </c>
    </row>
    <row r="649" customFormat="false" ht="15" hidden="false" customHeight="false" outlineLevel="0" collapsed="false">
      <c r="A649" s="8" t="n">
        <v>648</v>
      </c>
      <c r="B649" s="8" t="s">
        <v>45</v>
      </c>
      <c r="C649" s="8" t="s">
        <v>2061</v>
      </c>
      <c r="D649" s="8" t="s">
        <v>2062</v>
      </c>
      <c r="E649" s="7" t="s">
        <v>2063</v>
      </c>
      <c r="F649" s="8"/>
      <c r="G649" s="8" t="s">
        <v>190</v>
      </c>
      <c r="H649" s="9" t="s">
        <v>190</v>
      </c>
      <c r="I649" s="9"/>
      <c r="J649" s="9" t="s">
        <v>1361</v>
      </c>
      <c r="K649" s="9" t="s">
        <v>191</v>
      </c>
      <c r="L649" s="8"/>
      <c r="M649" s="8"/>
      <c r="N649" s="8"/>
      <c r="O649" s="8" t="s">
        <v>2064</v>
      </c>
      <c r="P649" s="10" t="n">
        <f aca="false">IF($H649="숙박",0,IF($H649=MID(P$1,3,20),IF($I649="",1,0.6),IF($I649=MID(P$1,3,20),0.4,0)))</f>
        <v>1</v>
      </c>
      <c r="Q649" s="10" t="n">
        <f aca="false">IF($H649="숙박",0,IF($H649=MID(Q$1,3,20),IF($I649="",1,0.6),IF($I649=MID(Q$1,3,20),0.4,0)))</f>
        <v>0</v>
      </c>
      <c r="R649" s="10" t="n">
        <f aca="false">IF($H649="숙박",0,IF($H649=MID(R$1,3,20),IF($I649="",1,0.6),IF($I649=MID(R$1,3,20),0.4,0)))</f>
        <v>0</v>
      </c>
      <c r="S649" s="10" t="n">
        <f aca="false">IF($H649="숙박",0,IF($H649=MID(S$1,3,20),IF($I649="",1,0.6),IF($I649=MID(S$1,3,20),0.4,0)))</f>
        <v>0</v>
      </c>
      <c r="T649" s="10" t="n">
        <f aca="false">IF($H649="숙박",0,IF($H649=MID(T$1,3,20),IF($I649="",1,0.6),IF($I649=MID(T$1,3,20),0.4,0)))</f>
        <v>0</v>
      </c>
      <c r="U649" s="10" t="n">
        <f aca="false">IF($H649="숙박",0,IF(ISNUMBER(SEARCH("야경",$J649)),1,0))</f>
        <v>0</v>
      </c>
      <c r="V649" s="10" t="n">
        <f aca="false">IF($H649="숙박",0,1)</f>
        <v>1</v>
      </c>
    </row>
    <row r="650" customFormat="false" ht="15" hidden="false" customHeight="false" outlineLevel="0" collapsed="false">
      <c r="A650" s="8" t="n">
        <v>649</v>
      </c>
      <c r="B650" s="8" t="s">
        <v>45</v>
      </c>
      <c r="C650" s="8" t="s">
        <v>349</v>
      </c>
      <c r="D650" s="8" t="s">
        <v>2065</v>
      </c>
      <c r="E650" s="7" t="s">
        <v>2066</v>
      </c>
      <c r="F650" s="8"/>
      <c r="G650" s="8" t="s">
        <v>190</v>
      </c>
      <c r="H650" s="9" t="s">
        <v>190</v>
      </c>
      <c r="I650" s="9"/>
      <c r="J650" s="9"/>
      <c r="K650" s="9" t="s">
        <v>191</v>
      </c>
      <c r="L650" s="8"/>
      <c r="M650" s="8"/>
      <c r="N650" s="8"/>
      <c r="O650" s="8" t="s">
        <v>2067</v>
      </c>
      <c r="P650" s="10" t="n">
        <f aca="false">IF($H650="숙박",0,IF($H650=MID(P$1,3,20),IF($I650="",1,0.6),IF($I650=MID(P$1,3,20),0.4,0)))</f>
        <v>1</v>
      </c>
      <c r="Q650" s="10" t="n">
        <f aca="false">IF($H650="숙박",0,IF($H650=MID(Q$1,3,20),IF($I650="",1,0.6),IF($I650=MID(Q$1,3,20),0.4,0)))</f>
        <v>0</v>
      </c>
      <c r="R650" s="10" t="n">
        <f aca="false">IF($H650="숙박",0,IF($H650=MID(R$1,3,20),IF($I650="",1,0.6),IF($I650=MID(R$1,3,20),0.4,0)))</f>
        <v>0</v>
      </c>
      <c r="S650" s="10" t="n">
        <f aca="false">IF($H650="숙박",0,IF($H650=MID(S$1,3,20),IF($I650="",1,0.6),IF($I650=MID(S$1,3,20),0.4,0)))</f>
        <v>0</v>
      </c>
      <c r="T650" s="10" t="n">
        <f aca="false">IF($H650="숙박",0,IF($H650=MID(T$1,3,20),IF($I650="",1,0.6),IF($I650=MID(T$1,3,20),0.4,0)))</f>
        <v>0</v>
      </c>
      <c r="U650" s="10" t="n">
        <f aca="false">IF($H650="숙박",0,IF(ISNUMBER(SEARCH("야경",$J650)),1,0))</f>
        <v>0</v>
      </c>
      <c r="V650" s="10" t="n">
        <f aca="false">IF($H650="숙박",0,1)</f>
        <v>1</v>
      </c>
    </row>
    <row r="651" customFormat="false" ht="15" hidden="false" customHeight="false" outlineLevel="0" collapsed="false">
      <c r="A651" s="8" t="n">
        <v>650</v>
      </c>
      <c r="B651" s="8" t="s">
        <v>45</v>
      </c>
      <c r="C651" s="8"/>
      <c r="D651" s="8" t="s">
        <v>2068</v>
      </c>
      <c r="E651" s="7" t="s">
        <v>2069</v>
      </c>
      <c r="F651" s="8"/>
      <c r="G651" s="8"/>
      <c r="H651" s="9" t="s">
        <v>594</v>
      </c>
      <c r="I651" s="9"/>
      <c r="J651" s="9"/>
      <c r="K651" s="9"/>
      <c r="L651" s="8"/>
      <c r="M651" s="8"/>
      <c r="N651" s="8" t="s">
        <v>595</v>
      </c>
      <c r="O651" s="8"/>
      <c r="P651" s="10" t="n">
        <f aca="false">IF($H651="숙박",0,IF($H651=MID(P$1,3,20),IF($I651="",1,0.6),IF($I651=MID(P$1,3,20),0.4,0)))</f>
        <v>0</v>
      </c>
      <c r="Q651" s="10" t="n">
        <f aca="false">IF($H651="숙박",0,IF($H651=MID(Q$1,3,20),IF($I651="",1,0.6),IF($I651=MID(Q$1,3,20),0.4,0)))</f>
        <v>0</v>
      </c>
      <c r="R651" s="10" t="n">
        <f aca="false">IF($H651="숙박",0,IF($H651=MID(R$1,3,20),IF($I651="",1,0.6),IF($I651=MID(R$1,3,20),0.4,0)))</f>
        <v>0</v>
      </c>
      <c r="S651" s="10" t="n">
        <f aca="false">IF($H651="숙박",0,IF($H651=MID(S$1,3,20),IF($I651="",1,0.6),IF($I651=MID(S$1,3,20),0.4,0)))</f>
        <v>0</v>
      </c>
      <c r="T651" s="10" t="n">
        <f aca="false">IF($H651="숙박",0,IF($H651=MID(T$1,3,20),IF($I651="",1,0.6),IF($I651=MID(T$1,3,20),0.4,0)))</f>
        <v>0</v>
      </c>
      <c r="U651" s="10" t="n">
        <f aca="false">IF($H651="숙박",0,IF(ISNUMBER(SEARCH("야경",$J651)),1,0))</f>
        <v>0</v>
      </c>
      <c r="V651" s="10" t="n">
        <f aca="false">IF($H651="숙박",0,1)</f>
        <v>0</v>
      </c>
    </row>
    <row r="652" customFormat="false" ht="15" hidden="false" customHeight="false" outlineLevel="0" collapsed="false">
      <c r="A652" s="8" t="n">
        <v>651</v>
      </c>
      <c r="B652" s="8" t="s">
        <v>45</v>
      </c>
      <c r="C652" s="8" t="s">
        <v>349</v>
      </c>
      <c r="D652" s="8" t="s">
        <v>2070</v>
      </c>
      <c r="E652" s="7" t="s">
        <v>2071</v>
      </c>
      <c r="F652" s="8"/>
      <c r="G652" s="8" t="s">
        <v>184</v>
      </c>
      <c r="H652" s="9" t="s">
        <v>184</v>
      </c>
      <c r="I652" s="9" t="s">
        <v>50</v>
      </c>
      <c r="J652" s="9" t="s">
        <v>168</v>
      </c>
      <c r="K652" s="9" t="s">
        <v>191</v>
      </c>
      <c r="L652" s="8"/>
      <c r="M652" s="8"/>
      <c r="N652" s="8" t="s">
        <v>185</v>
      </c>
      <c r="O652" s="8" t="s">
        <v>2072</v>
      </c>
      <c r="P652" s="10" t="n">
        <f aca="false">IF($H652="숙박",0,IF($H652=MID(P$1,3,20),IF($I652="",1,0.6),IF($I652=MID(P$1,3,20),0.4,0)))</f>
        <v>0</v>
      </c>
      <c r="Q652" s="10" t="n">
        <f aca="false">IF($H652="숙박",0,IF($H652=MID(Q$1,3,20),IF($I652="",1,0.6),IF($I652=MID(Q$1,3,20),0.4,0)))</f>
        <v>0</v>
      </c>
      <c r="R652" s="10" t="n">
        <f aca="false">IF($H652="숙박",0,IF($H652=MID(R$1,3,20),IF($I652="",1,0.6),IF($I652=MID(R$1,3,20),0.4,0)))</f>
        <v>0.6</v>
      </c>
      <c r="S652" s="10" t="n">
        <f aca="false">IF($H652="숙박",0,IF($H652=MID(S$1,3,20),IF($I652="",1,0.6),IF($I652=MID(S$1,3,20),0.4,0)))</f>
        <v>0</v>
      </c>
      <c r="T652" s="10" t="n">
        <f aca="false">IF($H652="숙박",0,IF($H652=MID(T$1,3,20),IF($I652="",1,0.6),IF($I652=MID(T$1,3,20),0.4,0)))</f>
        <v>0.4</v>
      </c>
      <c r="U652" s="10" t="n">
        <f aca="false">IF($H652="숙박",0,IF(ISNUMBER(SEARCH("야경",$J652)),1,0))</f>
        <v>0</v>
      </c>
      <c r="V652" s="10" t="n">
        <f aca="false">IF($H652="숙박",0,1)</f>
        <v>1</v>
      </c>
    </row>
    <row r="653" customFormat="false" ht="15" hidden="false" customHeight="false" outlineLevel="0" collapsed="false">
      <c r="A653" s="8" t="n">
        <v>652</v>
      </c>
      <c r="B653" s="8" t="s">
        <v>45</v>
      </c>
      <c r="C653" s="8" t="s">
        <v>1330</v>
      </c>
      <c r="D653" s="8" t="s">
        <v>2073</v>
      </c>
      <c r="E653" s="7" t="s">
        <v>2074</v>
      </c>
      <c r="F653" s="8"/>
      <c r="G653" s="8" t="s">
        <v>49</v>
      </c>
      <c r="H653" s="9" t="s">
        <v>49</v>
      </c>
      <c r="I653" s="9"/>
      <c r="J653" s="9"/>
      <c r="K653" s="9" t="s">
        <v>209</v>
      </c>
      <c r="L653" s="8"/>
      <c r="M653" s="8"/>
      <c r="N653" s="8"/>
      <c r="O653" s="8" t="s">
        <v>2075</v>
      </c>
      <c r="P653" s="10" t="n">
        <f aca="false">IF($H653="숙박",0,IF($H653=MID(P$1,3,20),IF($I653="",1,0.6),IF($I653=MID(P$1,3,20),0.4,0)))</f>
        <v>0</v>
      </c>
      <c r="Q653" s="10" t="n">
        <f aca="false">IF($H653="숙박",0,IF($H653=MID(Q$1,3,20),IF($I653="",1,0.6),IF($I653=MID(Q$1,3,20),0.4,0)))</f>
        <v>1</v>
      </c>
      <c r="R653" s="10" t="n">
        <f aca="false">IF($H653="숙박",0,IF($H653=MID(R$1,3,20),IF($I653="",1,0.6),IF($I653=MID(R$1,3,20),0.4,0)))</f>
        <v>0</v>
      </c>
      <c r="S653" s="10" t="n">
        <f aca="false">IF($H653="숙박",0,IF($H653=MID(S$1,3,20),IF($I653="",1,0.6),IF($I653=MID(S$1,3,20),0.4,0)))</f>
        <v>0</v>
      </c>
      <c r="T653" s="10" t="n">
        <f aca="false">IF($H653="숙박",0,IF($H653=MID(T$1,3,20),IF($I653="",1,0.6),IF($I653=MID(T$1,3,20),0.4,0)))</f>
        <v>0</v>
      </c>
      <c r="U653" s="10" t="n">
        <f aca="false">IF($H653="숙박",0,IF(ISNUMBER(SEARCH("야경",$J653)),1,0))</f>
        <v>0</v>
      </c>
      <c r="V653" s="10" t="n">
        <f aca="false">IF($H653="숙박",0,1)</f>
        <v>1</v>
      </c>
    </row>
    <row r="654" customFormat="false" ht="15" hidden="false" customHeight="false" outlineLevel="0" collapsed="false">
      <c r="A654" s="8" t="n">
        <v>653</v>
      </c>
      <c r="B654" s="8" t="s">
        <v>45</v>
      </c>
      <c r="C654" s="8" t="s">
        <v>1467</v>
      </c>
      <c r="D654" s="8" t="s">
        <v>2076</v>
      </c>
      <c r="E654" s="7" t="s">
        <v>2077</v>
      </c>
      <c r="F654" s="8"/>
      <c r="G654" s="8" t="s">
        <v>190</v>
      </c>
      <c r="H654" s="9" t="s">
        <v>190</v>
      </c>
      <c r="I654" s="9"/>
      <c r="J654" s="9"/>
      <c r="K654" s="9" t="s">
        <v>191</v>
      </c>
      <c r="L654" s="8"/>
      <c r="M654" s="8"/>
      <c r="N654" s="8"/>
      <c r="O654" s="8" t="s">
        <v>2078</v>
      </c>
      <c r="P654" s="10" t="n">
        <f aca="false">IF($H654="숙박",0,IF($H654=MID(P$1,3,20),IF($I654="",1,0.6),IF($I654=MID(P$1,3,20),0.4,0)))</f>
        <v>1</v>
      </c>
      <c r="Q654" s="10" t="n">
        <f aca="false">IF($H654="숙박",0,IF($H654=MID(Q$1,3,20),IF($I654="",1,0.6),IF($I654=MID(Q$1,3,20),0.4,0)))</f>
        <v>0</v>
      </c>
      <c r="R654" s="10" t="n">
        <f aca="false">IF($H654="숙박",0,IF($H654=MID(R$1,3,20),IF($I654="",1,0.6),IF($I654=MID(R$1,3,20),0.4,0)))</f>
        <v>0</v>
      </c>
      <c r="S654" s="10" t="n">
        <f aca="false">IF($H654="숙박",0,IF($H654=MID(S$1,3,20),IF($I654="",1,0.6),IF($I654=MID(S$1,3,20),0.4,0)))</f>
        <v>0</v>
      </c>
      <c r="T654" s="10" t="n">
        <f aca="false">IF($H654="숙박",0,IF($H654=MID(T$1,3,20),IF($I654="",1,0.6),IF($I654=MID(T$1,3,20),0.4,0)))</f>
        <v>0</v>
      </c>
      <c r="U654" s="10" t="n">
        <f aca="false">IF($H654="숙박",0,IF(ISNUMBER(SEARCH("야경",$J654)),1,0))</f>
        <v>0</v>
      </c>
      <c r="V654" s="10" t="n">
        <f aca="false">IF($H654="숙박",0,1)</f>
        <v>1</v>
      </c>
    </row>
    <row r="655" customFormat="false" ht="15" hidden="false" customHeight="false" outlineLevel="0" collapsed="false">
      <c r="A655" s="8" t="n">
        <v>654</v>
      </c>
      <c r="B655" s="8" t="s">
        <v>45</v>
      </c>
      <c r="C655" s="8"/>
      <c r="D655" s="8" t="s">
        <v>2079</v>
      </c>
      <c r="E655" s="7" t="s">
        <v>2080</v>
      </c>
      <c r="F655" s="8"/>
      <c r="G655" s="8"/>
      <c r="H655" s="9" t="s">
        <v>594</v>
      </c>
      <c r="I655" s="9"/>
      <c r="J655" s="9"/>
      <c r="K655" s="9"/>
      <c r="L655" s="8"/>
      <c r="M655" s="8"/>
      <c r="N655" s="8" t="s">
        <v>595</v>
      </c>
      <c r="O655" s="8"/>
      <c r="P655" s="10" t="n">
        <f aca="false">IF($H655="숙박",0,IF($H655=MID(P$1,3,20),IF($I655="",1,0.6),IF($I655=MID(P$1,3,20),0.4,0)))</f>
        <v>0</v>
      </c>
      <c r="Q655" s="10" t="n">
        <f aca="false">IF($H655="숙박",0,IF($H655=MID(Q$1,3,20),IF($I655="",1,0.6),IF($I655=MID(Q$1,3,20),0.4,0)))</f>
        <v>0</v>
      </c>
      <c r="R655" s="10" t="n">
        <f aca="false">IF($H655="숙박",0,IF($H655=MID(R$1,3,20),IF($I655="",1,0.6),IF($I655=MID(R$1,3,20),0.4,0)))</f>
        <v>0</v>
      </c>
      <c r="S655" s="10" t="n">
        <f aca="false">IF($H655="숙박",0,IF($H655=MID(S$1,3,20),IF($I655="",1,0.6),IF($I655=MID(S$1,3,20),0.4,0)))</f>
        <v>0</v>
      </c>
      <c r="T655" s="10" t="n">
        <f aca="false">IF($H655="숙박",0,IF($H655=MID(T$1,3,20),IF($I655="",1,0.6),IF($I655=MID(T$1,3,20),0.4,0)))</f>
        <v>0</v>
      </c>
      <c r="U655" s="10" t="n">
        <f aca="false">IF($H655="숙박",0,IF(ISNUMBER(SEARCH("야경",$J655)),1,0))</f>
        <v>0</v>
      </c>
      <c r="V655" s="10" t="n">
        <f aca="false">IF($H655="숙박",0,1)</f>
        <v>0</v>
      </c>
    </row>
    <row r="656" customFormat="false" ht="15" hidden="false" customHeight="false" outlineLevel="0" collapsed="false">
      <c r="A656" s="8" t="n">
        <v>655</v>
      </c>
      <c r="B656" s="8" t="s">
        <v>45</v>
      </c>
      <c r="C656" s="8" t="s">
        <v>688</v>
      </c>
      <c r="D656" s="8" t="s">
        <v>2081</v>
      </c>
      <c r="E656" s="7" t="s">
        <v>2082</v>
      </c>
      <c r="F656" s="8"/>
      <c r="G656" s="8" t="s">
        <v>184</v>
      </c>
      <c r="H656" s="9" t="s">
        <v>184</v>
      </c>
      <c r="I656" s="9" t="s">
        <v>190</v>
      </c>
      <c r="J656" s="9"/>
      <c r="K656" s="9" t="s">
        <v>191</v>
      </c>
      <c r="L656" s="8"/>
      <c r="M656" s="8"/>
      <c r="N656" s="8" t="s">
        <v>483</v>
      </c>
      <c r="O656" s="8" t="s">
        <v>2083</v>
      </c>
      <c r="P656" s="10" t="n">
        <f aca="false">IF($H656="숙박",0,IF($H656=MID(P$1,3,20),IF($I656="",1,0.6),IF($I656=MID(P$1,3,20),0.4,0)))</f>
        <v>0.4</v>
      </c>
      <c r="Q656" s="10" t="n">
        <f aca="false">IF($H656="숙박",0,IF($H656=MID(Q$1,3,20),IF($I656="",1,0.6),IF($I656=MID(Q$1,3,20),0.4,0)))</f>
        <v>0</v>
      </c>
      <c r="R656" s="10" t="n">
        <f aca="false">IF($H656="숙박",0,IF($H656=MID(R$1,3,20),IF($I656="",1,0.6),IF($I656=MID(R$1,3,20),0.4,0)))</f>
        <v>0.6</v>
      </c>
      <c r="S656" s="10" t="n">
        <f aca="false">IF($H656="숙박",0,IF($H656=MID(S$1,3,20),IF($I656="",1,0.6),IF($I656=MID(S$1,3,20),0.4,0)))</f>
        <v>0</v>
      </c>
      <c r="T656" s="10" t="n">
        <f aca="false">IF($H656="숙박",0,IF($H656=MID(T$1,3,20),IF($I656="",1,0.6),IF($I656=MID(T$1,3,20),0.4,0)))</f>
        <v>0</v>
      </c>
      <c r="U656" s="10" t="n">
        <f aca="false">IF($H656="숙박",0,IF(ISNUMBER(SEARCH("야경",$J656)),1,0))</f>
        <v>0</v>
      </c>
      <c r="V656" s="10" t="n">
        <f aca="false">IF($H656="숙박",0,1)</f>
        <v>1</v>
      </c>
    </row>
    <row r="657" customFormat="false" ht="15" hidden="false" customHeight="false" outlineLevel="0" collapsed="false">
      <c r="A657" s="8" t="n">
        <v>656</v>
      </c>
      <c r="B657" s="8" t="s">
        <v>45</v>
      </c>
      <c r="C657" s="8" t="s">
        <v>2084</v>
      </c>
      <c r="D657" s="8" t="s">
        <v>2085</v>
      </c>
      <c r="E657" s="7" t="s">
        <v>2086</v>
      </c>
      <c r="F657" s="8"/>
      <c r="G657" s="8" t="s">
        <v>190</v>
      </c>
      <c r="H657" s="9" t="s">
        <v>190</v>
      </c>
      <c r="I657" s="9"/>
      <c r="J657" s="9"/>
      <c r="K657" s="9" t="s">
        <v>52</v>
      </c>
      <c r="L657" s="8"/>
      <c r="M657" s="8"/>
      <c r="N657" s="8"/>
      <c r="O657" s="8" t="s">
        <v>2087</v>
      </c>
      <c r="P657" s="10" t="n">
        <f aca="false">IF($H657="숙박",0,IF($H657=MID(P$1,3,20),IF($I657="",1,0.6),IF($I657=MID(P$1,3,20),0.4,0)))</f>
        <v>1</v>
      </c>
      <c r="Q657" s="10" t="n">
        <f aca="false">IF($H657="숙박",0,IF($H657=MID(Q$1,3,20),IF($I657="",1,0.6),IF($I657=MID(Q$1,3,20),0.4,0)))</f>
        <v>0</v>
      </c>
      <c r="R657" s="10" t="n">
        <f aca="false">IF($H657="숙박",0,IF($H657=MID(R$1,3,20),IF($I657="",1,0.6),IF($I657=MID(R$1,3,20),0.4,0)))</f>
        <v>0</v>
      </c>
      <c r="S657" s="10" t="n">
        <f aca="false">IF($H657="숙박",0,IF($H657=MID(S$1,3,20),IF($I657="",1,0.6),IF($I657=MID(S$1,3,20),0.4,0)))</f>
        <v>0</v>
      </c>
      <c r="T657" s="10" t="n">
        <f aca="false">IF($H657="숙박",0,IF($H657=MID(T$1,3,20),IF($I657="",1,0.6),IF($I657=MID(T$1,3,20),0.4,0)))</f>
        <v>0</v>
      </c>
      <c r="U657" s="10" t="n">
        <f aca="false">IF($H657="숙박",0,IF(ISNUMBER(SEARCH("야경",$J657)),1,0))</f>
        <v>0</v>
      </c>
      <c r="V657" s="10" t="n">
        <f aca="false">IF($H657="숙박",0,1)</f>
        <v>1</v>
      </c>
    </row>
    <row r="658" customFormat="false" ht="15" hidden="false" customHeight="false" outlineLevel="0" collapsed="false">
      <c r="A658" s="8" t="n">
        <v>657</v>
      </c>
      <c r="B658" s="8" t="s">
        <v>45</v>
      </c>
      <c r="C658" s="8" t="s">
        <v>1618</v>
      </c>
      <c r="D658" s="8" t="s">
        <v>2088</v>
      </c>
      <c r="E658" s="7" t="s">
        <v>2089</v>
      </c>
      <c r="F658" s="8"/>
      <c r="G658" s="8" t="s">
        <v>190</v>
      </c>
      <c r="H658" s="9" t="s">
        <v>190</v>
      </c>
      <c r="I658" s="9"/>
      <c r="J658" s="9"/>
      <c r="K658" s="9" t="s">
        <v>191</v>
      </c>
      <c r="L658" s="8"/>
      <c r="M658" s="8"/>
      <c r="N658" s="8"/>
      <c r="O658" s="8" t="s">
        <v>2090</v>
      </c>
      <c r="P658" s="10" t="n">
        <f aca="false">IF($H658="숙박",0,IF($H658=MID(P$1,3,20),IF($I658="",1,0.6),IF($I658=MID(P$1,3,20),0.4,0)))</f>
        <v>1</v>
      </c>
      <c r="Q658" s="10" t="n">
        <f aca="false">IF($H658="숙박",0,IF($H658=MID(Q$1,3,20),IF($I658="",1,0.6),IF($I658=MID(Q$1,3,20),0.4,0)))</f>
        <v>0</v>
      </c>
      <c r="R658" s="10" t="n">
        <f aca="false">IF($H658="숙박",0,IF($H658=MID(R$1,3,20),IF($I658="",1,0.6),IF($I658=MID(R$1,3,20),0.4,0)))</f>
        <v>0</v>
      </c>
      <c r="S658" s="10" t="n">
        <f aca="false">IF($H658="숙박",0,IF($H658=MID(S$1,3,20),IF($I658="",1,0.6),IF($I658=MID(S$1,3,20),0.4,0)))</f>
        <v>0</v>
      </c>
      <c r="T658" s="10" t="n">
        <f aca="false">IF($H658="숙박",0,IF($H658=MID(T$1,3,20),IF($I658="",1,0.6),IF($I658=MID(T$1,3,20),0.4,0)))</f>
        <v>0</v>
      </c>
      <c r="U658" s="10" t="n">
        <f aca="false">IF($H658="숙박",0,IF(ISNUMBER(SEARCH("야경",$J658)),1,0))</f>
        <v>0</v>
      </c>
      <c r="V658" s="10" t="n">
        <f aca="false">IF($H658="숙박",0,1)</f>
        <v>1</v>
      </c>
    </row>
    <row r="659" customFormat="false" ht="15" hidden="false" customHeight="false" outlineLevel="0" collapsed="false">
      <c r="A659" s="8" t="n">
        <v>658</v>
      </c>
      <c r="B659" s="8" t="s">
        <v>45</v>
      </c>
      <c r="C659" s="8" t="s">
        <v>297</v>
      </c>
      <c r="D659" s="8" t="s">
        <v>2091</v>
      </c>
      <c r="E659" s="7" t="s">
        <v>2092</v>
      </c>
      <c r="F659" s="8"/>
      <c r="G659" s="8" t="s">
        <v>50</v>
      </c>
      <c r="H659" s="9" t="s">
        <v>50</v>
      </c>
      <c r="I659" s="9" t="s">
        <v>184</v>
      </c>
      <c r="J659" s="9" t="s">
        <v>340</v>
      </c>
      <c r="K659" s="9" t="s">
        <v>52</v>
      </c>
      <c r="L659" s="8"/>
      <c r="M659" s="8"/>
      <c r="N659" s="8" t="s">
        <v>483</v>
      </c>
      <c r="O659" s="8" t="s">
        <v>2093</v>
      </c>
      <c r="P659" s="10" t="n">
        <f aca="false">IF($H659="숙박",0,IF($H659=MID(P$1,3,20),IF($I659="",1,0.6),IF($I659=MID(P$1,3,20),0.4,0)))</f>
        <v>0</v>
      </c>
      <c r="Q659" s="10" t="n">
        <f aca="false">IF($H659="숙박",0,IF($H659=MID(Q$1,3,20),IF($I659="",1,0.6),IF($I659=MID(Q$1,3,20),0.4,0)))</f>
        <v>0</v>
      </c>
      <c r="R659" s="10" t="n">
        <f aca="false">IF($H659="숙박",0,IF($H659=MID(R$1,3,20),IF($I659="",1,0.6),IF($I659=MID(R$1,3,20),0.4,0)))</f>
        <v>0.4</v>
      </c>
      <c r="S659" s="10" t="n">
        <f aca="false">IF($H659="숙박",0,IF($H659=MID(S$1,3,20),IF($I659="",1,0.6),IF($I659=MID(S$1,3,20),0.4,0)))</f>
        <v>0</v>
      </c>
      <c r="T659" s="10" t="n">
        <f aca="false">IF($H659="숙박",0,IF($H659=MID(T$1,3,20),IF($I659="",1,0.6),IF($I659=MID(T$1,3,20),0.4,0)))</f>
        <v>0.6</v>
      </c>
      <c r="U659" s="10" t="n">
        <f aca="false">IF($H659="숙박",0,IF(ISNUMBER(SEARCH("야경",$J659)),1,0))</f>
        <v>1</v>
      </c>
      <c r="V659" s="10" t="n">
        <f aca="false">IF($H659="숙박",0,1)</f>
        <v>1</v>
      </c>
    </row>
    <row r="660" customFormat="false" ht="15" hidden="false" customHeight="false" outlineLevel="0" collapsed="false">
      <c r="A660" s="8" t="n">
        <v>659</v>
      </c>
      <c r="B660" s="8" t="s">
        <v>45</v>
      </c>
      <c r="C660" s="8" t="s">
        <v>1535</v>
      </c>
      <c r="D660" s="8" t="s">
        <v>2094</v>
      </c>
      <c r="E660" s="7" t="s">
        <v>2095</v>
      </c>
      <c r="F660" s="8"/>
      <c r="G660" s="8" t="s">
        <v>190</v>
      </c>
      <c r="H660" s="9" t="s">
        <v>190</v>
      </c>
      <c r="I660" s="9" t="s">
        <v>49</v>
      </c>
      <c r="J660" s="9"/>
      <c r="K660" s="9" t="s">
        <v>191</v>
      </c>
      <c r="L660" s="8"/>
      <c r="M660" s="8"/>
      <c r="N660" s="8" t="s">
        <v>483</v>
      </c>
      <c r="O660" s="8" t="s">
        <v>2096</v>
      </c>
      <c r="P660" s="10" t="n">
        <f aca="false">IF($H660="숙박",0,IF($H660=MID(P$1,3,20),IF($I660="",1,0.6),IF($I660=MID(P$1,3,20),0.4,0)))</f>
        <v>0.6</v>
      </c>
      <c r="Q660" s="10" t="n">
        <f aca="false">IF($H660="숙박",0,IF($H660=MID(Q$1,3,20),IF($I660="",1,0.6),IF($I660=MID(Q$1,3,20),0.4,0)))</f>
        <v>0.4</v>
      </c>
      <c r="R660" s="10" t="n">
        <f aca="false">IF($H660="숙박",0,IF($H660=MID(R$1,3,20),IF($I660="",1,0.6),IF($I660=MID(R$1,3,20),0.4,0)))</f>
        <v>0</v>
      </c>
      <c r="S660" s="10" t="n">
        <f aca="false">IF($H660="숙박",0,IF($H660=MID(S$1,3,20),IF($I660="",1,0.6),IF($I660=MID(S$1,3,20),0.4,0)))</f>
        <v>0</v>
      </c>
      <c r="T660" s="10" t="n">
        <f aca="false">IF($H660="숙박",0,IF($H660=MID(T$1,3,20),IF($I660="",1,0.6),IF($I660=MID(T$1,3,20),0.4,0)))</f>
        <v>0</v>
      </c>
      <c r="U660" s="10" t="n">
        <f aca="false">IF($H660="숙박",0,IF(ISNUMBER(SEARCH("야경",$J660)),1,0))</f>
        <v>0</v>
      </c>
      <c r="V660" s="10" t="n">
        <f aca="false">IF($H660="숙박",0,1)</f>
        <v>1</v>
      </c>
    </row>
    <row r="661" customFormat="false" ht="15" hidden="false" customHeight="false" outlineLevel="0" collapsed="false">
      <c r="A661" s="8" t="n">
        <v>660</v>
      </c>
      <c r="B661" s="8" t="s">
        <v>45</v>
      </c>
      <c r="C661" s="8" t="s">
        <v>1917</v>
      </c>
      <c r="D661" s="8" t="s">
        <v>2097</v>
      </c>
      <c r="E661" s="7" t="s">
        <v>2098</v>
      </c>
      <c r="F661" s="8"/>
      <c r="G661" s="8" t="s">
        <v>49</v>
      </c>
      <c r="H661" s="9" t="s">
        <v>49</v>
      </c>
      <c r="I661" s="9"/>
      <c r="J661" s="9"/>
      <c r="K661" s="9" t="s">
        <v>52</v>
      </c>
      <c r="L661" s="8"/>
      <c r="M661" s="8"/>
      <c r="N661" s="8"/>
      <c r="O661" s="7" t="s">
        <v>2099</v>
      </c>
      <c r="P661" s="10" t="n">
        <f aca="false">IF($H661="숙박",0,IF($H661=MID(P$1,3,20),IF($I661="",1,0.6),IF($I661=MID(P$1,3,20),0.4,0)))</f>
        <v>0</v>
      </c>
      <c r="Q661" s="10" t="n">
        <f aca="false">IF($H661="숙박",0,IF($H661=MID(Q$1,3,20),IF($I661="",1,0.6),IF($I661=MID(Q$1,3,20),0.4,0)))</f>
        <v>1</v>
      </c>
      <c r="R661" s="10" t="n">
        <f aca="false">IF($H661="숙박",0,IF($H661=MID(R$1,3,20),IF($I661="",1,0.6),IF($I661=MID(R$1,3,20),0.4,0)))</f>
        <v>0</v>
      </c>
      <c r="S661" s="10" t="n">
        <f aca="false">IF($H661="숙박",0,IF($H661=MID(S$1,3,20),IF($I661="",1,0.6),IF($I661=MID(S$1,3,20),0.4,0)))</f>
        <v>0</v>
      </c>
      <c r="T661" s="10" t="n">
        <f aca="false">IF($H661="숙박",0,IF($H661=MID(T$1,3,20),IF($I661="",1,0.6),IF($I661=MID(T$1,3,20),0.4,0)))</f>
        <v>0</v>
      </c>
      <c r="U661" s="10" t="n">
        <f aca="false">IF($H661="숙박",0,IF(ISNUMBER(SEARCH("야경",$J661)),1,0))</f>
        <v>0</v>
      </c>
      <c r="V661" s="10" t="n">
        <f aca="false">IF($H661="숙박",0,1)</f>
        <v>1</v>
      </c>
    </row>
    <row r="662" customFormat="false" ht="15" hidden="false" customHeight="false" outlineLevel="0" collapsed="false">
      <c r="A662" s="8" t="n">
        <v>661</v>
      </c>
      <c r="B662" s="8" t="s">
        <v>45</v>
      </c>
      <c r="C662" s="8" t="s">
        <v>2041</v>
      </c>
      <c r="D662" s="8" t="s">
        <v>2100</v>
      </c>
      <c r="E662" s="7" t="s">
        <v>2101</v>
      </c>
      <c r="F662" s="8"/>
      <c r="G662" s="8" t="s">
        <v>49</v>
      </c>
      <c r="H662" s="9" t="s">
        <v>49</v>
      </c>
      <c r="I662" s="9" t="s">
        <v>184</v>
      </c>
      <c r="J662" s="9"/>
      <c r="K662" s="9" t="s">
        <v>52</v>
      </c>
      <c r="L662" s="8"/>
      <c r="M662" s="8"/>
      <c r="N662" s="8" t="s">
        <v>483</v>
      </c>
      <c r="O662" s="8" t="s">
        <v>2102</v>
      </c>
      <c r="P662" s="10" t="n">
        <f aca="false">IF($H662="숙박",0,IF($H662=MID(P$1,3,20),IF($I662="",1,0.6),IF($I662=MID(P$1,3,20),0.4,0)))</f>
        <v>0</v>
      </c>
      <c r="Q662" s="10" t="n">
        <f aca="false">IF($H662="숙박",0,IF($H662=MID(Q$1,3,20),IF($I662="",1,0.6),IF($I662=MID(Q$1,3,20),0.4,0)))</f>
        <v>0.6</v>
      </c>
      <c r="R662" s="10" t="n">
        <f aca="false">IF($H662="숙박",0,IF($H662=MID(R$1,3,20),IF($I662="",1,0.6),IF($I662=MID(R$1,3,20),0.4,0)))</f>
        <v>0.4</v>
      </c>
      <c r="S662" s="10" t="n">
        <f aca="false">IF($H662="숙박",0,IF($H662=MID(S$1,3,20),IF($I662="",1,0.6),IF($I662=MID(S$1,3,20),0.4,0)))</f>
        <v>0</v>
      </c>
      <c r="T662" s="10" t="n">
        <f aca="false">IF($H662="숙박",0,IF($H662=MID(T$1,3,20),IF($I662="",1,0.6),IF($I662=MID(T$1,3,20),0.4,0)))</f>
        <v>0</v>
      </c>
      <c r="U662" s="10" t="n">
        <f aca="false">IF($H662="숙박",0,IF(ISNUMBER(SEARCH("야경",$J662)),1,0))</f>
        <v>0</v>
      </c>
      <c r="V662" s="10" t="n">
        <f aca="false">IF($H662="숙박",0,1)</f>
        <v>1</v>
      </c>
    </row>
    <row r="663" customFormat="false" ht="15" hidden="false" customHeight="false" outlineLevel="0" collapsed="false">
      <c r="A663" s="8" t="n">
        <v>662</v>
      </c>
      <c r="B663" s="8" t="s">
        <v>45</v>
      </c>
      <c r="C663" s="8" t="s">
        <v>1415</v>
      </c>
      <c r="D663" s="8" t="s">
        <v>2103</v>
      </c>
      <c r="E663" s="7" t="s">
        <v>2104</v>
      </c>
      <c r="F663" s="8"/>
      <c r="G663" s="8" t="s">
        <v>50</v>
      </c>
      <c r="H663" s="9" t="s">
        <v>50</v>
      </c>
      <c r="I663" s="9"/>
      <c r="J663" s="9" t="s">
        <v>168</v>
      </c>
      <c r="K663" s="9" t="s">
        <v>52</v>
      </c>
      <c r="L663" s="8"/>
      <c r="M663" s="8"/>
      <c r="N663" s="8"/>
      <c r="O663" s="8" t="s">
        <v>2105</v>
      </c>
      <c r="P663" s="10" t="n">
        <f aca="false">IF($H663="숙박",0,IF($H663=MID(P$1,3,20),IF($I663="",1,0.6),IF($I663=MID(P$1,3,20),0.4,0)))</f>
        <v>0</v>
      </c>
      <c r="Q663" s="10" t="n">
        <f aca="false">IF($H663="숙박",0,IF($H663=MID(Q$1,3,20),IF($I663="",1,0.6),IF($I663=MID(Q$1,3,20),0.4,0)))</f>
        <v>0</v>
      </c>
      <c r="R663" s="10" t="n">
        <f aca="false">IF($H663="숙박",0,IF($H663=MID(R$1,3,20),IF($I663="",1,0.6),IF($I663=MID(R$1,3,20),0.4,0)))</f>
        <v>0</v>
      </c>
      <c r="S663" s="10" t="n">
        <f aca="false">IF($H663="숙박",0,IF($H663=MID(S$1,3,20),IF($I663="",1,0.6),IF($I663=MID(S$1,3,20),0.4,0)))</f>
        <v>0</v>
      </c>
      <c r="T663" s="10" t="n">
        <f aca="false">IF($H663="숙박",0,IF($H663=MID(T$1,3,20),IF($I663="",1,0.6),IF($I663=MID(T$1,3,20),0.4,0)))</f>
        <v>1</v>
      </c>
      <c r="U663" s="10" t="n">
        <f aca="false">IF($H663="숙박",0,IF(ISNUMBER(SEARCH("야경",$J663)),1,0))</f>
        <v>0</v>
      </c>
      <c r="V663" s="10" t="n">
        <f aca="false">IF($H663="숙박",0,1)</f>
        <v>1</v>
      </c>
    </row>
    <row r="664" customFormat="false" ht="15" hidden="false" customHeight="false" outlineLevel="0" collapsed="false">
      <c r="A664" s="8" t="n">
        <v>663</v>
      </c>
      <c r="B664" s="8" t="s">
        <v>45</v>
      </c>
      <c r="C664" s="8" t="s">
        <v>342</v>
      </c>
      <c r="D664" s="8" t="s">
        <v>2106</v>
      </c>
      <c r="E664" s="7" t="s">
        <v>2107</v>
      </c>
      <c r="F664" s="8"/>
      <c r="G664" s="8" t="s">
        <v>49</v>
      </c>
      <c r="H664" s="9" t="s">
        <v>49</v>
      </c>
      <c r="I664" s="9"/>
      <c r="J664" s="9"/>
      <c r="K664" s="9" t="s">
        <v>209</v>
      </c>
      <c r="L664" s="8"/>
      <c r="M664" s="8"/>
      <c r="N664" s="8"/>
      <c r="O664" s="8" t="s">
        <v>2108</v>
      </c>
      <c r="P664" s="10" t="n">
        <f aca="false">IF($H664="숙박",0,IF($H664=MID(P$1,3,20),IF($I664="",1,0.6),IF($I664=MID(P$1,3,20),0.4,0)))</f>
        <v>0</v>
      </c>
      <c r="Q664" s="10" t="n">
        <f aca="false">IF($H664="숙박",0,IF($H664=MID(Q$1,3,20),IF($I664="",1,0.6),IF($I664=MID(Q$1,3,20),0.4,0)))</f>
        <v>1</v>
      </c>
      <c r="R664" s="10" t="n">
        <f aca="false">IF($H664="숙박",0,IF($H664=MID(R$1,3,20),IF($I664="",1,0.6),IF($I664=MID(R$1,3,20),0.4,0)))</f>
        <v>0</v>
      </c>
      <c r="S664" s="10" t="n">
        <f aca="false">IF($H664="숙박",0,IF($H664=MID(S$1,3,20),IF($I664="",1,0.6),IF($I664=MID(S$1,3,20),0.4,0)))</f>
        <v>0</v>
      </c>
      <c r="T664" s="10" t="n">
        <f aca="false">IF($H664="숙박",0,IF($H664=MID(T$1,3,20),IF($I664="",1,0.6),IF($I664=MID(T$1,3,20),0.4,0)))</f>
        <v>0</v>
      </c>
      <c r="U664" s="10" t="n">
        <f aca="false">IF($H664="숙박",0,IF(ISNUMBER(SEARCH("야경",$J664)),1,0))</f>
        <v>0</v>
      </c>
      <c r="V664" s="10" t="n">
        <f aca="false">IF($H664="숙박",0,1)</f>
        <v>1</v>
      </c>
    </row>
    <row r="665" customFormat="false" ht="15" hidden="false" customHeight="false" outlineLevel="0" collapsed="false">
      <c r="A665" s="8" t="n">
        <v>664</v>
      </c>
      <c r="B665" s="8" t="s">
        <v>45</v>
      </c>
      <c r="C665" s="8"/>
      <c r="D665" s="8" t="s">
        <v>2109</v>
      </c>
      <c r="E665" s="7" t="s">
        <v>2110</v>
      </c>
      <c r="F665" s="8"/>
      <c r="G665" s="8"/>
      <c r="H665" s="9" t="s">
        <v>594</v>
      </c>
      <c r="I665" s="9"/>
      <c r="J665" s="9"/>
      <c r="K665" s="9"/>
      <c r="L665" s="8"/>
      <c r="M665" s="8"/>
      <c r="N665" s="8" t="s">
        <v>595</v>
      </c>
      <c r="O665" s="8"/>
      <c r="P665" s="10" t="n">
        <f aca="false">IF($H665="숙박",0,IF($H665=MID(P$1,3,20),IF($I665="",1,0.6),IF($I665=MID(P$1,3,20),0.4,0)))</f>
        <v>0</v>
      </c>
      <c r="Q665" s="10" t="n">
        <f aca="false">IF($H665="숙박",0,IF($H665=MID(Q$1,3,20),IF($I665="",1,0.6),IF($I665=MID(Q$1,3,20),0.4,0)))</f>
        <v>0</v>
      </c>
      <c r="R665" s="10" t="n">
        <f aca="false">IF($H665="숙박",0,IF($H665=MID(R$1,3,20),IF($I665="",1,0.6),IF($I665=MID(R$1,3,20),0.4,0)))</f>
        <v>0</v>
      </c>
      <c r="S665" s="10" t="n">
        <f aca="false">IF($H665="숙박",0,IF($H665=MID(S$1,3,20),IF($I665="",1,0.6),IF($I665=MID(S$1,3,20),0.4,0)))</f>
        <v>0</v>
      </c>
      <c r="T665" s="10" t="n">
        <f aca="false">IF($H665="숙박",0,IF($H665=MID(T$1,3,20),IF($I665="",1,0.6),IF($I665=MID(T$1,3,20),0.4,0)))</f>
        <v>0</v>
      </c>
      <c r="U665" s="10" t="n">
        <f aca="false">IF($H665="숙박",0,IF(ISNUMBER(SEARCH("야경",$J665)),1,0))</f>
        <v>0</v>
      </c>
      <c r="V665" s="10" t="n">
        <f aca="false">IF($H665="숙박",0,1)</f>
        <v>0</v>
      </c>
    </row>
    <row r="666" customFormat="false" ht="15" hidden="false" customHeight="false" outlineLevel="0" collapsed="false">
      <c r="A666" s="8" t="n">
        <v>665</v>
      </c>
      <c r="B666" s="8" t="s">
        <v>45</v>
      </c>
      <c r="C666" s="8" t="s">
        <v>1829</v>
      </c>
      <c r="D666" s="8" t="s">
        <v>2111</v>
      </c>
      <c r="E666" s="7" t="s">
        <v>2112</v>
      </c>
      <c r="F666" s="8"/>
      <c r="G666" s="8" t="s">
        <v>184</v>
      </c>
      <c r="H666" s="9" t="s">
        <v>184</v>
      </c>
      <c r="I666" s="9"/>
      <c r="J666" s="9"/>
      <c r="K666" s="9" t="s">
        <v>191</v>
      </c>
      <c r="L666" s="8"/>
      <c r="M666" s="8"/>
      <c r="N666" s="8"/>
      <c r="O666" s="8" t="s">
        <v>2113</v>
      </c>
      <c r="P666" s="10" t="n">
        <f aca="false">IF($H666="숙박",0,IF($H666=MID(P$1,3,20),IF($I666="",1,0.6),IF($I666=MID(P$1,3,20),0.4,0)))</f>
        <v>0</v>
      </c>
      <c r="Q666" s="10" t="n">
        <f aca="false">IF($H666="숙박",0,IF($H666=MID(Q$1,3,20),IF($I666="",1,0.6),IF($I666=MID(Q$1,3,20),0.4,0)))</f>
        <v>0</v>
      </c>
      <c r="R666" s="10" t="n">
        <f aca="false">IF($H666="숙박",0,IF($H666=MID(R$1,3,20),IF($I666="",1,0.6),IF($I666=MID(R$1,3,20),0.4,0)))</f>
        <v>1</v>
      </c>
      <c r="S666" s="10" t="n">
        <f aca="false">IF($H666="숙박",0,IF($H666=MID(S$1,3,20),IF($I666="",1,0.6),IF($I666=MID(S$1,3,20),0.4,0)))</f>
        <v>0</v>
      </c>
      <c r="T666" s="10" t="n">
        <f aca="false">IF($H666="숙박",0,IF($H666=MID(T$1,3,20),IF($I666="",1,0.6),IF($I666=MID(T$1,3,20),0.4,0)))</f>
        <v>0</v>
      </c>
      <c r="U666" s="10" t="n">
        <f aca="false">IF($H666="숙박",0,IF(ISNUMBER(SEARCH("야경",$J666)),1,0))</f>
        <v>0</v>
      </c>
      <c r="V666" s="10" t="n">
        <f aca="false">IF($H666="숙박",0,1)</f>
        <v>1</v>
      </c>
    </row>
    <row r="667" customFormat="false" ht="15" hidden="false" customHeight="false" outlineLevel="0" collapsed="false">
      <c r="A667" s="8" t="n">
        <v>666</v>
      </c>
      <c r="B667" s="8" t="s">
        <v>45</v>
      </c>
      <c r="C667" s="8"/>
      <c r="D667" s="8" t="s">
        <v>2114</v>
      </c>
      <c r="E667" s="7" t="s">
        <v>2115</v>
      </c>
      <c r="F667" s="8"/>
      <c r="G667" s="8"/>
      <c r="H667" s="9" t="s">
        <v>594</v>
      </c>
      <c r="I667" s="9"/>
      <c r="J667" s="9"/>
      <c r="K667" s="9"/>
      <c r="L667" s="8"/>
      <c r="M667" s="8"/>
      <c r="N667" s="8" t="s">
        <v>595</v>
      </c>
      <c r="O667" s="8"/>
      <c r="P667" s="10" t="n">
        <f aca="false">IF($H667="숙박",0,IF($H667=MID(P$1,3,20),IF($I667="",1,0.6),IF($I667=MID(P$1,3,20),0.4,0)))</f>
        <v>0</v>
      </c>
      <c r="Q667" s="10" t="n">
        <f aca="false">IF($H667="숙박",0,IF($H667=MID(Q$1,3,20),IF($I667="",1,0.6),IF($I667=MID(Q$1,3,20),0.4,0)))</f>
        <v>0</v>
      </c>
      <c r="R667" s="10" t="n">
        <f aca="false">IF($H667="숙박",0,IF($H667=MID(R$1,3,20),IF($I667="",1,0.6),IF($I667=MID(R$1,3,20),0.4,0)))</f>
        <v>0</v>
      </c>
      <c r="S667" s="10" t="n">
        <f aca="false">IF($H667="숙박",0,IF($H667=MID(S$1,3,20),IF($I667="",1,0.6),IF($I667=MID(S$1,3,20),0.4,0)))</f>
        <v>0</v>
      </c>
      <c r="T667" s="10" t="n">
        <f aca="false">IF($H667="숙박",0,IF($H667=MID(T$1,3,20),IF($I667="",1,0.6),IF($I667=MID(T$1,3,20),0.4,0)))</f>
        <v>0</v>
      </c>
      <c r="U667" s="10" t="n">
        <f aca="false">IF($H667="숙박",0,IF(ISNUMBER(SEARCH("야경",$J667)),1,0))</f>
        <v>0</v>
      </c>
      <c r="V667" s="10" t="n">
        <f aca="false">IF($H667="숙박",0,1)</f>
        <v>0</v>
      </c>
    </row>
    <row r="668" customFormat="false" ht="15" hidden="false" customHeight="false" outlineLevel="0" collapsed="false">
      <c r="A668" s="8" t="n">
        <v>667</v>
      </c>
      <c r="B668" s="8" t="s">
        <v>45</v>
      </c>
      <c r="C668" s="8" t="s">
        <v>1829</v>
      </c>
      <c r="D668" s="8" t="s">
        <v>2116</v>
      </c>
      <c r="E668" s="7" t="s">
        <v>2117</v>
      </c>
      <c r="F668" s="8"/>
      <c r="G668" s="8" t="s">
        <v>190</v>
      </c>
      <c r="H668" s="9" t="s">
        <v>190</v>
      </c>
      <c r="I668" s="9" t="s">
        <v>49</v>
      </c>
      <c r="J668" s="9"/>
      <c r="K668" s="9" t="s">
        <v>52</v>
      </c>
      <c r="L668" s="8"/>
      <c r="M668" s="8"/>
      <c r="N668" s="8" t="s">
        <v>483</v>
      </c>
      <c r="O668" s="8" t="s">
        <v>2118</v>
      </c>
      <c r="P668" s="10" t="n">
        <f aca="false">IF($H668="숙박",0,IF($H668=MID(P$1,3,20),IF($I668="",1,0.6),IF($I668=MID(P$1,3,20),0.4,0)))</f>
        <v>0.6</v>
      </c>
      <c r="Q668" s="10" t="n">
        <f aca="false">IF($H668="숙박",0,IF($H668=MID(Q$1,3,20),IF($I668="",1,0.6),IF($I668=MID(Q$1,3,20),0.4,0)))</f>
        <v>0.4</v>
      </c>
      <c r="R668" s="10" t="n">
        <f aca="false">IF($H668="숙박",0,IF($H668=MID(R$1,3,20),IF($I668="",1,0.6),IF($I668=MID(R$1,3,20),0.4,0)))</f>
        <v>0</v>
      </c>
      <c r="S668" s="10" t="n">
        <f aca="false">IF($H668="숙박",0,IF($H668=MID(S$1,3,20),IF($I668="",1,0.6),IF($I668=MID(S$1,3,20),0.4,0)))</f>
        <v>0</v>
      </c>
      <c r="T668" s="10" t="n">
        <f aca="false">IF($H668="숙박",0,IF($H668=MID(T$1,3,20),IF($I668="",1,0.6),IF($I668=MID(T$1,3,20),0.4,0)))</f>
        <v>0</v>
      </c>
      <c r="U668" s="10" t="n">
        <f aca="false">IF($H668="숙박",0,IF(ISNUMBER(SEARCH("야경",$J668)),1,0))</f>
        <v>0</v>
      </c>
      <c r="V668" s="10" t="n">
        <f aca="false">IF($H668="숙박",0,1)</f>
        <v>1</v>
      </c>
    </row>
    <row r="669" customFormat="false" ht="15" hidden="false" customHeight="false" outlineLevel="0" collapsed="false">
      <c r="A669" s="8" t="n">
        <v>668</v>
      </c>
      <c r="B669" s="8" t="s">
        <v>45</v>
      </c>
      <c r="C669" s="8" t="s">
        <v>380</v>
      </c>
      <c r="D669" s="8" t="s">
        <v>2119</v>
      </c>
      <c r="E669" s="7" t="s">
        <v>2120</v>
      </c>
      <c r="F669" s="8"/>
      <c r="G669" s="8" t="s">
        <v>184</v>
      </c>
      <c r="H669" s="9" t="s">
        <v>184</v>
      </c>
      <c r="I669" s="9" t="s">
        <v>216</v>
      </c>
      <c r="J669" s="9"/>
      <c r="K669" s="9" t="s">
        <v>52</v>
      </c>
      <c r="L669" s="8"/>
      <c r="M669" s="8"/>
      <c r="N669" s="8" t="s">
        <v>483</v>
      </c>
      <c r="O669" s="8" t="s">
        <v>2121</v>
      </c>
      <c r="P669" s="10" t="n">
        <f aca="false">IF($H669="숙박",0,IF($H669=MID(P$1,3,20),IF($I669="",1,0.6),IF($I669=MID(P$1,3,20),0.4,0)))</f>
        <v>0</v>
      </c>
      <c r="Q669" s="10" t="n">
        <f aca="false">IF($H669="숙박",0,IF($H669=MID(Q$1,3,20),IF($I669="",1,0.6),IF($I669=MID(Q$1,3,20),0.4,0)))</f>
        <v>0</v>
      </c>
      <c r="R669" s="10" t="n">
        <f aca="false">IF($H669="숙박",0,IF($H669=MID(R$1,3,20),IF($I669="",1,0.6),IF($I669=MID(R$1,3,20),0.4,0)))</f>
        <v>0.6</v>
      </c>
      <c r="S669" s="10" t="n">
        <f aca="false">IF($H669="숙박",0,IF($H669=MID(S$1,3,20),IF($I669="",1,0.6),IF($I669=MID(S$1,3,20),0.4,0)))</f>
        <v>0.4</v>
      </c>
      <c r="T669" s="10" t="n">
        <f aca="false">IF($H669="숙박",0,IF($H669=MID(T$1,3,20),IF($I669="",1,0.6),IF($I669=MID(T$1,3,20),0.4,0)))</f>
        <v>0</v>
      </c>
      <c r="U669" s="10" t="n">
        <f aca="false">IF($H669="숙박",0,IF(ISNUMBER(SEARCH("야경",$J669)),1,0))</f>
        <v>0</v>
      </c>
      <c r="V669" s="10" t="n">
        <f aca="false">IF($H669="숙박",0,1)</f>
        <v>1</v>
      </c>
    </row>
    <row r="670" customFormat="false" ht="15" hidden="false" customHeight="false" outlineLevel="0" collapsed="false">
      <c r="A670" s="8" t="n">
        <v>669</v>
      </c>
      <c r="B670" s="8" t="s">
        <v>45</v>
      </c>
      <c r="C670" s="8" t="s">
        <v>342</v>
      </c>
      <c r="D670" s="8" t="s">
        <v>2122</v>
      </c>
      <c r="E670" s="7" t="s">
        <v>2123</v>
      </c>
      <c r="F670" s="8"/>
      <c r="G670" s="8" t="s">
        <v>184</v>
      </c>
      <c r="H670" s="9" t="s">
        <v>184</v>
      </c>
      <c r="I670" s="9"/>
      <c r="J670" s="9" t="s">
        <v>1361</v>
      </c>
      <c r="K670" s="9" t="s">
        <v>191</v>
      </c>
      <c r="L670" s="8"/>
      <c r="M670" s="8"/>
      <c r="N670" s="8"/>
      <c r="O670" s="8" t="s">
        <v>2124</v>
      </c>
      <c r="P670" s="10" t="n">
        <f aca="false">IF($H670="숙박",0,IF($H670=MID(P$1,3,20),IF($I670="",1,0.6),IF($I670=MID(P$1,3,20),0.4,0)))</f>
        <v>0</v>
      </c>
      <c r="Q670" s="10" t="n">
        <f aca="false">IF($H670="숙박",0,IF($H670=MID(Q$1,3,20),IF($I670="",1,0.6),IF($I670=MID(Q$1,3,20),0.4,0)))</f>
        <v>0</v>
      </c>
      <c r="R670" s="10" t="n">
        <f aca="false">IF($H670="숙박",0,IF($H670=MID(R$1,3,20),IF($I670="",1,0.6),IF($I670=MID(R$1,3,20),0.4,0)))</f>
        <v>1</v>
      </c>
      <c r="S670" s="10" t="n">
        <f aca="false">IF($H670="숙박",0,IF($H670=MID(S$1,3,20),IF($I670="",1,0.6),IF($I670=MID(S$1,3,20),0.4,0)))</f>
        <v>0</v>
      </c>
      <c r="T670" s="10" t="n">
        <f aca="false">IF($H670="숙박",0,IF($H670=MID(T$1,3,20),IF($I670="",1,0.6),IF($I670=MID(T$1,3,20),0.4,0)))</f>
        <v>0</v>
      </c>
      <c r="U670" s="10" t="n">
        <f aca="false">IF($H670="숙박",0,IF(ISNUMBER(SEARCH("야경",$J670)),1,0))</f>
        <v>0</v>
      </c>
      <c r="V670" s="10" t="n">
        <f aca="false">IF($H670="숙박",0,1)</f>
        <v>1</v>
      </c>
    </row>
    <row r="671" customFormat="false" ht="15" hidden="false" customHeight="false" outlineLevel="0" collapsed="false">
      <c r="A671" s="8" t="n">
        <v>670</v>
      </c>
      <c r="B671" s="8" t="s">
        <v>45</v>
      </c>
      <c r="C671" s="8" t="s">
        <v>1512</v>
      </c>
      <c r="D671" s="8" t="s">
        <v>2125</v>
      </c>
      <c r="E671" s="7" t="s">
        <v>2126</v>
      </c>
      <c r="F671" s="8"/>
      <c r="G671" s="8" t="s">
        <v>190</v>
      </c>
      <c r="H671" s="9" t="s">
        <v>190</v>
      </c>
      <c r="I671" s="9"/>
      <c r="J671" s="9"/>
      <c r="K671" s="9" t="s">
        <v>52</v>
      </c>
      <c r="L671" s="8"/>
      <c r="M671" s="8"/>
      <c r="N671" s="8"/>
      <c r="O671" s="8" t="s">
        <v>2127</v>
      </c>
      <c r="P671" s="10" t="n">
        <f aca="false">IF($H671="숙박",0,IF($H671=MID(P$1,3,20),IF($I671="",1,0.6),IF($I671=MID(P$1,3,20),0.4,0)))</f>
        <v>1</v>
      </c>
      <c r="Q671" s="10" t="n">
        <f aca="false">IF($H671="숙박",0,IF($H671=MID(Q$1,3,20),IF($I671="",1,0.6),IF($I671=MID(Q$1,3,20),0.4,0)))</f>
        <v>0</v>
      </c>
      <c r="R671" s="10" t="n">
        <f aca="false">IF($H671="숙박",0,IF($H671=MID(R$1,3,20),IF($I671="",1,0.6),IF($I671=MID(R$1,3,20),0.4,0)))</f>
        <v>0</v>
      </c>
      <c r="S671" s="10" t="n">
        <f aca="false">IF($H671="숙박",0,IF($H671=MID(S$1,3,20),IF($I671="",1,0.6),IF($I671=MID(S$1,3,20),0.4,0)))</f>
        <v>0</v>
      </c>
      <c r="T671" s="10" t="n">
        <f aca="false">IF($H671="숙박",0,IF($H671=MID(T$1,3,20),IF($I671="",1,0.6),IF($I671=MID(T$1,3,20),0.4,0)))</f>
        <v>0</v>
      </c>
      <c r="U671" s="10" t="n">
        <f aca="false">IF($H671="숙박",0,IF(ISNUMBER(SEARCH("야경",$J671)),1,0))</f>
        <v>0</v>
      </c>
      <c r="V671" s="10" t="n">
        <f aca="false">IF($H671="숙박",0,1)</f>
        <v>1</v>
      </c>
    </row>
    <row r="672" customFormat="false" ht="15" hidden="false" customHeight="false" outlineLevel="0" collapsed="false">
      <c r="A672" s="8" t="n">
        <v>671</v>
      </c>
      <c r="B672" s="8" t="s">
        <v>45</v>
      </c>
      <c r="C672" s="8"/>
      <c r="D672" s="8" t="s">
        <v>2128</v>
      </c>
      <c r="E672" s="7" t="s">
        <v>2129</v>
      </c>
      <c r="F672" s="8"/>
      <c r="G672" s="8"/>
      <c r="H672" s="9" t="s">
        <v>594</v>
      </c>
      <c r="I672" s="9"/>
      <c r="J672" s="9"/>
      <c r="K672" s="9"/>
      <c r="L672" s="8"/>
      <c r="M672" s="8"/>
      <c r="N672" s="8" t="s">
        <v>595</v>
      </c>
      <c r="O672" s="8"/>
      <c r="P672" s="10" t="n">
        <f aca="false">IF($H672="숙박",0,IF($H672=MID(P$1,3,20),IF($I672="",1,0.6),IF($I672=MID(P$1,3,20),0.4,0)))</f>
        <v>0</v>
      </c>
      <c r="Q672" s="10" t="n">
        <f aca="false">IF($H672="숙박",0,IF($H672=MID(Q$1,3,20),IF($I672="",1,0.6),IF($I672=MID(Q$1,3,20),0.4,0)))</f>
        <v>0</v>
      </c>
      <c r="R672" s="10" t="n">
        <f aca="false">IF($H672="숙박",0,IF($H672=MID(R$1,3,20),IF($I672="",1,0.6),IF($I672=MID(R$1,3,20),0.4,0)))</f>
        <v>0</v>
      </c>
      <c r="S672" s="10" t="n">
        <f aca="false">IF($H672="숙박",0,IF($H672=MID(S$1,3,20),IF($I672="",1,0.6),IF($I672=MID(S$1,3,20),0.4,0)))</f>
        <v>0</v>
      </c>
      <c r="T672" s="10" t="n">
        <f aca="false">IF($H672="숙박",0,IF($H672=MID(T$1,3,20),IF($I672="",1,0.6),IF($I672=MID(T$1,3,20),0.4,0)))</f>
        <v>0</v>
      </c>
      <c r="U672" s="10" t="n">
        <f aca="false">IF($H672="숙박",0,IF(ISNUMBER(SEARCH("야경",$J672)),1,0))</f>
        <v>0</v>
      </c>
      <c r="V672" s="10" t="n">
        <f aca="false">IF($H672="숙박",0,1)</f>
        <v>0</v>
      </c>
    </row>
    <row r="673" customFormat="false" ht="15" hidden="false" customHeight="false" outlineLevel="0" collapsed="false">
      <c r="A673" s="8" t="n">
        <v>672</v>
      </c>
      <c r="B673" s="8" t="s">
        <v>45</v>
      </c>
      <c r="C673" s="8" t="s">
        <v>1986</v>
      </c>
      <c r="D673" s="8" t="s">
        <v>2130</v>
      </c>
      <c r="E673" s="7" t="s">
        <v>2131</v>
      </c>
      <c r="F673" s="8"/>
      <c r="G673" s="8" t="s">
        <v>49</v>
      </c>
      <c r="H673" s="9" t="s">
        <v>49</v>
      </c>
      <c r="I673" s="9"/>
      <c r="J673" s="9"/>
      <c r="K673" s="9" t="s">
        <v>52</v>
      </c>
      <c r="L673" s="8"/>
      <c r="M673" s="8"/>
      <c r="N673" s="8"/>
      <c r="O673" s="8" t="s">
        <v>2132</v>
      </c>
      <c r="P673" s="10" t="n">
        <f aca="false">IF($H673="숙박",0,IF($H673=MID(P$1,3,20),IF($I673="",1,0.6),IF($I673=MID(P$1,3,20),0.4,0)))</f>
        <v>0</v>
      </c>
      <c r="Q673" s="10" t="n">
        <f aca="false">IF($H673="숙박",0,IF($H673=MID(Q$1,3,20),IF($I673="",1,0.6),IF($I673=MID(Q$1,3,20),0.4,0)))</f>
        <v>1</v>
      </c>
      <c r="R673" s="10" t="n">
        <f aca="false">IF($H673="숙박",0,IF($H673=MID(R$1,3,20),IF($I673="",1,0.6),IF($I673=MID(R$1,3,20),0.4,0)))</f>
        <v>0</v>
      </c>
      <c r="S673" s="10" t="n">
        <f aca="false">IF($H673="숙박",0,IF($H673=MID(S$1,3,20),IF($I673="",1,0.6),IF($I673=MID(S$1,3,20),0.4,0)))</f>
        <v>0</v>
      </c>
      <c r="T673" s="10" t="n">
        <f aca="false">IF($H673="숙박",0,IF($H673=MID(T$1,3,20),IF($I673="",1,0.6),IF($I673=MID(T$1,3,20),0.4,0)))</f>
        <v>0</v>
      </c>
      <c r="U673" s="10" t="n">
        <f aca="false">IF($H673="숙박",0,IF(ISNUMBER(SEARCH("야경",$J673)),1,0))</f>
        <v>0</v>
      </c>
      <c r="V673" s="10" t="n">
        <f aca="false">IF($H673="숙박",0,1)</f>
        <v>1</v>
      </c>
    </row>
    <row r="674" customFormat="false" ht="15" hidden="false" customHeight="false" outlineLevel="0" collapsed="false">
      <c r="A674" s="8" t="n">
        <v>673</v>
      </c>
      <c r="B674" s="8" t="s">
        <v>45</v>
      </c>
      <c r="C674" s="8" t="s">
        <v>2133</v>
      </c>
      <c r="D674" s="8" t="s">
        <v>2134</v>
      </c>
      <c r="E674" s="7" t="s">
        <v>2135</v>
      </c>
      <c r="F674" s="8"/>
      <c r="G674" s="8" t="s">
        <v>184</v>
      </c>
      <c r="H674" s="9" t="s">
        <v>184</v>
      </c>
      <c r="I674" s="9"/>
      <c r="J674" s="9" t="s">
        <v>1361</v>
      </c>
      <c r="K674" s="9" t="s">
        <v>209</v>
      </c>
      <c r="L674" s="8"/>
      <c r="M674" s="8"/>
      <c r="N674" s="8"/>
      <c r="O674" s="8" t="s">
        <v>2136</v>
      </c>
      <c r="P674" s="10" t="n">
        <f aca="false">IF($H674="숙박",0,IF($H674=MID(P$1,3,20),IF($I674="",1,0.6),IF($I674=MID(P$1,3,20),0.4,0)))</f>
        <v>0</v>
      </c>
      <c r="Q674" s="10" t="n">
        <f aca="false">IF($H674="숙박",0,IF($H674=MID(Q$1,3,20),IF($I674="",1,0.6),IF($I674=MID(Q$1,3,20),0.4,0)))</f>
        <v>0</v>
      </c>
      <c r="R674" s="10" t="n">
        <f aca="false">IF($H674="숙박",0,IF($H674=MID(R$1,3,20),IF($I674="",1,0.6),IF($I674=MID(R$1,3,20),0.4,0)))</f>
        <v>1</v>
      </c>
      <c r="S674" s="10" t="n">
        <f aca="false">IF($H674="숙박",0,IF($H674=MID(S$1,3,20),IF($I674="",1,0.6),IF($I674=MID(S$1,3,20),0.4,0)))</f>
        <v>0</v>
      </c>
      <c r="T674" s="10" t="n">
        <f aca="false">IF($H674="숙박",0,IF($H674=MID(T$1,3,20),IF($I674="",1,0.6),IF($I674=MID(T$1,3,20),0.4,0)))</f>
        <v>0</v>
      </c>
      <c r="U674" s="10" t="n">
        <f aca="false">IF($H674="숙박",0,IF(ISNUMBER(SEARCH("야경",$J674)),1,0))</f>
        <v>0</v>
      </c>
      <c r="V674" s="10" t="n">
        <f aca="false">IF($H674="숙박",0,1)</f>
        <v>1</v>
      </c>
    </row>
    <row r="675" customFormat="false" ht="15" hidden="false" customHeight="false" outlineLevel="0" collapsed="false">
      <c r="A675" s="8" t="n">
        <v>674</v>
      </c>
      <c r="B675" s="8" t="s">
        <v>45</v>
      </c>
      <c r="C675" s="8" t="s">
        <v>1512</v>
      </c>
      <c r="D675" s="8" t="s">
        <v>2137</v>
      </c>
      <c r="E675" s="7" t="s">
        <v>2138</v>
      </c>
      <c r="F675" s="8"/>
      <c r="G675" s="8" t="s">
        <v>49</v>
      </c>
      <c r="H675" s="9" t="s">
        <v>49</v>
      </c>
      <c r="I675" s="9"/>
      <c r="J675" s="9"/>
      <c r="K675" s="9" t="s">
        <v>52</v>
      </c>
      <c r="L675" s="8"/>
      <c r="M675" s="8"/>
      <c r="N675" s="8"/>
      <c r="O675" s="8" t="s">
        <v>2139</v>
      </c>
      <c r="P675" s="10" t="n">
        <f aca="false">IF($H675="숙박",0,IF($H675=MID(P$1,3,20),IF($I675="",1,0.6),IF($I675=MID(P$1,3,20),0.4,0)))</f>
        <v>0</v>
      </c>
      <c r="Q675" s="10" t="n">
        <f aca="false">IF($H675="숙박",0,IF($H675=MID(Q$1,3,20),IF($I675="",1,0.6),IF($I675=MID(Q$1,3,20),0.4,0)))</f>
        <v>1</v>
      </c>
      <c r="R675" s="10" t="n">
        <f aca="false">IF($H675="숙박",0,IF($H675=MID(R$1,3,20),IF($I675="",1,0.6),IF($I675=MID(R$1,3,20),0.4,0)))</f>
        <v>0</v>
      </c>
      <c r="S675" s="10" t="n">
        <f aca="false">IF($H675="숙박",0,IF($H675=MID(S$1,3,20),IF($I675="",1,0.6),IF($I675=MID(S$1,3,20),0.4,0)))</f>
        <v>0</v>
      </c>
      <c r="T675" s="10" t="n">
        <f aca="false">IF($H675="숙박",0,IF($H675=MID(T$1,3,20),IF($I675="",1,0.6),IF($I675=MID(T$1,3,20),0.4,0)))</f>
        <v>0</v>
      </c>
      <c r="U675" s="10" t="n">
        <f aca="false">IF($H675="숙박",0,IF(ISNUMBER(SEARCH("야경",$J675)),1,0))</f>
        <v>0</v>
      </c>
      <c r="V675" s="10" t="n">
        <f aca="false">IF($H675="숙박",0,1)</f>
        <v>1</v>
      </c>
    </row>
    <row r="676" customFormat="false" ht="15" hidden="false" customHeight="false" outlineLevel="0" collapsed="false">
      <c r="A676" s="8" t="n">
        <v>675</v>
      </c>
      <c r="B676" s="8" t="s">
        <v>45</v>
      </c>
      <c r="C676" s="8" t="s">
        <v>966</v>
      </c>
      <c r="D676" s="8" t="s">
        <v>2140</v>
      </c>
      <c r="E676" s="7" t="s">
        <v>2141</v>
      </c>
      <c r="F676" s="8"/>
      <c r="G676" s="8" t="s">
        <v>190</v>
      </c>
      <c r="H676" s="9" t="s">
        <v>190</v>
      </c>
      <c r="I676" s="9"/>
      <c r="J676" s="9"/>
      <c r="K676" s="9" t="s">
        <v>191</v>
      </c>
      <c r="L676" s="8"/>
      <c r="M676" s="8"/>
      <c r="N676" s="8"/>
      <c r="O676" s="8" t="s">
        <v>2142</v>
      </c>
      <c r="P676" s="10" t="n">
        <f aca="false">IF($H676="숙박",0,IF($H676=MID(P$1,3,20),IF($I676="",1,0.6),IF($I676=MID(P$1,3,20),0.4,0)))</f>
        <v>1</v>
      </c>
      <c r="Q676" s="10" t="n">
        <f aca="false">IF($H676="숙박",0,IF($H676=MID(Q$1,3,20),IF($I676="",1,0.6),IF($I676=MID(Q$1,3,20),0.4,0)))</f>
        <v>0</v>
      </c>
      <c r="R676" s="10" t="n">
        <f aca="false">IF($H676="숙박",0,IF($H676=MID(R$1,3,20),IF($I676="",1,0.6),IF($I676=MID(R$1,3,20),0.4,0)))</f>
        <v>0</v>
      </c>
      <c r="S676" s="10" t="n">
        <f aca="false">IF($H676="숙박",0,IF($H676=MID(S$1,3,20),IF($I676="",1,0.6),IF($I676=MID(S$1,3,20),0.4,0)))</f>
        <v>0</v>
      </c>
      <c r="T676" s="10" t="n">
        <f aca="false">IF($H676="숙박",0,IF($H676=MID(T$1,3,20),IF($I676="",1,0.6),IF($I676=MID(T$1,3,20),0.4,0)))</f>
        <v>0</v>
      </c>
      <c r="U676" s="10" t="n">
        <f aca="false">IF($H676="숙박",0,IF(ISNUMBER(SEARCH("야경",$J676)),1,0))</f>
        <v>0</v>
      </c>
      <c r="V676" s="10" t="n">
        <f aca="false">IF($H676="숙박",0,1)</f>
        <v>1</v>
      </c>
    </row>
    <row r="677" customFormat="false" ht="15" hidden="false" customHeight="false" outlineLevel="0" collapsed="false">
      <c r="A677" s="8" t="n">
        <v>676</v>
      </c>
      <c r="B677" s="8" t="s">
        <v>45</v>
      </c>
      <c r="C677" s="8" t="s">
        <v>1678</v>
      </c>
      <c r="D677" s="8" t="s">
        <v>2143</v>
      </c>
      <c r="E677" s="7" t="s">
        <v>2144</v>
      </c>
      <c r="F677" s="8"/>
      <c r="G677" s="8" t="s">
        <v>190</v>
      </c>
      <c r="H677" s="9" t="s">
        <v>190</v>
      </c>
      <c r="I677" s="9"/>
      <c r="J677" s="9"/>
      <c r="K677" s="9" t="s">
        <v>191</v>
      </c>
      <c r="L677" s="8"/>
      <c r="M677" s="8"/>
      <c r="N677" s="8"/>
      <c r="O677" s="8" t="s">
        <v>2145</v>
      </c>
      <c r="P677" s="10" t="n">
        <f aca="false">IF($H677="숙박",0,IF($H677=MID(P$1,3,20),IF($I677="",1,0.6),IF($I677=MID(P$1,3,20),0.4,0)))</f>
        <v>1</v>
      </c>
      <c r="Q677" s="10" t="n">
        <f aca="false">IF($H677="숙박",0,IF($H677=MID(Q$1,3,20),IF($I677="",1,0.6),IF($I677=MID(Q$1,3,20),0.4,0)))</f>
        <v>0</v>
      </c>
      <c r="R677" s="10" t="n">
        <f aca="false">IF($H677="숙박",0,IF($H677=MID(R$1,3,20),IF($I677="",1,0.6),IF($I677=MID(R$1,3,20),0.4,0)))</f>
        <v>0</v>
      </c>
      <c r="S677" s="10" t="n">
        <f aca="false">IF($H677="숙박",0,IF($H677=MID(S$1,3,20),IF($I677="",1,0.6),IF($I677=MID(S$1,3,20),0.4,0)))</f>
        <v>0</v>
      </c>
      <c r="T677" s="10" t="n">
        <f aca="false">IF($H677="숙박",0,IF($H677=MID(T$1,3,20),IF($I677="",1,0.6),IF($I677=MID(T$1,3,20),0.4,0)))</f>
        <v>0</v>
      </c>
      <c r="U677" s="10" t="n">
        <f aca="false">IF($H677="숙박",0,IF(ISNUMBER(SEARCH("야경",$J677)),1,0))</f>
        <v>0</v>
      </c>
      <c r="V677" s="10" t="n">
        <f aca="false">IF($H677="숙박",0,1)</f>
        <v>1</v>
      </c>
    </row>
    <row r="678" customFormat="false" ht="15" hidden="false" customHeight="false" outlineLevel="0" collapsed="false">
      <c r="A678" s="8" t="n">
        <v>677</v>
      </c>
      <c r="B678" s="8" t="s">
        <v>45</v>
      </c>
      <c r="C678" s="8" t="s">
        <v>331</v>
      </c>
      <c r="D678" s="8" t="s">
        <v>2146</v>
      </c>
      <c r="E678" s="7" t="s">
        <v>2147</v>
      </c>
      <c r="F678" s="8"/>
      <c r="G678" s="8" t="s">
        <v>216</v>
      </c>
      <c r="H678" s="9" t="s">
        <v>216</v>
      </c>
      <c r="I678" s="9" t="s">
        <v>50</v>
      </c>
      <c r="J678" s="9" t="s">
        <v>168</v>
      </c>
      <c r="K678" s="9" t="s">
        <v>191</v>
      </c>
      <c r="L678" s="8"/>
      <c r="M678" s="8"/>
      <c r="N678" s="8" t="s">
        <v>185</v>
      </c>
      <c r="O678" s="8" t="s">
        <v>2148</v>
      </c>
      <c r="P678" s="10" t="n">
        <f aca="false">IF($H678="숙박",0,IF($H678=MID(P$1,3,20),IF($I678="",1,0.6),IF($I678=MID(P$1,3,20),0.4,0)))</f>
        <v>0</v>
      </c>
      <c r="Q678" s="10" t="n">
        <f aca="false">IF($H678="숙박",0,IF($H678=MID(Q$1,3,20),IF($I678="",1,0.6),IF($I678=MID(Q$1,3,20),0.4,0)))</f>
        <v>0</v>
      </c>
      <c r="R678" s="10" t="n">
        <f aca="false">IF($H678="숙박",0,IF($H678=MID(R$1,3,20),IF($I678="",1,0.6),IF($I678=MID(R$1,3,20),0.4,0)))</f>
        <v>0</v>
      </c>
      <c r="S678" s="10" t="n">
        <f aca="false">IF($H678="숙박",0,IF($H678=MID(S$1,3,20),IF($I678="",1,0.6),IF($I678=MID(S$1,3,20),0.4,0)))</f>
        <v>0.6</v>
      </c>
      <c r="T678" s="10" t="n">
        <f aca="false">IF($H678="숙박",0,IF($H678=MID(T$1,3,20),IF($I678="",1,0.6),IF($I678=MID(T$1,3,20),0.4,0)))</f>
        <v>0.4</v>
      </c>
      <c r="U678" s="10" t="n">
        <f aca="false">IF($H678="숙박",0,IF(ISNUMBER(SEARCH("야경",$J678)),1,0))</f>
        <v>0</v>
      </c>
      <c r="V678" s="10" t="n">
        <f aca="false">IF($H678="숙박",0,1)</f>
        <v>1</v>
      </c>
    </row>
    <row r="679" customFormat="false" ht="15" hidden="false" customHeight="false" outlineLevel="0" collapsed="false">
      <c r="A679" s="8" t="n">
        <v>678</v>
      </c>
      <c r="B679" s="8" t="s">
        <v>45</v>
      </c>
      <c r="C679" s="8" t="s">
        <v>401</v>
      </c>
      <c r="D679" s="8" t="s">
        <v>2149</v>
      </c>
      <c r="E679" s="7" t="s">
        <v>2150</v>
      </c>
      <c r="F679" s="8"/>
      <c r="G679" s="8" t="s">
        <v>190</v>
      </c>
      <c r="H679" s="9" t="s">
        <v>190</v>
      </c>
      <c r="I679" s="9"/>
      <c r="J679" s="9"/>
      <c r="K679" s="9" t="s">
        <v>191</v>
      </c>
      <c r="L679" s="8"/>
      <c r="M679" s="8"/>
      <c r="N679" s="8"/>
      <c r="O679" s="8" t="s">
        <v>2151</v>
      </c>
      <c r="P679" s="10" t="n">
        <f aca="false">IF($H679="숙박",0,IF($H679=MID(P$1,3,20),IF($I679="",1,0.6),IF($I679=MID(P$1,3,20),0.4,0)))</f>
        <v>1</v>
      </c>
      <c r="Q679" s="10" t="n">
        <f aca="false">IF($H679="숙박",0,IF($H679=MID(Q$1,3,20),IF($I679="",1,0.6),IF($I679=MID(Q$1,3,20),0.4,0)))</f>
        <v>0</v>
      </c>
      <c r="R679" s="10" t="n">
        <f aca="false">IF($H679="숙박",0,IF($H679=MID(R$1,3,20),IF($I679="",1,0.6),IF($I679=MID(R$1,3,20),0.4,0)))</f>
        <v>0</v>
      </c>
      <c r="S679" s="10" t="n">
        <f aca="false">IF($H679="숙박",0,IF($H679=MID(S$1,3,20),IF($I679="",1,0.6),IF($I679=MID(S$1,3,20),0.4,0)))</f>
        <v>0</v>
      </c>
      <c r="T679" s="10" t="n">
        <f aca="false">IF($H679="숙박",0,IF($H679=MID(T$1,3,20),IF($I679="",1,0.6),IF($I679=MID(T$1,3,20),0.4,0)))</f>
        <v>0</v>
      </c>
      <c r="U679" s="10" t="n">
        <f aca="false">IF($H679="숙박",0,IF(ISNUMBER(SEARCH("야경",$J679)),1,0))</f>
        <v>0</v>
      </c>
      <c r="V679" s="10" t="n">
        <f aca="false">IF($H679="숙박",0,1)</f>
        <v>1</v>
      </c>
    </row>
    <row r="680" customFormat="false" ht="15" hidden="false" customHeight="false" outlineLevel="0" collapsed="false">
      <c r="A680" s="8" t="n">
        <v>679</v>
      </c>
      <c r="B680" s="8" t="s">
        <v>45</v>
      </c>
      <c r="C680" s="8" t="s">
        <v>788</v>
      </c>
      <c r="D680" s="8" t="s">
        <v>2152</v>
      </c>
      <c r="E680" s="7" t="s">
        <v>2153</v>
      </c>
      <c r="F680" s="8"/>
      <c r="G680" s="8" t="s">
        <v>49</v>
      </c>
      <c r="H680" s="9" t="s">
        <v>49</v>
      </c>
      <c r="I680" s="9"/>
      <c r="J680" s="9"/>
      <c r="K680" s="9" t="s">
        <v>52</v>
      </c>
      <c r="L680" s="8"/>
      <c r="M680" s="8"/>
      <c r="N680" s="8"/>
      <c r="O680" s="8" t="s">
        <v>2154</v>
      </c>
      <c r="P680" s="10" t="n">
        <f aca="false">IF($H680="숙박",0,IF($H680=MID(P$1,3,20),IF($I680="",1,0.6),IF($I680=MID(P$1,3,20),0.4,0)))</f>
        <v>0</v>
      </c>
      <c r="Q680" s="10" t="n">
        <f aca="false">IF($H680="숙박",0,IF($H680=MID(Q$1,3,20),IF($I680="",1,0.6),IF($I680=MID(Q$1,3,20),0.4,0)))</f>
        <v>1</v>
      </c>
      <c r="R680" s="10" t="n">
        <f aca="false">IF($H680="숙박",0,IF($H680=MID(R$1,3,20),IF($I680="",1,0.6),IF($I680=MID(R$1,3,20),0.4,0)))</f>
        <v>0</v>
      </c>
      <c r="S680" s="10" t="n">
        <f aca="false">IF($H680="숙박",0,IF($H680=MID(S$1,3,20),IF($I680="",1,0.6),IF($I680=MID(S$1,3,20),0.4,0)))</f>
        <v>0</v>
      </c>
      <c r="T680" s="10" t="n">
        <f aca="false">IF($H680="숙박",0,IF($H680=MID(T$1,3,20),IF($I680="",1,0.6),IF($I680=MID(T$1,3,20),0.4,0)))</f>
        <v>0</v>
      </c>
      <c r="U680" s="10" t="n">
        <f aca="false">IF($H680="숙박",0,IF(ISNUMBER(SEARCH("야경",$J680)),1,0))</f>
        <v>0</v>
      </c>
      <c r="V680" s="10" t="n">
        <f aca="false">IF($H680="숙박",0,1)</f>
        <v>1</v>
      </c>
    </row>
    <row r="681" customFormat="false" ht="15" hidden="false" customHeight="false" outlineLevel="0" collapsed="false">
      <c r="A681" s="8" t="n">
        <v>680</v>
      </c>
      <c r="B681" s="8" t="s">
        <v>45</v>
      </c>
      <c r="C681" s="8"/>
      <c r="D681" s="8" t="s">
        <v>2155</v>
      </c>
      <c r="E681" s="7" t="s">
        <v>2156</v>
      </c>
      <c r="F681" s="8"/>
      <c r="G681" s="8"/>
      <c r="H681" s="9" t="s">
        <v>594</v>
      </c>
      <c r="I681" s="9"/>
      <c r="J681" s="9"/>
      <c r="K681" s="9"/>
      <c r="L681" s="8"/>
      <c r="M681" s="8"/>
      <c r="N681" s="8" t="s">
        <v>595</v>
      </c>
      <c r="O681" s="8"/>
      <c r="P681" s="10" t="n">
        <f aca="false">IF($H681="숙박",0,IF($H681=MID(P$1,3,20),IF($I681="",1,0.6),IF($I681=MID(P$1,3,20),0.4,0)))</f>
        <v>0</v>
      </c>
      <c r="Q681" s="10" t="n">
        <f aca="false">IF($H681="숙박",0,IF($H681=MID(Q$1,3,20),IF($I681="",1,0.6),IF($I681=MID(Q$1,3,20),0.4,0)))</f>
        <v>0</v>
      </c>
      <c r="R681" s="10" t="n">
        <f aca="false">IF($H681="숙박",0,IF($H681=MID(R$1,3,20),IF($I681="",1,0.6),IF($I681=MID(R$1,3,20),0.4,0)))</f>
        <v>0</v>
      </c>
      <c r="S681" s="10" t="n">
        <f aca="false">IF($H681="숙박",0,IF($H681=MID(S$1,3,20),IF($I681="",1,0.6),IF($I681=MID(S$1,3,20),0.4,0)))</f>
        <v>0</v>
      </c>
      <c r="T681" s="10" t="n">
        <f aca="false">IF($H681="숙박",0,IF($H681=MID(T$1,3,20),IF($I681="",1,0.6),IF($I681=MID(T$1,3,20),0.4,0)))</f>
        <v>0</v>
      </c>
      <c r="U681" s="10" t="n">
        <f aca="false">IF($H681="숙박",0,IF(ISNUMBER(SEARCH("야경",$J681)),1,0))</f>
        <v>0</v>
      </c>
      <c r="V681" s="10" t="n">
        <f aca="false">IF($H681="숙박",0,1)</f>
        <v>0</v>
      </c>
    </row>
    <row r="682" customFormat="false" ht="15" hidden="false" customHeight="false" outlineLevel="0" collapsed="false">
      <c r="A682" s="8" t="n">
        <v>681</v>
      </c>
      <c r="B682" s="8" t="s">
        <v>45</v>
      </c>
      <c r="C682" s="8" t="s">
        <v>384</v>
      </c>
      <c r="D682" s="8" t="s">
        <v>2157</v>
      </c>
      <c r="E682" s="7" t="s">
        <v>2158</v>
      </c>
      <c r="F682" s="8"/>
      <c r="G682" s="8" t="s">
        <v>49</v>
      </c>
      <c r="H682" s="9" t="s">
        <v>49</v>
      </c>
      <c r="I682" s="9" t="s">
        <v>190</v>
      </c>
      <c r="J682" s="9"/>
      <c r="K682" s="9" t="s">
        <v>52</v>
      </c>
      <c r="L682" s="8"/>
      <c r="M682" s="8"/>
      <c r="N682" s="8" t="s">
        <v>483</v>
      </c>
      <c r="O682" s="8" t="s">
        <v>2159</v>
      </c>
      <c r="P682" s="10" t="n">
        <f aca="false">IF($H682="숙박",0,IF($H682=MID(P$1,3,20),IF($I682="",1,0.6),IF($I682=MID(P$1,3,20),0.4,0)))</f>
        <v>0.4</v>
      </c>
      <c r="Q682" s="10" t="n">
        <f aca="false">IF($H682="숙박",0,IF($H682=MID(Q$1,3,20),IF($I682="",1,0.6),IF($I682=MID(Q$1,3,20),0.4,0)))</f>
        <v>0.6</v>
      </c>
      <c r="R682" s="10" t="n">
        <f aca="false">IF($H682="숙박",0,IF($H682=MID(R$1,3,20),IF($I682="",1,0.6),IF($I682=MID(R$1,3,20),0.4,0)))</f>
        <v>0</v>
      </c>
      <c r="S682" s="10" t="n">
        <f aca="false">IF($H682="숙박",0,IF($H682=MID(S$1,3,20),IF($I682="",1,0.6),IF($I682=MID(S$1,3,20),0.4,0)))</f>
        <v>0</v>
      </c>
      <c r="T682" s="10" t="n">
        <f aca="false">IF($H682="숙박",0,IF($H682=MID(T$1,3,20),IF($I682="",1,0.6),IF($I682=MID(T$1,3,20),0.4,0)))</f>
        <v>0</v>
      </c>
      <c r="U682" s="10" t="n">
        <f aca="false">IF($H682="숙박",0,IF(ISNUMBER(SEARCH("야경",$J682)),1,0))</f>
        <v>0</v>
      </c>
      <c r="V682" s="10" t="n">
        <f aca="false">IF($H682="숙박",0,1)</f>
        <v>1</v>
      </c>
    </row>
    <row r="683" customFormat="false" ht="15" hidden="false" customHeight="false" outlineLevel="0" collapsed="false">
      <c r="A683" s="8" t="n">
        <v>682</v>
      </c>
      <c r="B683" s="8" t="s">
        <v>45</v>
      </c>
      <c r="C683" s="8"/>
      <c r="D683" s="8" t="s">
        <v>2160</v>
      </c>
      <c r="E683" s="7" t="s">
        <v>2161</v>
      </c>
      <c r="F683" s="8"/>
      <c r="G683" s="8"/>
      <c r="H683" s="9" t="s">
        <v>594</v>
      </c>
      <c r="I683" s="9"/>
      <c r="J683" s="9"/>
      <c r="K683" s="9"/>
      <c r="L683" s="8"/>
      <c r="M683" s="8"/>
      <c r="N683" s="8" t="s">
        <v>595</v>
      </c>
      <c r="O683" s="8"/>
      <c r="P683" s="10" t="n">
        <f aca="false">IF($H683="숙박",0,IF($H683=MID(P$1,3,20),IF($I683="",1,0.6),IF($I683=MID(P$1,3,20),0.4,0)))</f>
        <v>0</v>
      </c>
      <c r="Q683" s="10" t="n">
        <f aca="false">IF($H683="숙박",0,IF($H683=MID(Q$1,3,20),IF($I683="",1,0.6),IF($I683=MID(Q$1,3,20),0.4,0)))</f>
        <v>0</v>
      </c>
      <c r="R683" s="10" t="n">
        <f aca="false">IF($H683="숙박",0,IF($H683=MID(R$1,3,20),IF($I683="",1,0.6),IF($I683=MID(R$1,3,20),0.4,0)))</f>
        <v>0</v>
      </c>
      <c r="S683" s="10" t="n">
        <f aca="false">IF($H683="숙박",0,IF($H683=MID(S$1,3,20),IF($I683="",1,0.6),IF($I683=MID(S$1,3,20),0.4,0)))</f>
        <v>0</v>
      </c>
      <c r="T683" s="10" t="n">
        <f aca="false">IF($H683="숙박",0,IF($H683=MID(T$1,3,20),IF($I683="",1,0.6),IF($I683=MID(T$1,3,20),0.4,0)))</f>
        <v>0</v>
      </c>
      <c r="U683" s="10" t="n">
        <f aca="false">IF($H683="숙박",0,IF(ISNUMBER(SEARCH("야경",$J683)),1,0))</f>
        <v>0</v>
      </c>
      <c r="V683" s="10" t="n">
        <f aca="false">IF($H683="숙박",0,1)</f>
        <v>0</v>
      </c>
    </row>
    <row r="684" customFormat="false" ht="15" hidden="false" customHeight="false" outlineLevel="0" collapsed="false">
      <c r="A684" s="8" t="n">
        <v>683</v>
      </c>
      <c r="B684" s="8" t="s">
        <v>45</v>
      </c>
      <c r="C684" s="8" t="s">
        <v>411</v>
      </c>
      <c r="D684" s="8" t="s">
        <v>2162</v>
      </c>
      <c r="E684" s="7" t="s">
        <v>2163</v>
      </c>
      <c r="F684" s="8"/>
      <c r="G684" s="8" t="s">
        <v>49</v>
      </c>
      <c r="H684" s="9" t="s">
        <v>49</v>
      </c>
      <c r="I684" s="9"/>
      <c r="J684" s="9"/>
      <c r="K684" s="9" t="s">
        <v>52</v>
      </c>
      <c r="L684" s="8"/>
      <c r="M684" s="8"/>
      <c r="N684" s="8"/>
      <c r="O684" s="8" t="s">
        <v>2164</v>
      </c>
      <c r="P684" s="10" t="n">
        <f aca="false">IF($H684="숙박",0,IF($H684=MID(P$1,3,20),IF($I684="",1,0.6),IF($I684=MID(P$1,3,20),0.4,0)))</f>
        <v>0</v>
      </c>
      <c r="Q684" s="10" t="n">
        <f aca="false">IF($H684="숙박",0,IF($H684=MID(Q$1,3,20),IF($I684="",1,0.6),IF($I684=MID(Q$1,3,20),0.4,0)))</f>
        <v>1</v>
      </c>
      <c r="R684" s="10" t="n">
        <f aca="false">IF($H684="숙박",0,IF($H684=MID(R$1,3,20),IF($I684="",1,0.6),IF($I684=MID(R$1,3,20),0.4,0)))</f>
        <v>0</v>
      </c>
      <c r="S684" s="10" t="n">
        <f aca="false">IF($H684="숙박",0,IF($H684=MID(S$1,3,20),IF($I684="",1,0.6),IF($I684=MID(S$1,3,20),0.4,0)))</f>
        <v>0</v>
      </c>
      <c r="T684" s="10" t="n">
        <f aca="false">IF($H684="숙박",0,IF($H684=MID(T$1,3,20),IF($I684="",1,0.6),IF($I684=MID(T$1,3,20),0.4,0)))</f>
        <v>0</v>
      </c>
      <c r="U684" s="10" t="n">
        <f aca="false">IF($H684="숙박",0,IF(ISNUMBER(SEARCH("야경",$J684)),1,0))</f>
        <v>0</v>
      </c>
      <c r="V684" s="10" t="n">
        <f aca="false">IF($H684="숙박",0,1)</f>
        <v>1</v>
      </c>
    </row>
    <row r="685" customFormat="false" ht="15" hidden="false" customHeight="false" outlineLevel="0" collapsed="false">
      <c r="A685" s="8" t="n">
        <v>684</v>
      </c>
      <c r="B685" s="8" t="s">
        <v>45</v>
      </c>
      <c r="C685" s="8" t="s">
        <v>178</v>
      </c>
      <c r="D685" s="8" t="s">
        <v>2165</v>
      </c>
      <c r="E685" s="7" t="s">
        <v>2166</v>
      </c>
      <c r="F685" s="8"/>
      <c r="G685" s="8" t="s">
        <v>190</v>
      </c>
      <c r="H685" s="9" t="s">
        <v>190</v>
      </c>
      <c r="I685" s="9"/>
      <c r="J685" s="9" t="s">
        <v>1361</v>
      </c>
      <c r="K685" s="9" t="s">
        <v>191</v>
      </c>
      <c r="L685" s="8"/>
      <c r="M685" s="8"/>
      <c r="N685" s="8"/>
      <c r="O685" s="8" t="s">
        <v>2167</v>
      </c>
      <c r="P685" s="10" t="n">
        <f aca="false">IF($H685="숙박",0,IF($H685=MID(P$1,3,20),IF($I685="",1,0.6),IF($I685=MID(P$1,3,20),0.4,0)))</f>
        <v>1</v>
      </c>
      <c r="Q685" s="10" t="n">
        <f aca="false">IF($H685="숙박",0,IF($H685=MID(Q$1,3,20),IF($I685="",1,0.6),IF($I685=MID(Q$1,3,20),0.4,0)))</f>
        <v>0</v>
      </c>
      <c r="R685" s="10" t="n">
        <f aca="false">IF($H685="숙박",0,IF($H685=MID(R$1,3,20),IF($I685="",1,0.6),IF($I685=MID(R$1,3,20),0.4,0)))</f>
        <v>0</v>
      </c>
      <c r="S685" s="10" t="n">
        <f aca="false">IF($H685="숙박",0,IF($H685=MID(S$1,3,20),IF($I685="",1,0.6),IF($I685=MID(S$1,3,20),0.4,0)))</f>
        <v>0</v>
      </c>
      <c r="T685" s="10" t="n">
        <f aca="false">IF($H685="숙박",0,IF($H685=MID(T$1,3,20),IF($I685="",1,0.6),IF($I685=MID(T$1,3,20),0.4,0)))</f>
        <v>0</v>
      </c>
      <c r="U685" s="10" t="n">
        <f aca="false">IF($H685="숙박",0,IF(ISNUMBER(SEARCH("야경",$J685)),1,0))</f>
        <v>0</v>
      </c>
      <c r="V685" s="10" t="n">
        <f aca="false">IF($H685="숙박",0,1)</f>
        <v>1</v>
      </c>
    </row>
    <row r="686" customFormat="false" ht="15" hidden="false" customHeight="false" outlineLevel="0" collapsed="false">
      <c r="A686" s="8" t="n">
        <v>685</v>
      </c>
      <c r="B686" s="8" t="s">
        <v>45</v>
      </c>
      <c r="C686" s="8" t="s">
        <v>369</v>
      </c>
      <c r="D686" s="8" t="s">
        <v>2168</v>
      </c>
      <c r="E686" s="7" t="s">
        <v>2169</v>
      </c>
      <c r="F686" s="8"/>
      <c r="G686" s="8" t="s">
        <v>190</v>
      </c>
      <c r="H686" s="9" t="s">
        <v>190</v>
      </c>
      <c r="I686" s="9"/>
      <c r="J686" s="9"/>
      <c r="K686" s="9" t="s">
        <v>191</v>
      </c>
      <c r="L686" s="8"/>
      <c r="M686" s="8"/>
      <c r="N686" s="8"/>
      <c r="O686" s="8" t="s">
        <v>2170</v>
      </c>
      <c r="P686" s="10" t="n">
        <f aca="false">IF($H686="숙박",0,IF($H686=MID(P$1,3,20),IF($I686="",1,0.6),IF($I686=MID(P$1,3,20),0.4,0)))</f>
        <v>1</v>
      </c>
      <c r="Q686" s="10" t="n">
        <f aca="false">IF($H686="숙박",0,IF($H686=MID(Q$1,3,20),IF($I686="",1,0.6),IF($I686=MID(Q$1,3,20),0.4,0)))</f>
        <v>0</v>
      </c>
      <c r="R686" s="10" t="n">
        <f aca="false">IF($H686="숙박",0,IF($H686=MID(R$1,3,20),IF($I686="",1,0.6),IF($I686=MID(R$1,3,20),0.4,0)))</f>
        <v>0</v>
      </c>
      <c r="S686" s="10" t="n">
        <f aca="false">IF($H686="숙박",0,IF($H686=MID(S$1,3,20),IF($I686="",1,0.6),IF($I686=MID(S$1,3,20),0.4,0)))</f>
        <v>0</v>
      </c>
      <c r="T686" s="10" t="n">
        <f aca="false">IF($H686="숙박",0,IF($H686=MID(T$1,3,20),IF($I686="",1,0.6),IF($I686=MID(T$1,3,20),0.4,0)))</f>
        <v>0</v>
      </c>
      <c r="U686" s="10" t="n">
        <f aca="false">IF($H686="숙박",0,IF(ISNUMBER(SEARCH("야경",$J686)),1,0))</f>
        <v>0</v>
      </c>
      <c r="V686" s="10" t="n">
        <f aca="false">IF($H686="숙박",0,1)</f>
        <v>1</v>
      </c>
    </row>
    <row r="687" customFormat="false" ht="15" hidden="false" customHeight="false" outlineLevel="0" collapsed="false">
      <c r="A687" s="8" t="n">
        <v>686</v>
      </c>
      <c r="B687" s="8" t="s">
        <v>45</v>
      </c>
      <c r="C687" s="8" t="s">
        <v>1917</v>
      </c>
      <c r="D687" s="8" t="s">
        <v>2171</v>
      </c>
      <c r="E687" s="7" t="s">
        <v>2172</v>
      </c>
      <c r="F687" s="8"/>
      <c r="G687" s="8" t="s">
        <v>184</v>
      </c>
      <c r="H687" s="9" t="s">
        <v>184</v>
      </c>
      <c r="I687" s="9" t="s">
        <v>190</v>
      </c>
      <c r="J687" s="9" t="s">
        <v>1361</v>
      </c>
      <c r="K687" s="9" t="s">
        <v>191</v>
      </c>
      <c r="L687" s="8"/>
      <c r="M687" s="8"/>
      <c r="N687" s="8" t="s">
        <v>483</v>
      </c>
      <c r="O687" s="8" t="s">
        <v>2173</v>
      </c>
      <c r="P687" s="10" t="n">
        <f aca="false">IF($H687="숙박",0,IF($H687=MID(P$1,3,20),IF($I687="",1,0.6),IF($I687=MID(P$1,3,20),0.4,0)))</f>
        <v>0.4</v>
      </c>
      <c r="Q687" s="10" t="n">
        <f aca="false">IF($H687="숙박",0,IF($H687=MID(Q$1,3,20),IF($I687="",1,0.6),IF($I687=MID(Q$1,3,20),0.4,0)))</f>
        <v>0</v>
      </c>
      <c r="R687" s="10" t="n">
        <f aca="false">IF($H687="숙박",0,IF($H687=MID(R$1,3,20),IF($I687="",1,0.6),IF($I687=MID(R$1,3,20),0.4,0)))</f>
        <v>0.6</v>
      </c>
      <c r="S687" s="10" t="n">
        <f aca="false">IF($H687="숙박",0,IF($H687=MID(S$1,3,20),IF($I687="",1,0.6),IF($I687=MID(S$1,3,20),0.4,0)))</f>
        <v>0</v>
      </c>
      <c r="T687" s="10" t="n">
        <f aca="false">IF($H687="숙박",0,IF($H687=MID(T$1,3,20),IF($I687="",1,0.6),IF($I687=MID(T$1,3,20),0.4,0)))</f>
        <v>0</v>
      </c>
      <c r="U687" s="10" t="n">
        <f aca="false">IF($H687="숙박",0,IF(ISNUMBER(SEARCH("야경",$J687)),1,0))</f>
        <v>0</v>
      </c>
      <c r="V687" s="10" t="n">
        <f aca="false">IF($H687="숙박",0,1)</f>
        <v>1</v>
      </c>
    </row>
    <row r="688" customFormat="false" ht="15" hidden="false" customHeight="false" outlineLevel="0" collapsed="false">
      <c r="A688" s="8" t="n">
        <v>687</v>
      </c>
      <c r="B688" s="8" t="s">
        <v>45</v>
      </c>
      <c r="C688" s="8" t="s">
        <v>1855</v>
      </c>
      <c r="D688" s="8" t="s">
        <v>2174</v>
      </c>
      <c r="E688" s="7" t="s">
        <v>2175</v>
      </c>
      <c r="F688" s="8"/>
      <c r="G688" s="8" t="s">
        <v>49</v>
      </c>
      <c r="H688" s="9" t="s">
        <v>49</v>
      </c>
      <c r="I688" s="9" t="s">
        <v>184</v>
      </c>
      <c r="J688" s="9"/>
      <c r="K688" s="9" t="s">
        <v>52</v>
      </c>
      <c r="L688" s="8"/>
      <c r="M688" s="8"/>
      <c r="N688" s="8" t="s">
        <v>483</v>
      </c>
      <c r="O688" s="8" t="s">
        <v>2176</v>
      </c>
      <c r="P688" s="10" t="n">
        <f aca="false">IF($H688="숙박",0,IF($H688=MID(P$1,3,20),IF($I688="",1,0.6),IF($I688=MID(P$1,3,20),0.4,0)))</f>
        <v>0</v>
      </c>
      <c r="Q688" s="10" t="n">
        <f aca="false">IF($H688="숙박",0,IF($H688=MID(Q$1,3,20),IF($I688="",1,0.6),IF($I688=MID(Q$1,3,20),0.4,0)))</f>
        <v>0.6</v>
      </c>
      <c r="R688" s="10" t="n">
        <f aca="false">IF($H688="숙박",0,IF($H688=MID(R$1,3,20),IF($I688="",1,0.6),IF($I688=MID(R$1,3,20),0.4,0)))</f>
        <v>0.4</v>
      </c>
      <c r="S688" s="10" t="n">
        <f aca="false">IF($H688="숙박",0,IF($H688=MID(S$1,3,20),IF($I688="",1,0.6),IF($I688=MID(S$1,3,20),0.4,0)))</f>
        <v>0</v>
      </c>
      <c r="T688" s="10" t="n">
        <f aca="false">IF($H688="숙박",0,IF($H688=MID(T$1,3,20),IF($I688="",1,0.6),IF($I688=MID(T$1,3,20),0.4,0)))</f>
        <v>0</v>
      </c>
      <c r="U688" s="10" t="n">
        <f aca="false">IF($H688="숙박",0,IF(ISNUMBER(SEARCH("야경",$J688)),1,0))</f>
        <v>0</v>
      </c>
      <c r="V688" s="10" t="n">
        <f aca="false">IF($H688="숙박",0,1)</f>
        <v>1</v>
      </c>
    </row>
    <row r="689" customFormat="false" ht="15" hidden="false" customHeight="false" outlineLevel="0" collapsed="false">
      <c r="A689" s="8" t="n">
        <v>688</v>
      </c>
      <c r="B689" s="8" t="s">
        <v>45</v>
      </c>
      <c r="C689" s="8" t="s">
        <v>2177</v>
      </c>
      <c r="D689" s="8" t="s">
        <v>2178</v>
      </c>
      <c r="E689" s="7" t="s">
        <v>2179</v>
      </c>
      <c r="F689" s="8"/>
      <c r="G689" s="8" t="s">
        <v>49</v>
      </c>
      <c r="H689" s="9" t="s">
        <v>49</v>
      </c>
      <c r="I689" s="9"/>
      <c r="J689" s="9"/>
      <c r="K689" s="9" t="s">
        <v>52</v>
      </c>
      <c r="L689" s="8"/>
      <c r="M689" s="8"/>
      <c r="N689" s="8"/>
      <c r="O689" s="8" t="s">
        <v>2180</v>
      </c>
      <c r="P689" s="10" t="n">
        <f aca="false">IF($H689="숙박",0,IF($H689=MID(P$1,3,20),IF($I689="",1,0.6),IF($I689=MID(P$1,3,20),0.4,0)))</f>
        <v>0</v>
      </c>
      <c r="Q689" s="10" t="n">
        <f aca="false">IF($H689="숙박",0,IF($H689=MID(Q$1,3,20),IF($I689="",1,0.6),IF($I689=MID(Q$1,3,20),0.4,0)))</f>
        <v>1</v>
      </c>
      <c r="R689" s="10" t="n">
        <f aca="false">IF($H689="숙박",0,IF($H689=MID(R$1,3,20),IF($I689="",1,0.6),IF($I689=MID(R$1,3,20),0.4,0)))</f>
        <v>0</v>
      </c>
      <c r="S689" s="10" t="n">
        <f aca="false">IF($H689="숙박",0,IF($H689=MID(S$1,3,20),IF($I689="",1,0.6),IF($I689=MID(S$1,3,20),0.4,0)))</f>
        <v>0</v>
      </c>
      <c r="T689" s="10" t="n">
        <f aca="false">IF($H689="숙박",0,IF($H689=MID(T$1,3,20),IF($I689="",1,0.6),IF($I689=MID(T$1,3,20),0.4,0)))</f>
        <v>0</v>
      </c>
      <c r="U689" s="10" t="n">
        <f aca="false">IF($H689="숙박",0,IF(ISNUMBER(SEARCH("야경",$J689)),1,0))</f>
        <v>0</v>
      </c>
      <c r="V689" s="10" t="n">
        <f aca="false">IF($H689="숙박",0,1)</f>
        <v>1</v>
      </c>
    </row>
    <row r="690" customFormat="false" ht="15" hidden="false" customHeight="false" outlineLevel="0" collapsed="false">
      <c r="A690" s="8" t="n">
        <v>689</v>
      </c>
      <c r="B690" s="8" t="s">
        <v>45</v>
      </c>
      <c r="C690" s="8" t="s">
        <v>297</v>
      </c>
      <c r="D690" s="8" t="s">
        <v>2181</v>
      </c>
      <c r="E690" s="7" t="s">
        <v>2182</v>
      </c>
      <c r="F690" s="8"/>
      <c r="G690" s="8" t="s">
        <v>184</v>
      </c>
      <c r="H690" s="9" t="s">
        <v>184</v>
      </c>
      <c r="I690" s="9" t="s">
        <v>216</v>
      </c>
      <c r="J690" s="9"/>
      <c r="K690" s="9" t="s">
        <v>52</v>
      </c>
      <c r="L690" s="8"/>
      <c r="M690" s="8"/>
      <c r="N690" s="8" t="s">
        <v>483</v>
      </c>
      <c r="O690" s="8" t="s">
        <v>2183</v>
      </c>
      <c r="P690" s="10" t="n">
        <f aca="false">IF($H690="숙박",0,IF($H690=MID(P$1,3,20),IF($I690="",1,0.6),IF($I690=MID(P$1,3,20),0.4,0)))</f>
        <v>0</v>
      </c>
      <c r="Q690" s="10" t="n">
        <f aca="false">IF($H690="숙박",0,IF($H690=MID(Q$1,3,20),IF($I690="",1,0.6),IF($I690=MID(Q$1,3,20),0.4,0)))</f>
        <v>0</v>
      </c>
      <c r="R690" s="10" t="n">
        <f aca="false">IF($H690="숙박",0,IF($H690=MID(R$1,3,20),IF($I690="",1,0.6),IF($I690=MID(R$1,3,20),0.4,0)))</f>
        <v>0.6</v>
      </c>
      <c r="S690" s="10" t="n">
        <f aca="false">IF($H690="숙박",0,IF($H690=MID(S$1,3,20),IF($I690="",1,0.6),IF($I690=MID(S$1,3,20),0.4,0)))</f>
        <v>0.4</v>
      </c>
      <c r="T690" s="10" t="n">
        <f aca="false">IF($H690="숙박",0,IF($H690=MID(T$1,3,20),IF($I690="",1,0.6),IF($I690=MID(T$1,3,20),0.4,0)))</f>
        <v>0</v>
      </c>
      <c r="U690" s="10" t="n">
        <f aca="false">IF($H690="숙박",0,IF(ISNUMBER(SEARCH("야경",$J690)),1,0))</f>
        <v>0</v>
      </c>
      <c r="V690" s="10" t="n">
        <f aca="false">IF($H690="숙박",0,1)</f>
        <v>1</v>
      </c>
    </row>
    <row r="691" customFormat="false" ht="15" hidden="false" customHeight="false" outlineLevel="0" collapsed="false">
      <c r="A691" s="8" t="n">
        <v>690</v>
      </c>
      <c r="B691" s="8" t="s">
        <v>45</v>
      </c>
      <c r="C691" s="8" t="s">
        <v>1809</v>
      </c>
      <c r="D691" s="8" t="s">
        <v>2184</v>
      </c>
      <c r="E691" s="7" t="s">
        <v>2185</v>
      </c>
      <c r="F691" s="8"/>
      <c r="G691" s="8" t="s">
        <v>190</v>
      </c>
      <c r="H691" s="9" t="s">
        <v>190</v>
      </c>
      <c r="I691" s="9"/>
      <c r="J691" s="9"/>
      <c r="K691" s="9" t="s">
        <v>191</v>
      </c>
      <c r="L691" s="8"/>
      <c r="M691" s="8"/>
      <c r="N691" s="8"/>
      <c r="O691" s="8" t="s">
        <v>2186</v>
      </c>
      <c r="P691" s="10" t="n">
        <f aca="false">IF($H691="숙박",0,IF($H691=MID(P$1,3,20),IF($I691="",1,0.6),IF($I691=MID(P$1,3,20),0.4,0)))</f>
        <v>1</v>
      </c>
      <c r="Q691" s="10" t="n">
        <f aca="false">IF($H691="숙박",0,IF($H691=MID(Q$1,3,20),IF($I691="",1,0.6),IF($I691=MID(Q$1,3,20),0.4,0)))</f>
        <v>0</v>
      </c>
      <c r="R691" s="10" t="n">
        <f aca="false">IF($H691="숙박",0,IF($H691=MID(R$1,3,20),IF($I691="",1,0.6),IF($I691=MID(R$1,3,20),0.4,0)))</f>
        <v>0</v>
      </c>
      <c r="S691" s="10" t="n">
        <f aca="false">IF($H691="숙박",0,IF($H691=MID(S$1,3,20),IF($I691="",1,0.6),IF($I691=MID(S$1,3,20),0.4,0)))</f>
        <v>0</v>
      </c>
      <c r="T691" s="10" t="n">
        <f aca="false">IF($H691="숙박",0,IF($H691=MID(T$1,3,20),IF($I691="",1,0.6),IF($I691=MID(T$1,3,20),0.4,0)))</f>
        <v>0</v>
      </c>
      <c r="U691" s="10" t="n">
        <f aca="false">IF($H691="숙박",0,IF(ISNUMBER(SEARCH("야경",$J691)),1,0))</f>
        <v>0</v>
      </c>
      <c r="V691" s="10" t="n">
        <f aca="false">IF($H691="숙박",0,1)</f>
        <v>1</v>
      </c>
    </row>
    <row r="692" customFormat="false" ht="15" hidden="false" customHeight="false" outlineLevel="0" collapsed="false">
      <c r="A692" s="8" t="n">
        <v>691</v>
      </c>
      <c r="B692" s="8" t="s">
        <v>45</v>
      </c>
      <c r="C692" s="8" t="s">
        <v>1440</v>
      </c>
      <c r="D692" s="8" t="s">
        <v>2187</v>
      </c>
      <c r="E692" s="7" t="s">
        <v>2188</v>
      </c>
      <c r="F692" s="8"/>
      <c r="G692" s="8" t="s">
        <v>184</v>
      </c>
      <c r="H692" s="9" t="s">
        <v>184</v>
      </c>
      <c r="I692" s="9"/>
      <c r="J692" s="9" t="s">
        <v>1361</v>
      </c>
      <c r="K692" s="9" t="s">
        <v>191</v>
      </c>
      <c r="L692" s="8"/>
      <c r="M692" s="8"/>
      <c r="N692" s="8"/>
      <c r="O692" s="8" t="s">
        <v>2189</v>
      </c>
      <c r="P692" s="10" t="n">
        <f aca="false">IF($H692="숙박",0,IF($H692=MID(P$1,3,20),IF($I692="",1,0.6),IF($I692=MID(P$1,3,20),0.4,0)))</f>
        <v>0</v>
      </c>
      <c r="Q692" s="10" t="n">
        <f aca="false">IF($H692="숙박",0,IF($H692=MID(Q$1,3,20),IF($I692="",1,0.6),IF($I692=MID(Q$1,3,20),0.4,0)))</f>
        <v>0</v>
      </c>
      <c r="R692" s="10" t="n">
        <f aca="false">IF($H692="숙박",0,IF($H692=MID(R$1,3,20),IF($I692="",1,0.6),IF($I692=MID(R$1,3,20),0.4,0)))</f>
        <v>1</v>
      </c>
      <c r="S692" s="10" t="n">
        <f aca="false">IF($H692="숙박",0,IF($H692=MID(S$1,3,20),IF($I692="",1,0.6),IF($I692=MID(S$1,3,20),0.4,0)))</f>
        <v>0</v>
      </c>
      <c r="T692" s="10" t="n">
        <f aca="false">IF($H692="숙박",0,IF($H692=MID(T$1,3,20),IF($I692="",1,0.6),IF($I692=MID(T$1,3,20),0.4,0)))</f>
        <v>0</v>
      </c>
      <c r="U692" s="10" t="n">
        <f aca="false">IF($H692="숙박",0,IF(ISNUMBER(SEARCH("야경",$J692)),1,0))</f>
        <v>0</v>
      </c>
      <c r="V692" s="10" t="n">
        <f aca="false">IF($H692="숙박",0,1)</f>
        <v>1</v>
      </c>
    </row>
    <row r="693" customFormat="false" ht="15" hidden="false" customHeight="false" outlineLevel="0" collapsed="false">
      <c r="A693" s="8" t="n">
        <v>692</v>
      </c>
      <c r="B693" s="8" t="s">
        <v>45</v>
      </c>
      <c r="C693" s="8" t="s">
        <v>1785</v>
      </c>
      <c r="D693" s="8" t="s">
        <v>2190</v>
      </c>
      <c r="E693" s="7" t="s">
        <v>2191</v>
      </c>
      <c r="F693" s="8"/>
      <c r="G693" s="8" t="s">
        <v>190</v>
      </c>
      <c r="H693" s="9" t="s">
        <v>190</v>
      </c>
      <c r="I693" s="9" t="s">
        <v>49</v>
      </c>
      <c r="J693" s="9"/>
      <c r="K693" s="9" t="s">
        <v>191</v>
      </c>
      <c r="L693" s="8"/>
      <c r="M693" s="8"/>
      <c r="N693" s="8" t="s">
        <v>483</v>
      </c>
      <c r="O693" s="8" t="s">
        <v>2192</v>
      </c>
      <c r="P693" s="10" t="n">
        <f aca="false">IF($H693="숙박",0,IF($H693=MID(P$1,3,20),IF($I693="",1,0.6),IF($I693=MID(P$1,3,20),0.4,0)))</f>
        <v>0.6</v>
      </c>
      <c r="Q693" s="10" t="n">
        <f aca="false">IF($H693="숙박",0,IF($H693=MID(Q$1,3,20),IF($I693="",1,0.6),IF($I693=MID(Q$1,3,20),0.4,0)))</f>
        <v>0.4</v>
      </c>
      <c r="R693" s="10" t="n">
        <f aca="false">IF($H693="숙박",0,IF($H693=MID(R$1,3,20),IF($I693="",1,0.6),IF($I693=MID(R$1,3,20),0.4,0)))</f>
        <v>0</v>
      </c>
      <c r="S693" s="10" t="n">
        <f aca="false">IF($H693="숙박",0,IF($H693=MID(S$1,3,20),IF($I693="",1,0.6),IF($I693=MID(S$1,3,20),0.4,0)))</f>
        <v>0</v>
      </c>
      <c r="T693" s="10" t="n">
        <f aca="false">IF($H693="숙박",0,IF($H693=MID(T$1,3,20),IF($I693="",1,0.6),IF($I693=MID(T$1,3,20),0.4,0)))</f>
        <v>0</v>
      </c>
      <c r="U693" s="10" t="n">
        <f aca="false">IF($H693="숙박",0,IF(ISNUMBER(SEARCH("야경",$J693)),1,0))</f>
        <v>0</v>
      </c>
      <c r="V693" s="10" t="n">
        <f aca="false">IF($H693="숙박",0,1)</f>
        <v>1</v>
      </c>
    </row>
    <row r="694" customFormat="false" ht="15" hidden="false" customHeight="false" outlineLevel="0" collapsed="false">
      <c r="A694" s="8" t="n">
        <v>693</v>
      </c>
      <c r="B694" s="8" t="s">
        <v>45</v>
      </c>
      <c r="C694" s="8" t="s">
        <v>1640</v>
      </c>
      <c r="D694" s="8" t="s">
        <v>2193</v>
      </c>
      <c r="E694" s="7" t="s">
        <v>2194</v>
      </c>
      <c r="F694" s="8"/>
      <c r="G694" s="8" t="s">
        <v>184</v>
      </c>
      <c r="H694" s="9" t="s">
        <v>184</v>
      </c>
      <c r="I694" s="9"/>
      <c r="J694" s="9"/>
      <c r="K694" s="9" t="s">
        <v>191</v>
      </c>
      <c r="L694" s="8"/>
      <c r="M694" s="8"/>
      <c r="N694" s="8"/>
      <c r="O694" s="8" t="s">
        <v>2195</v>
      </c>
      <c r="P694" s="10" t="n">
        <f aca="false">IF($H694="숙박",0,IF($H694=MID(P$1,3,20),IF($I694="",1,0.6),IF($I694=MID(P$1,3,20),0.4,0)))</f>
        <v>0</v>
      </c>
      <c r="Q694" s="10" t="n">
        <f aca="false">IF($H694="숙박",0,IF($H694=MID(Q$1,3,20),IF($I694="",1,0.6),IF($I694=MID(Q$1,3,20),0.4,0)))</f>
        <v>0</v>
      </c>
      <c r="R694" s="10" t="n">
        <f aca="false">IF($H694="숙박",0,IF($H694=MID(R$1,3,20),IF($I694="",1,0.6),IF($I694=MID(R$1,3,20),0.4,0)))</f>
        <v>1</v>
      </c>
      <c r="S694" s="10" t="n">
        <f aca="false">IF($H694="숙박",0,IF($H694=MID(S$1,3,20),IF($I694="",1,0.6),IF($I694=MID(S$1,3,20),0.4,0)))</f>
        <v>0</v>
      </c>
      <c r="T694" s="10" t="n">
        <f aca="false">IF($H694="숙박",0,IF($H694=MID(T$1,3,20),IF($I694="",1,0.6),IF($I694=MID(T$1,3,20),0.4,0)))</f>
        <v>0</v>
      </c>
      <c r="U694" s="10" t="n">
        <f aca="false">IF($H694="숙박",0,IF(ISNUMBER(SEARCH("야경",$J694)),1,0))</f>
        <v>0</v>
      </c>
      <c r="V694" s="10" t="n">
        <f aca="false">IF($H694="숙박",0,1)</f>
        <v>1</v>
      </c>
    </row>
    <row r="695" customFormat="false" ht="15" hidden="false" customHeight="false" outlineLevel="0" collapsed="false">
      <c r="A695" s="8" t="n">
        <v>694</v>
      </c>
      <c r="B695" s="8" t="s">
        <v>45</v>
      </c>
      <c r="C695" s="8" t="s">
        <v>1493</v>
      </c>
      <c r="D695" s="8" t="s">
        <v>2196</v>
      </c>
      <c r="E695" s="7" t="s">
        <v>2197</v>
      </c>
      <c r="F695" s="8"/>
      <c r="G695" s="8" t="s">
        <v>190</v>
      </c>
      <c r="H695" s="9" t="s">
        <v>190</v>
      </c>
      <c r="I695" s="9"/>
      <c r="J695" s="9"/>
      <c r="K695" s="9" t="s">
        <v>191</v>
      </c>
      <c r="L695" s="8"/>
      <c r="M695" s="8"/>
      <c r="N695" s="8"/>
      <c r="O695" s="8" t="s">
        <v>2198</v>
      </c>
      <c r="P695" s="10" t="n">
        <f aca="false">IF($H695="숙박",0,IF($H695=MID(P$1,3,20),IF($I695="",1,0.6),IF($I695=MID(P$1,3,20),0.4,0)))</f>
        <v>1</v>
      </c>
      <c r="Q695" s="10" t="n">
        <f aca="false">IF($H695="숙박",0,IF($H695=MID(Q$1,3,20),IF($I695="",1,0.6),IF($I695=MID(Q$1,3,20),0.4,0)))</f>
        <v>0</v>
      </c>
      <c r="R695" s="10" t="n">
        <f aca="false">IF($H695="숙박",0,IF($H695=MID(R$1,3,20),IF($I695="",1,0.6),IF($I695=MID(R$1,3,20),0.4,0)))</f>
        <v>0</v>
      </c>
      <c r="S695" s="10" t="n">
        <f aca="false">IF($H695="숙박",0,IF($H695=MID(S$1,3,20),IF($I695="",1,0.6),IF($I695=MID(S$1,3,20),0.4,0)))</f>
        <v>0</v>
      </c>
      <c r="T695" s="10" t="n">
        <f aca="false">IF($H695="숙박",0,IF($H695=MID(T$1,3,20),IF($I695="",1,0.6),IF($I695=MID(T$1,3,20),0.4,0)))</f>
        <v>0</v>
      </c>
      <c r="U695" s="10" t="n">
        <f aca="false">IF($H695="숙박",0,IF(ISNUMBER(SEARCH("야경",$J695)),1,0))</f>
        <v>0</v>
      </c>
      <c r="V695" s="10" t="n">
        <f aca="false">IF($H695="숙박",0,1)</f>
        <v>1</v>
      </c>
    </row>
    <row r="696" customFormat="false" ht="15" hidden="false" customHeight="false" outlineLevel="0" collapsed="false">
      <c r="A696" s="8" t="n">
        <v>695</v>
      </c>
      <c r="B696" s="8" t="s">
        <v>45</v>
      </c>
      <c r="C696" s="8" t="s">
        <v>2199</v>
      </c>
      <c r="D696" s="8" t="s">
        <v>2200</v>
      </c>
      <c r="E696" s="7" t="s">
        <v>2201</v>
      </c>
      <c r="F696" s="8"/>
      <c r="G696" s="8" t="s">
        <v>49</v>
      </c>
      <c r="H696" s="9" t="s">
        <v>49</v>
      </c>
      <c r="I696" s="9" t="s">
        <v>190</v>
      </c>
      <c r="J696" s="9"/>
      <c r="K696" s="9" t="s">
        <v>52</v>
      </c>
      <c r="L696" s="8"/>
      <c r="M696" s="8"/>
      <c r="N696" s="8" t="s">
        <v>483</v>
      </c>
      <c r="O696" s="7" t="s">
        <v>2202</v>
      </c>
      <c r="P696" s="10" t="n">
        <f aca="false">IF($H696="숙박",0,IF($H696=MID(P$1,3,20),IF($I696="",1,0.6),IF($I696=MID(P$1,3,20),0.4,0)))</f>
        <v>0.4</v>
      </c>
      <c r="Q696" s="10" t="n">
        <f aca="false">IF($H696="숙박",0,IF($H696=MID(Q$1,3,20),IF($I696="",1,0.6),IF($I696=MID(Q$1,3,20),0.4,0)))</f>
        <v>0.6</v>
      </c>
      <c r="R696" s="10" t="n">
        <f aca="false">IF($H696="숙박",0,IF($H696=MID(R$1,3,20),IF($I696="",1,0.6),IF($I696=MID(R$1,3,20),0.4,0)))</f>
        <v>0</v>
      </c>
      <c r="S696" s="10" t="n">
        <f aca="false">IF($H696="숙박",0,IF($H696=MID(S$1,3,20),IF($I696="",1,0.6),IF($I696=MID(S$1,3,20),0.4,0)))</f>
        <v>0</v>
      </c>
      <c r="T696" s="10" t="n">
        <f aca="false">IF($H696="숙박",0,IF($H696=MID(T$1,3,20),IF($I696="",1,0.6),IF($I696=MID(T$1,3,20),0.4,0)))</f>
        <v>0</v>
      </c>
      <c r="U696" s="10" t="n">
        <f aca="false">IF($H696="숙박",0,IF(ISNUMBER(SEARCH("야경",$J696)),1,0))</f>
        <v>0</v>
      </c>
      <c r="V696" s="10" t="n">
        <f aca="false">IF($H696="숙박",0,1)</f>
        <v>1</v>
      </c>
    </row>
    <row r="697" customFormat="false" ht="15" hidden="false" customHeight="false" outlineLevel="0" collapsed="false">
      <c r="A697" s="8" t="n">
        <v>696</v>
      </c>
      <c r="B697" s="8" t="s">
        <v>45</v>
      </c>
      <c r="C697" s="8" t="s">
        <v>2203</v>
      </c>
      <c r="D697" s="8" t="s">
        <v>2204</v>
      </c>
      <c r="E697" s="7" t="s">
        <v>2205</v>
      </c>
      <c r="F697" s="8"/>
      <c r="G697" s="8" t="s">
        <v>49</v>
      </c>
      <c r="H697" s="9" t="s">
        <v>49</v>
      </c>
      <c r="I697" s="9"/>
      <c r="J697" s="9"/>
      <c r="K697" s="9" t="s">
        <v>52</v>
      </c>
      <c r="L697" s="8"/>
      <c r="M697" s="8"/>
      <c r="N697" s="8"/>
      <c r="O697" s="8" t="s">
        <v>2206</v>
      </c>
      <c r="P697" s="10" t="n">
        <f aca="false">IF($H697="숙박",0,IF($H697=MID(P$1,3,20),IF($I697="",1,0.6),IF($I697=MID(P$1,3,20),0.4,0)))</f>
        <v>0</v>
      </c>
      <c r="Q697" s="10" t="n">
        <f aca="false">IF($H697="숙박",0,IF($H697=MID(Q$1,3,20),IF($I697="",1,0.6),IF($I697=MID(Q$1,3,20),0.4,0)))</f>
        <v>1</v>
      </c>
      <c r="R697" s="10" t="n">
        <f aca="false">IF($H697="숙박",0,IF($H697=MID(R$1,3,20),IF($I697="",1,0.6),IF($I697=MID(R$1,3,20),0.4,0)))</f>
        <v>0</v>
      </c>
      <c r="S697" s="10" t="n">
        <f aca="false">IF($H697="숙박",0,IF($H697=MID(S$1,3,20),IF($I697="",1,0.6),IF($I697=MID(S$1,3,20),0.4,0)))</f>
        <v>0</v>
      </c>
      <c r="T697" s="10" t="n">
        <f aca="false">IF($H697="숙박",0,IF($H697=MID(T$1,3,20),IF($I697="",1,0.6),IF($I697=MID(T$1,3,20),0.4,0)))</f>
        <v>0</v>
      </c>
      <c r="U697" s="10" t="n">
        <f aca="false">IF($H697="숙박",0,IF(ISNUMBER(SEARCH("야경",$J697)),1,0))</f>
        <v>0</v>
      </c>
      <c r="V697" s="10" t="n">
        <f aca="false">IF($H697="숙박",0,1)</f>
        <v>1</v>
      </c>
    </row>
    <row r="698" customFormat="false" ht="15" hidden="false" customHeight="false" outlineLevel="0" collapsed="false">
      <c r="A698" s="8" t="n">
        <v>697</v>
      </c>
      <c r="B698" s="8" t="s">
        <v>45</v>
      </c>
      <c r="C698" s="8"/>
      <c r="D698" s="8" t="s">
        <v>2207</v>
      </c>
      <c r="E698" s="7" t="s">
        <v>2208</v>
      </c>
      <c r="F698" s="8"/>
      <c r="G698" s="8"/>
      <c r="H698" s="9" t="s">
        <v>594</v>
      </c>
      <c r="I698" s="9"/>
      <c r="J698" s="9"/>
      <c r="K698" s="9"/>
      <c r="L698" s="8"/>
      <c r="M698" s="8"/>
      <c r="N698" s="8" t="s">
        <v>595</v>
      </c>
      <c r="O698" s="8"/>
      <c r="P698" s="10" t="n">
        <f aca="false">IF($H698="숙박",0,IF($H698=MID(P$1,3,20),IF($I698="",1,0.6),IF($I698=MID(P$1,3,20),0.4,0)))</f>
        <v>0</v>
      </c>
      <c r="Q698" s="10" t="n">
        <f aca="false">IF($H698="숙박",0,IF($H698=MID(Q$1,3,20),IF($I698="",1,0.6),IF($I698=MID(Q$1,3,20),0.4,0)))</f>
        <v>0</v>
      </c>
      <c r="R698" s="10" t="n">
        <f aca="false">IF($H698="숙박",0,IF($H698=MID(R$1,3,20),IF($I698="",1,0.6),IF($I698=MID(R$1,3,20),0.4,0)))</f>
        <v>0</v>
      </c>
      <c r="S698" s="10" t="n">
        <f aca="false">IF($H698="숙박",0,IF($H698=MID(S$1,3,20),IF($I698="",1,0.6),IF($I698=MID(S$1,3,20),0.4,0)))</f>
        <v>0</v>
      </c>
      <c r="T698" s="10" t="n">
        <f aca="false">IF($H698="숙박",0,IF($H698=MID(T$1,3,20),IF($I698="",1,0.6),IF($I698=MID(T$1,3,20),0.4,0)))</f>
        <v>0</v>
      </c>
      <c r="U698" s="10" t="n">
        <f aca="false">IF($H698="숙박",0,IF(ISNUMBER(SEARCH("야경",$J698)),1,0))</f>
        <v>0</v>
      </c>
      <c r="V698" s="10" t="n">
        <f aca="false">IF($H698="숙박",0,1)</f>
        <v>0</v>
      </c>
    </row>
    <row r="699" customFormat="false" ht="15" hidden="false" customHeight="false" outlineLevel="0" collapsed="false">
      <c r="A699" s="8" t="n">
        <v>698</v>
      </c>
      <c r="B699" s="8" t="s">
        <v>45</v>
      </c>
      <c r="C699" s="8" t="s">
        <v>1640</v>
      </c>
      <c r="D699" s="8" t="s">
        <v>2209</v>
      </c>
      <c r="E699" s="7" t="s">
        <v>2210</v>
      </c>
      <c r="F699" s="8"/>
      <c r="G699" s="8" t="s">
        <v>184</v>
      </c>
      <c r="H699" s="9" t="s">
        <v>184</v>
      </c>
      <c r="I699" s="9" t="s">
        <v>190</v>
      </c>
      <c r="J699" s="9"/>
      <c r="K699" s="9" t="s">
        <v>191</v>
      </c>
      <c r="L699" s="8"/>
      <c r="M699" s="8"/>
      <c r="N699" s="8" t="s">
        <v>483</v>
      </c>
      <c r="O699" s="8" t="s">
        <v>2211</v>
      </c>
      <c r="P699" s="10" t="n">
        <f aca="false">IF($H699="숙박",0,IF($H699=MID(P$1,3,20),IF($I699="",1,0.6),IF($I699=MID(P$1,3,20),0.4,0)))</f>
        <v>0.4</v>
      </c>
      <c r="Q699" s="10" t="n">
        <f aca="false">IF($H699="숙박",0,IF($H699=MID(Q$1,3,20),IF($I699="",1,0.6),IF($I699=MID(Q$1,3,20),0.4,0)))</f>
        <v>0</v>
      </c>
      <c r="R699" s="10" t="n">
        <f aca="false">IF($H699="숙박",0,IF($H699=MID(R$1,3,20),IF($I699="",1,0.6),IF($I699=MID(R$1,3,20),0.4,0)))</f>
        <v>0.6</v>
      </c>
      <c r="S699" s="10" t="n">
        <f aca="false">IF($H699="숙박",0,IF($H699=MID(S$1,3,20),IF($I699="",1,0.6),IF($I699=MID(S$1,3,20),0.4,0)))</f>
        <v>0</v>
      </c>
      <c r="T699" s="10" t="n">
        <f aca="false">IF($H699="숙박",0,IF($H699=MID(T$1,3,20),IF($I699="",1,0.6),IF($I699=MID(T$1,3,20),0.4,0)))</f>
        <v>0</v>
      </c>
      <c r="U699" s="10" t="n">
        <f aca="false">IF($H699="숙박",0,IF(ISNUMBER(SEARCH("야경",$J699)),1,0))</f>
        <v>0</v>
      </c>
      <c r="V699" s="10" t="n">
        <f aca="false">IF($H699="숙박",0,1)</f>
        <v>1</v>
      </c>
    </row>
    <row r="700" customFormat="false" ht="15" hidden="false" customHeight="false" outlineLevel="0" collapsed="false">
      <c r="A700" s="8" t="n">
        <v>699</v>
      </c>
      <c r="B700" s="8" t="s">
        <v>45</v>
      </c>
      <c r="C700" s="8"/>
      <c r="D700" s="8" t="s">
        <v>2212</v>
      </c>
      <c r="E700" s="7" t="s">
        <v>2213</v>
      </c>
      <c r="F700" s="8"/>
      <c r="G700" s="8"/>
      <c r="H700" s="9" t="s">
        <v>594</v>
      </c>
      <c r="I700" s="9"/>
      <c r="J700" s="9"/>
      <c r="K700" s="9"/>
      <c r="L700" s="8"/>
      <c r="M700" s="8"/>
      <c r="N700" s="8" t="s">
        <v>595</v>
      </c>
      <c r="O700" s="8"/>
      <c r="P700" s="10" t="n">
        <f aca="false">IF($H700="숙박",0,IF($H700=MID(P$1,3,20),IF($I700="",1,0.6),IF($I700=MID(P$1,3,20),0.4,0)))</f>
        <v>0</v>
      </c>
      <c r="Q700" s="10" t="n">
        <f aca="false">IF($H700="숙박",0,IF($H700=MID(Q$1,3,20),IF($I700="",1,0.6),IF($I700=MID(Q$1,3,20),0.4,0)))</f>
        <v>0</v>
      </c>
      <c r="R700" s="10" t="n">
        <f aca="false">IF($H700="숙박",0,IF($H700=MID(R$1,3,20),IF($I700="",1,0.6),IF($I700=MID(R$1,3,20),0.4,0)))</f>
        <v>0</v>
      </c>
      <c r="S700" s="10" t="n">
        <f aca="false">IF($H700="숙박",0,IF($H700=MID(S$1,3,20),IF($I700="",1,0.6),IF($I700=MID(S$1,3,20),0.4,0)))</f>
        <v>0</v>
      </c>
      <c r="T700" s="10" t="n">
        <f aca="false">IF($H700="숙박",0,IF($H700=MID(T$1,3,20),IF($I700="",1,0.6),IF($I700=MID(T$1,3,20),0.4,0)))</f>
        <v>0</v>
      </c>
      <c r="U700" s="10" t="n">
        <f aca="false">IF($H700="숙박",0,IF(ISNUMBER(SEARCH("야경",$J700)),1,0))</f>
        <v>0</v>
      </c>
      <c r="V700" s="10" t="n">
        <f aca="false">IF($H700="숙박",0,1)</f>
        <v>0</v>
      </c>
    </row>
    <row r="701" customFormat="false" ht="15" hidden="false" customHeight="false" outlineLevel="0" collapsed="false">
      <c r="A701" s="8" t="n">
        <v>700</v>
      </c>
      <c r="B701" s="8" t="s">
        <v>45</v>
      </c>
      <c r="C701" s="8" t="s">
        <v>2214</v>
      </c>
      <c r="D701" s="8" t="s">
        <v>2215</v>
      </c>
      <c r="E701" s="7" t="s">
        <v>2216</v>
      </c>
      <c r="F701" s="8"/>
      <c r="G701" s="8" t="s">
        <v>190</v>
      </c>
      <c r="H701" s="9" t="s">
        <v>190</v>
      </c>
      <c r="I701" s="9"/>
      <c r="J701" s="9"/>
      <c r="K701" s="9" t="s">
        <v>191</v>
      </c>
      <c r="L701" s="8"/>
      <c r="M701" s="8"/>
      <c r="N701" s="8"/>
      <c r="O701" s="8" t="s">
        <v>2217</v>
      </c>
      <c r="P701" s="10" t="n">
        <f aca="false">IF($H701="숙박",0,IF($H701=MID(P$1,3,20),IF($I701="",1,0.6),IF($I701=MID(P$1,3,20),0.4,0)))</f>
        <v>1</v>
      </c>
      <c r="Q701" s="10" t="n">
        <f aca="false">IF($H701="숙박",0,IF($H701=MID(Q$1,3,20),IF($I701="",1,0.6),IF($I701=MID(Q$1,3,20),0.4,0)))</f>
        <v>0</v>
      </c>
      <c r="R701" s="10" t="n">
        <f aca="false">IF($H701="숙박",0,IF($H701=MID(R$1,3,20),IF($I701="",1,0.6),IF($I701=MID(R$1,3,20),0.4,0)))</f>
        <v>0</v>
      </c>
      <c r="S701" s="10" t="n">
        <f aca="false">IF($H701="숙박",0,IF($H701=MID(S$1,3,20),IF($I701="",1,0.6),IF($I701=MID(S$1,3,20),0.4,0)))</f>
        <v>0</v>
      </c>
      <c r="T701" s="10" t="n">
        <f aca="false">IF($H701="숙박",0,IF($H701=MID(T$1,3,20),IF($I701="",1,0.6),IF($I701=MID(T$1,3,20),0.4,0)))</f>
        <v>0</v>
      </c>
      <c r="U701" s="10" t="n">
        <f aca="false">IF($H701="숙박",0,IF(ISNUMBER(SEARCH("야경",$J701)),1,0))</f>
        <v>0</v>
      </c>
      <c r="V701" s="10" t="n">
        <f aca="false">IF($H701="숙박",0,1)</f>
        <v>1</v>
      </c>
    </row>
    <row r="702" customFormat="false" ht="15" hidden="false" customHeight="false" outlineLevel="0" collapsed="false">
      <c r="A702" s="8" t="n">
        <v>701</v>
      </c>
      <c r="B702" s="8" t="s">
        <v>45</v>
      </c>
      <c r="C702" s="8" t="s">
        <v>384</v>
      </c>
      <c r="D702" s="8" t="s">
        <v>2218</v>
      </c>
      <c r="E702" s="7" t="s">
        <v>2219</v>
      </c>
      <c r="F702" s="8"/>
      <c r="G702" s="8" t="s">
        <v>184</v>
      </c>
      <c r="H702" s="9" t="s">
        <v>184</v>
      </c>
      <c r="I702" s="9" t="s">
        <v>49</v>
      </c>
      <c r="J702" s="9"/>
      <c r="K702" s="9" t="s">
        <v>52</v>
      </c>
      <c r="L702" s="8"/>
      <c r="M702" s="8"/>
      <c r="N702" s="8" t="s">
        <v>483</v>
      </c>
      <c r="O702" s="8" t="s">
        <v>2220</v>
      </c>
      <c r="P702" s="10" t="n">
        <f aca="false">IF($H702="숙박",0,IF($H702=MID(P$1,3,20),IF($I702="",1,0.6),IF($I702=MID(P$1,3,20),0.4,0)))</f>
        <v>0</v>
      </c>
      <c r="Q702" s="10" t="n">
        <f aca="false">IF($H702="숙박",0,IF($H702=MID(Q$1,3,20),IF($I702="",1,0.6),IF($I702=MID(Q$1,3,20),0.4,0)))</f>
        <v>0.4</v>
      </c>
      <c r="R702" s="10" t="n">
        <f aca="false">IF($H702="숙박",0,IF($H702=MID(R$1,3,20),IF($I702="",1,0.6),IF($I702=MID(R$1,3,20),0.4,0)))</f>
        <v>0.6</v>
      </c>
      <c r="S702" s="10" t="n">
        <f aca="false">IF($H702="숙박",0,IF($H702=MID(S$1,3,20),IF($I702="",1,0.6),IF($I702=MID(S$1,3,20),0.4,0)))</f>
        <v>0</v>
      </c>
      <c r="T702" s="10" t="n">
        <f aca="false">IF($H702="숙박",0,IF($H702=MID(T$1,3,20),IF($I702="",1,0.6),IF($I702=MID(T$1,3,20),0.4,0)))</f>
        <v>0</v>
      </c>
      <c r="U702" s="10" t="n">
        <f aca="false">IF($H702="숙박",0,IF(ISNUMBER(SEARCH("야경",$J702)),1,0))</f>
        <v>0</v>
      </c>
      <c r="V702" s="10" t="n">
        <f aca="false">IF($H702="숙박",0,1)</f>
        <v>1</v>
      </c>
    </row>
    <row r="703" customFormat="false" ht="15" hidden="false" customHeight="false" outlineLevel="0" collapsed="false">
      <c r="A703" s="8" t="n">
        <v>702</v>
      </c>
      <c r="B703" s="8" t="s">
        <v>45</v>
      </c>
      <c r="C703" s="8" t="s">
        <v>1367</v>
      </c>
      <c r="D703" s="8" t="s">
        <v>2221</v>
      </c>
      <c r="E703" s="7" t="s">
        <v>2222</v>
      </c>
      <c r="F703" s="8"/>
      <c r="G703" s="8" t="s">
        <v>49</v>
      </c>
      <c r="H703" s="9" t="s">
        <v>49</v>
      </c>
      <c r="I703" s="9"/>
      <c r="J703" s="9"/>
      <c r="K703" s="9" t="s">
        <v>52</v>
      </c>
      <c r="L703" s="8"/>
      <c r="M703" s="8"/>
      <c r="N703" s="8"/>
      <c r="O703" s="8" t="s">
        <v>2223</v>
      </c>
      <c r="P703" s="10" t="n">
        <f aca="false">IF($H703="숙박",0,IF($H703=MID(P$1,3,20),IF($I703="",1,0.6),IF($I703=MID(P$1,3,20),0.4,0)))</f>
        <v>0</v>
      </c>
      <c r="Q703" s="10" t="n">
        <f aca="false">IF($H703="숙박",0,IF($H703=MID(Q$1,3,20),IF($I703="",1,0.6),IF($I703=MID(Q$1,3,20),0.4,0)))</f>
        <v>1</v>
      </c>
      <c r="R703" s="10" t="n">
        <f aca="false">IF($H703="숙박",0,IF($H703=MID(R$1,3,20),IF($I703="",1,0.6),IF($I703=MID(R$1,3,20),0.4,0)))</f>
        <v>0</v>
      </c>
      <c r="S703" s="10" t="n">
        <f aca="false">IF($H703="숙박",0,IF($H703=MID(S$1,3,20),IF($I703="",1,0.6),IF($I703=MID(S$1,3,20),0.4,0)))</f>
        <v>0</v>
      </c>
      <c r="T703" s="10" t="n">
        <f aca="false">IF($H703="숙박",0,IF($H703=MID(T$1,3,20),IF($I703="",1,0.6),IF($I703=MID(T$1,3,20),0.4,0)))</f>
        <v>0</v>
      </c>
      <c r="U703" s="10" t="n">
        <f aca="false">IF($H703="숙박",0,IF(ISNUMBER(SEARCH("야경",$J703)),1,0))</f>
        <v>0</v>
      </c>
      <c r="V703" s="10" t="n">
        <f aca="false">IF($H703="숙박",0,1)</f>
        <v>1</v>
      </c>
    </row>
    <row r="704" customFormat="false" ht="15" hidden="false" customHeight="false" outlineLevel="0" collapsed="false">
      <c r="A704" s="8" t="n">
        <v>703</v>
      </c>
      <c r="B704" s="8" t="s">
        <v>45</v>
      </c>
      <c r="C704" s="8" t="s">
        <v>1539</v>
      </c>
      <c r="D704" s="8" t="s">
        <v>2224</v>
      </c>
      <c r="E704" s="7" t="s">
        <v>2225</v>
      </c>
      <c r="F704" s="8"/>
      <c r="G704" s="8" t="s">
        <v>50</v>
      </c>
      <c r="H704" s="9" t="s">
        <v>50</v>
      </c>
      <c r="I704" s="9"/>
      <c r="J704" s="9" t="s">
        <v>168</v>
      </c>
      <c r="K704" s="9" t="s">
        <v>52</v>
      </c>
      <c r="L704" s="8"/>
      <c r="M704" s="8"/>
      <c r="N704" s="8"/>
      <c r="O704" s="8" t="s">
        <v>2226</v>
      </c>
      <c r="P704" s="10" t="n">
        <f aca="false">IF($H704="숙박",0,IF($H704=MID(P$1,3,20),IF($I704="",1,0.6),IF($I704=MID(P$1,3,20),0.4,0)))</f>
        <v>0</v>
      </c>
      <c r="Q704" s="10" t="n">
        <f aca="false">IF($H704="숙박",0,IF($H704=MID(Q$1,3,20),IF($I704="",1,0.6),IF($I704=MID(Q$1,3,20),0.4,0)))</f>
        <v>0</v>
      </c>
      <c r="R704" s="10" t="n">
        <f aca="false">IF($H704="숙박",0,IF($H704=MID(R$1,3,20),IF($I704="",1,0.6),IF($I704=MID(R$1,3,20),0.4,0)))</f>
        <v>0</v>
      </c>
      <c r="S704" s="10" t="n">
        <f aca="false">IF($H704="숙박",0,IF($H704=MID(S$1,3,20),IF($I704="",1,0.6),IF($I704=MID(S$1,3,20),0.4,0)))</f>
        <v>0</v>
      </c>
      <c r="T704" s="10" t="n">
        <f aca="false">IF($H704="숙박",0,IF($H704=MID(T$1,3,20),IF($I704="",1,0.6),IF($I704=MID(T$1,3,20),0.4,0)))</f>
        <v>1</v>
      </c>
      <c r="U704" s="10" t="n">
        <f aca="false">IF($H704="숙박",0,IF(ISNUMBER(SEARCH("야경",$J704)),1,0))</f>
        <v>0</v>
      </c>
      <c r="V704" s="10" t="n">
        <f aca="false">IF($H704="숙박",0,1)</f>
        <v>1</v>
      </c>
    </row>
    <row r="705" customFormat="false" ht="15" hidden="false" customHeight="false" outlineLevel="0" collapsed="false">
      <c r="A705" s="8" t="n">
        <v>704</v>
      </c>
      <c r="B705" s="8" t="s">
        <v>45</v>
      </c>
      <c r="C705" s="8" t="s">
        <v>1489</v>
      </c>
      <c r="D705" s="8" t="s">
        <v>2227</v>
      </c>
      <c r="E705" s="7" t="s">
        <v>2228</v>
      </c>
      <c r="F705" s="8"/>
      <c r="G705" s="8" t="s">
        <v>190</v>
      </c>
      <c r="H705" s="9" t="s">
        <v>190</v>
      </c>
      <c r="I705" s="9"/>
      <c r="J705" s="9"/>
      <c r="K705" s="9" t="s">
        <v>191</v>
      </c>
      <c r="L705" s="8"/>
      <c r="M705" s="8"/>
      <c r="N705" s="8"/>
      <c r="O705" s="8" t="s">
        <v>2229</v>
      </c>
      <c r="P705" s="10" t="n">
        <f aca="false">IF($H705="숙박",0,IF($H705=MID(P$1,3,20),IF($I705="",1,0.6),IF($I705=MID(P$1,3,20),0.4,0)))</f>
        <v>1</v>
      </c>
      <c r="Q705" s="10" t="n">
        <f aca="false">IF($H705="숙박",0,IF($H705=MID(Q$1,3,20),IF($I705="",1,0.6),IF($I705=MID(Q$1,3,20),0.4,0)))</f>
        <v>0</v>
      </c>
      <c r="R705" s="10" t="n">
        <f aca="false">IF($H705="숙박",0,IF($H705=MID(R$1,3,20),IF($I705="",1,0.6),IF($I705=MID(R$1,3,20),0.4,0)))</f>
        <v>0</v>
      </c>
      <c r="S705" s="10" t="n">
        <f aca="false">IF($H705="숙박",0,IF($H705=MID(S$1,3,20),IF($I705="",1,0.6),IF($I705=MID(S$1,3,20),0.4,0)))</f>
        <v>0</v>
      </c>
      <c r="T705" s="10" t="n">
        <f aca="false">IF($H705="숙박",0,IF($H705=MID(T$1,3,20),IF($I705="",1,0.6),IF($I705=MID(T$1,3,20),0.4,0)))</f>
        <v>0</v>
      </c>
      <c r="U705" s="10" t="n">
        <f aca="false">IF($H705="숙박",0,IF(ISNUMBER(SEARCH("야경",$J705)),1,0))</f>
        <v>0</v>
      </c>
      <c r="V705" s="10" t="n">
        <f aca="false">IF($H705="숙박",0,1)</f>
        <v>1</v>
      </c>
    </row>
    <row r="706" customFormat="false" ht="15" hidden="false" customHeight="false" outlineLevel="0" collapsed="false">
      <c r="A706" s="8" t="n">
        <v>705</v>
      </c>
      <c r="B706" s="8" t="s">
        <v>45</v>
      </c>
      <c r="C706" s="8" t="s">
        <v>1343</v>
      </c>
      <c r="D706" s="8" t="s">
        <v>2230</v>
      </c>
      <c r="E706" s="7" t="s">
        <v>2231</v>
      </c>
      <c r="F706" s="8"/>
      <c r="G706" s="8" t="s">
        <v>216</v>
      </c>
      <c r="H706" s="9" t="s">
        <v>216</v>
      </c>
      <c r="I706" s="9"/>
      <c r="J706" s="9"/>
      <c r="K706" s="9" t="s">
        <v>191</v>
      </c>
      <c r="L706" s="8"/>
      <c r="M706" s="8"/>
      <c r="N706" s="8"/>
      <c r="O706" s="8" t="s">
        <v>2232</v>
      </c>
      <c r="P706" s="10" t="n">
        <f aca="false">IF($H706="숙박",0,IF($H706=MID(P$1,3,20),IF($I706="",1,0.6),IF($I706=MID(P$1,3,20),0.4,0)))</f>
        <v>0</v>
      </c>
      <c r="Q706" s="10" t="n">
        <f aca="false">IF($H706="숙박",0,IF($H706=MID(Q$1,3,20),IF($I706="",1,0.6),IF($I706=MID(Q$1,3,20),0.4,0)))</f>
        <v>0</v>
      </c>
      <c r="R706" s="10" t="n">
        <f aca="false">IF($H706="숙박",0,IF($H706=MID(R$1,3,20),IF($I706="",1,0.6),IF($I706=MID(R$1,3,20),0.4,0)))</f>
        <v>0</v>
      </c>
      <c r="S706" s="10" t="n">
        <f aca="false">IF($H706="숙박",0,IF($H706=MID(S$1,3,20),IF($I706="",1,0.6),IF($I706=MID(S$1,3,20),0.4,0)))</f>
        <v>1</v>
      </c>
      <c r="T706" s="10" t="n">
        <f aca="false">IF($H706="숙박",0,IF($H706=MID(T$1,3,20),IF($I706="",1,0.6),IF($I706=MID(T$1,3,20),0.4,0)))</f>
        <v>0</v>
      </c>
      <c r="U706" s="10" t="n">
        <f aca="false">IF($H706="숙박",0,IF(ISNUMBER(SEARCH("야경",$J706)),1,0))</f>
        <v>0</v>
      </c>
      <c r="V706" s="10" t="n">
        <f aca="false">IF($H706="숙박",0,1)</f>
        <v>1</v>
      </c>
    </row>
    <row r="707" customFormat="false" ht="15" hidden="false" customHeight="false" outlineLevel="0" collapsed="false">
      <c r="A707" s="8" t="n">
        <v>706</v>
      </c>
      <c r="B707" s="8" t="s">
        <v>45</v>
      </c>
      <c r="C707" s="8"/>
      <c r="D707" s="8" t="s">
        <v>2233</v>
      </c>
      <c r="E707" s="7" t="s">
        <v>2234</v>
      </c>
      <c r="F707" s="8"/>
      <c r="G707" s="8"/>
      <c r="H707" s="9" t="s">
        <v>594</v>
      </c>
      <c r="I707" s="9"/>
      <c r="J707" s="9"/>
      <c r="K707" s="9"/>
      <c r="L707" s="8"/>
      <c r="M707" s="8"/>
      <c r="N707" s="8" t="s">
        <v>595</v>
      </c>
      <c r="O707" s="8"/>
      <c r="P707" s="10" t="n">
        <f aca="false">IF($H707="숙박",0,IF($H707=MID(P$1,3,20),IF($I707="",1,0.6),IF($I707=MID(P$1,3,20),0.4,0)))</f>
        <v>0</v>
      </c>
      <c r="Q707" s="10" t="n">
        <f aca="false">IF($H707="숙박",0,IF($H707=MID(Q$1,3,20),IF($I707="",1,0.6),IF($I707=MID(Q$1,3,20),0.4,0)))</f>
        <v>0</v>
      </c>
      <c r="R707" s="10" t="n">
        <f aca="false">IF($H707="숙박",0,IF($H707=MID(R$1,3,20),IF($I707="",1,0.6),IF($I707=MID(R$1,3,20),0.4,0)))</f>
        <v>0</v>
      </c>
      <c r="S707" s="10" t="n">
        <f aca="false">IF($H707="숙박",0,IF($H707=MID(S$1,3,20),IF($I707="",1,0.6),IF($I707=MID(S$1,3,20),0.4,0)))</f>
        <v>0</v>
      </c>
      <c r="T707" s="10" t="n">
        <f aca="false">IF($H707="숙박",0,IF($H707=MID(T$1,3,20),IF($I707="",1,0.6),IF($I707=MID(T$1,3,20),0.4,0)))</f>
        <v>0</v>
      </c>
      <c r="U707" s="10" t="n">
        <f aca="false">IF($H707="숙박",0,IF(ISNUMBER(SEARCH("야경",$J707)),1,0))</f>
        <v>0</v>
      </c>
      <c r="V707" s="10" t="n">
        <f aca="false">IF($H707="숙박",0,1)</f>
        <v>0</v>
      </c>
    </row>
    <row r="708" customFormat="false" ht="15" hidden="false" customHeight="false" outlineLevel="0" collapsed="false">
      <c r="A708" s="8" t="n">
        <v>707</v>
      </c>
      <c r="B708" s="8" t="s">
        <v>45</v>
      </c>
      <c r="C708" s="8" t="s">
        <v>1899</v>
      </c>
      <c r="D708" s="8" t="s">
        <v>2235</v>
      </c>
      <c r="E708" s="7" t="s">
        <v>2236</v>
      </c>
      <c r="F708" s="8"/>
      <c r="G708" s="8" t="s">
        <v>50</v>
      </c>
      <c r="H708" s="9" t="s">
        <v>50</v>
      </c>
      <c r="I708" s="9"/>
      <c r="J708" s="9" t="s">
        <v>168</v>
      </c>
      <c r="K708" s="9" t="s">
        <v>52</v>
      </c>
      <c r="L708" s="8"/>
      <c r="M708" s="8"/>
      <c r="N708" s="8"/>
      <c r="O708" s="8" t="s">
        <v>2237</v>
      </c>
      <c r="P708" s="10" t="n">
        <f aca="false">IF($H708="숙박",0,IF($H708=MID(P$1,3,20),IF($I708="",1,0.6),IF($I708=MID(P$1,3,20),0.4,0)))</f>
        <v>0</v>
      </c>
      <c r="Q708" s="10" t="n">
        <f aca="false">IF($H708="숙박",0,IF($H708=MID(Q$1,3,20),IF($I708="",1,0.6),IF($I708=MID(Q$1,3,20),0.4,0)))</f>
        <v>0</v>
      </c>
      <c r="R708" s="10" t="n">
        <f aca="false">IF($H708="숙박",0,IF($H708=MID(R$1,3,20),IF($I708="",1,0.6),IF($I708=MID(R$1,3,20),0.4,0)))</f>
        <v>0</v>
      </c>
      <c r="S708" s="10" t="n">
        <f aca="false">IF($H708="숙박",0,IF($H708=MID(S$1,3,20),IF($I708="",1,0.6),IF($I708=MID(S$1,3,20),0.4,0)))</f>
        <v>0</v>
      </c>
      <c r="T708" s="10" t="n">
        <f aca="false">IF($H708="숙박",0,IF($H708=MID(T$1,3,20),IF($I708="",1,0.6),IF($I708=MID(T$1,3,20),0.4,0)))</f>
        <v>1</v>
      </c>
      <c r="U708" s="10" t="n">
        <f aca="false">IF($H708="숙박",0,IF(ISNUMBER(SEARCH("야경",$J708)),1,0))</f>
        <v>0</v>
      </c>
      <c r="V708" s="10" t="n">
        <f aca="false">IF($H708="숙박",0,1)</f>
        <v>1</v>
      </c>
    </row>
    <row r="709" customFormat="false" ht="15" hidden="false" customHeight="false" outlineLevel="0" collapsed="false">
      <c r="A709" s="8" t="n">
        <v>708</v>
      </c>
      <c r="B709" s="8" t="s">
        <v>45</v>
      </c>
      <c r="C709" s="8" t="s">
        <v>2214</v>
      </c>
      <c r="D709" s="8" t="s">
        <v>2238</v>
      </c>
      <c r="E709" s="7" t="s">
        <v>2239</v>
      </c>
      <c r="F709" s="8"/>
      <c r="G709" s="8" t="s">
        <v>190</v>
      </c>
      <c r="H709" s="9" t="s">
        <v>190</v>
      </c>
      <c r="I709" s="9"/>
      <c r="J709" s="9"/>
      <c r="K709" s="9" t="s">
        <v>191</v>
      </c>
      <c r="L709" s="8"/>
      <c r="M709" s="8"/>
      <c r="N709" s="8"/>
      <c r="O709" s="8" t="s">
        <v>2240</v>
      </c>
      <c r="P709" s="10" t="n">
        <f aca="false">IF($H709="숙박",0,IF($H709=MID(P$1,3,20),IF($I709="",1,0.6),IF($I709=MID(P$1,3,20),0.4,0)))</f>
        <v>1</v>
      </c>
      <c r="Q709" s="10" t="n">
        <f aca="false">IF($H709="숙박",0,IF($H709=MID(Q$1,3,20),IF($I709="",1,0.6),IF($I709=MID(Q$1,3,20),0.4,0)))</f>
        <v>0</v>
      </c>
      <c r="R709" s="10" t="n">
        <f aca="false">IF($H709="숙박",0,IF($H709=MID(R$1,3,20),IF($I709="",1,0.6),IF($I709=MID(R$1,3,20),0.4,0)))</f>
        <v>0</v>
      </c>
      <c r="S709" s="10" t="n">
        <f aca="false">IF($H709="숙박",0,IF($H709=MID(S$1,3,20),IF($I709="",1,0.6),IF($I709=MID(S$1,3,20),0.4,0)))</f>
        <v>0</v>
      </c>
      <c r="T709" s="10" t="n">
        <f aca="false">IF($H709="숙박",0,IF($H709=MID(T$1,3,20),IF($I709="",1,0.6),IF($I709=MID(T$1,3,20),0.4,0)))</f>
        <v>0</v>
      </c>
      <c r="U709" s="10" t="n">
        <f aca="false">IF($H709="숙박",0,IF(ISNUMBER(SEARCH("야경",$J709)),1,0))</f>
        <v>0</v>
      </c>
      <c r="V709" s="10" t="n">
        <f aca="false">IF($H709="숙박",0,1)</f>
        <v>1</v>
      </c>
    </row>
    <row r="710" customFormat="false" ht="15" hidden="false" customHeight="false" outlineLevel="0" collapsed="false">
      <c r="A710" s="8" t="n">
        <v>709</v>
      </c>
      <c r="B710" s="8" t="s">
        <v>45</v>
      </c>
      <c r="C710" s="8" t="s">
        <v>376</v>
      </c>
      <c r="D710" s="8" t="s">
        <v>2241</v>
      </c>
      <c r="E710" s="7" t="s">
        <v>2242</v>
      </c>
      <c r="F710" s="8"/>
      <c r="G710" s="8" t="s">
        <v>49</v>
      </c>
      <c r="H710" s="9" t="s">
        <v>49</v>
      </c>
      <c r="I710" s="9"/>
      <c r="J710" s="9"/>
      <c r="K710" s="9" t="s">
        <v>52</v>
      </c>
      <c r="L710" s="8"/>
      <c r="M710" s="8"/>
      <c r="N710" s="8"/>
      <c r="O710" s="8" t="s">
        <v>2243</v>
      </c>
      <c r="P710" s="10" t="n">
        <f aca="false">IF($H710="숙박",0,IF($H710=MID(P$1,3,20),IF($I710="",1,0.6),IF($I710=MID(P$1,3,20),0.4,0)))</f>
        <v>0</v>
      </c>
      <c r="Q710" s="10" t="n">
        <f aca="false">IF($H710="숙박",0,IF($H710=MID(Q$1,3,20),IF($I710="",1,0.6),IF($I710=MID(Q$1,3,20),0.4,0)))</f>
        <v>1</v>
      </c>
      <c r="R710" s="10" t="n">
        <f aca="false">IF($H710="숙박",0,IF($H710=MID(R$1,3,20),IF($I710="",1,0.6),IF($I710=MID(R$1,3,20),0.4,0)))</f>
        <v>0</v>
      </c>
      <c r="S710" s="10" t="n">
        <f aca="false">IF($H710="숙박",0,IF($H710=MID(S$1,3,20),IF($I710="",1,0.6),IF($I710=MID(S$1,3,20),0.4,0)))</f>
        <v>0</v>
      </c>
      <c r="T710" s="10" t="n">
        <f aca="false">IF($H710="숙박",0,IF($H710=MID(T$1,3,20),IF($I710="",1,0.6),IF($I710=MID(T$1,3,20),0.4,0)))</f>
        <v>0</v>
      </c>
      <c r="U710" s="10" t="n">
        <f aca="false">IF($H710="숙박",0,IF(ISNUMBER(SEARCH("야경",$J710)),1,0))</f>
        <v>0</v>
      </c>
      <c r="V710" s="10" t="n">
        <f aca="false">IF($H710="숙박",0,1)</f>
        <v>1</v>
      </c>
    </row>
    <row r="711" customFormat="false" ht="15" hidden="false" customHeight="false" outlineLevel="0" collapsed="false">
      <c r="A711" s="8" t="n">
        <v>710</v>
      </c>
      <c r="B711" s="8" t="s">
        <v>45</v>
      </c>
      <c r="C711" s="8" t="s">
        <v>1829</v>
      </c>
      <c r="D711" s="8" t="s">
        <v>2244</v>
      </c>
      <c r="E711" s="7" t="s">
        <v>2245</v>
      </c>
      <c r="F711" s="8"/>
      <c r="G711" s="8" t="s">
        <v>190</v>
      </c>
      <c r="H711" s="9" t="s">
        <v>190</v>
      </c>
      <c r="I711" s="9"/>
      <c r="J711" s="9"/>
      <c r="K711" s="9" t="s">
        <v>191</v>
      </c>
      <c r="L711" s="8"/>
      <c r="M711" s="8"/>
      <c r="N711" s="8"/>
      <c r="O711" s="8" t="s">
        <v>2246</v>
      </c>
      <c r="P711" s="10" t="n">
        <f aca="false">IF($H711="숙박",0,IF($H711=MID(P$1,3,20),IF($I711="",1,0.6),IF($I711=MID(P$1,3,20),0.4,0)))</f>
        <v>1</v>
      </c>
      <c r="Q711" s="10" t="n">
        <f aca="false">IF($H711="숙박",0,IF($H711=MID(Q$1,3,20),IF($I711="",1,0.6),IF($I711=MID(Q$1,3,20),0.4,0)))</f>
        <v>0</v>
      </c>
      <c r="R711" s="10" t="n">
        <f aca="false">IF($H711="숙박",0,IF($H711=MID(R$1,3,20),IF($I711="",1,0.6),IF($I711=MID(R$1,3,20),0.4,0)))</f>
        <v>0</v>
      </c>
      <c r="S711" s="10" t="n">
        <f aca="false">IF($H711="숙박",0,IF($H711=MID(S$1,3,20),IF($I711="",1,0.6),IF($I711=MID(S$1,3,20),0.4,0)))</f>
        <v>0</v>
      </c>
      <c r="T711" s="10" t="n">
        <f aca="false">IF($H711="숙박",0,IF($H711=MID(T$1,3,20),IF($I711="",1,0.6),IF($I711=MID(T$1,3,20),0.4,0)))</f>
        <v>0</v>
      </c>
      <c r="U711" s="10" t="n">
        <f aca="false">IF($H711="숙박",0,IF(ISNUMBER(SEARCH("야경",$J711)),1,0))</f>
        <v>0</v>
      </c>
      <c r="V711" s="10" t="n">
        <f aca="false">IF($H711="숙박",0,1)</f>
        <v>1</v>
      </c>
    </row>
    <row r="712" customFormat="false" ht="15" hidden="false" customHeight="false" outlineLevel="0" collapsed="false">
      <c r="A712" s="8" t="n">
        <v>711</v>
      </c>
      <c r="B712" s="8" t="s">
        <v>45</v>
      </c>
      <c r="C712" s="8" t="s">
        <v>1489</v>
      </c>
      <c r="D712" s="8" t="s">
        <v>2247</v>
      </c>
      <c r="E712" s="7" t="s">
        <v>2248</v>
      </c>
      <c r="F712" s="8"/>
      <c r="G712" s="8" t="s">
        <v>190</v>
      </c>
      <c r="H712" s="9" t="s">
        <v>190</v>
      </c>
      <c r="I712" s="9"/>
      <c r="J712" s="9"/>
      <c r="K712" s="9" t="s">
        <v>191</v>
      </c>
      <c r="L712" s="8"/>
      <c r="M712" s="8"/>
      <c r="N712" s="8"/>
      <c r="O712" s="8" t="s">
        <v>2249</v>
      </c>
      <c r="P712" s="10" t="n">
        <f aca="false">IF($H712="숙박",0,IF($H712=MID(P$1,3,20),IF($I712="",1,0.6),IF($I712=MID(P$1,3,20),0.4,0)))</f>
        <v>1</v>
      </c>
      <c r="Q712" s="10" t="n">
        <f aca="false">IF($H712="숙박",0,IF($H712=MID(Q$1,3,20),IF($I712="",1,0.6),IF($I712=MID(Q$1,3,20),0.4,0)))</f>
        <v>0</v>
      </c>
      <c r="R712" s="10" t="n">
        <f aca="false">IF($H712="숙박",0,IF($H712=MID(R$1,3,20),IF($I712="",1,0.6),IF($I712=MID(R$1,3,20),0.4,0)))</f>
        <v>0</v>
      </c>
      <c r="S712" s="10" t="n">
        <f aca="false">IF($H712="숙박",0,IF($H712=MID(S$1,3,20),IF($I712="",1,0.6),IF($I712=MID(S$1,3,20),0.4,0)))</f>
        <v>0</v>
      </c>
      <c r="T712" s="10" t="n">
        <f aca="false">IF($H712="숙박",0,IF($H712=MID(T$1,3,20),IF($I712="",1,0.6),IF($I712=MID(T$1,3,20),0.4,0)))</f>
        <v>0</v>
      </c>
      <c r="U712" s="10" t="n">
        <f aca="false">IF($H712="숙박",0,IF(ISNUMBER(SEARCH("야경",$J712)),1,0))</f>
        <v>0</v>
      </c>
      <c r="V712" s="10" t="n">
        <f aca="false">IF($H712="숙박",0,1)</f>
        <v>1</v>
      </c>
    </row>
    <row r="713" customFormat="false" ht="15" hidden="false" customHeight="false" outlineLevel="0" collapsed="false">
      <c r="A713" s="8" t="n">
        <v>712</v>
      </c>
      <c r="B713" s="8" t="s">
        <v>45</v>
      </c>
      <c r="C713" s="8" t="s">
        <v>1855</v>
      </c>
      <c r="D713" s="8" t="s">
        <v>2250</v>
      </c>
      <c r="E713" s="7" t="s">
        <v>2251</v>
      </c>
      <c r="F713" s="8"/>
      <c r="G713" s="8" t="s">
        <v>190</v>
      </c>
      <c r="H713" s="9" t="s">
        <v>190</v>
      </c>
      <c r="I713" s="9" t="s">
        <v>49</v>
      </c>
      <c r="J713" s="9"/>
      <c r="K713" s="9" t="s">
        <v>52</v>
      </c>
      <c r="L713" s="8"/>
      <c r="M713" s="8"/>
      <c r="N713" s="8" t="s">
        <v>483</v>
      </c>
      <c r="O713" s="8" t="s">
        <v>2252</v>
      </c>
      <c r="P713" s="10" t="n">
        <f aca="false">IF($H713="숙박",0,IF($H713=MID(P$1,3,20),IF($I713="",1,0.6),IF($I713=MID(P$1,3,20),0.4,0)))</f>
        <v>0.6</v>
      </c>
      <c r="Q713" s="10" t="n">
        <f aca="false">IF($H713="숙박",0,IF($H713=MID(Q$1,3,20),IF($I713="",1,0.6),IF($I713=MID(Q$1,3,20),0.4,0)))</f>
        <v>0.4</v>
      </c>
      <c r="R713" s="10" t="n">
        <f aca="false">IF($H713="숙박",0,IF($H713=MID(R$1,3,20),IF($I713="",1,0.6),IF($I713=MID(R$1,3,20),0.4,0)))</f>
        <v>0</v>
      </c>
      <c r="S713" s="10" t="n">
        <f aca="false">IF($H713="숙박",0,IF($H713=MID(S$1,3,20),IF($I713="",1,0.6),IF($I713=MID(S$1,3,20),0.4,0)))</f>
        <v>0</v>
      </c>
      <c r="T713" s="10" t="n">
        <f aca="false">IF($H713="숙박",0,IF($H713=MID(T$1,3,20),IF($I713="",1,0.6),IF($I713=MID(T$1,3,20),0.4,0)))</f>
        <v>0</v>
      </c>
      <c r="U713" s="10" t="n">
        <f aca="false">IF($H713="숙박",0,IF(ISNUMBER(SEARCH("야경",$J713)),1,0))</f>
        <v>0</v>
      </c>
      <c r="V713" s="10" t="n">
        <f aca="false">IF($H713="숙박",0,1)</f>
        <v>1</v>
      </c>
    </row>
    <row r="714" customFormat="false" ht="15" hidden="false" customHeight="false" outlineLevel="0" collapsed="false">
      <c r="A714" s="8" t="n">
        <v>713</v>
      </c>
      <c r="B714" s="8" t="s">
        <v>45</v>
      </c>
      <c r="C714" s="8" t="s">
        <v>1336</v>
      </c>
      <c r="D714" s="8" t="s">
        <v>2253</v>
      </c>
      <c r="E714" s="7" t="s">
        <v>2254</v>
      </c>
      <c r="F714" s="8"/>
      <c r="G714" s="8" t="s">
        <v>190</v>
      </c>
      <c r="H714" s="9" t="s">
        <v>190</v>
      </c>
      <c r="I714" s="9"/>
      <c r="J714" s="9"/>
      <c r="K714" s="9" t="s">
        <v>52</v>
      </c>
      <c r="L714" s="8"/>
      <c r="M714" s="8"/>
      <c r="N714" s="8"/>
      <c r="O714" s="8" t="s">
        <v>2255</v>
      </c>
      <c r="P714" s="10" t="n">
        <f aca="false">IF($H714="숙박",0,IF($H714=MID(P$1,3,20),IF($I714="",1,0.6),IF($I714=MID(P$1,3,20),0.4,0)))</f>
        <v>1</v>
      </c>
      <c r="Q714" s="10" t="n">
        <f aca="false">IF($H714="숙박",0,IF($H714=MID(Q$1,3,20),IF($I714="",1,0.6),IF($I714=MID(Q$1,3,20),0.4,0)))</f>
        <v>0</v>
      </c>
      <c r="R714" s="10" t="n">
        <f aca="false">IF($H714="숙박",0,IF($H714=MID(R$1,3,20),IF($I714="",1,0.6),IF($I714=MID(R$1,3,20),0.4,0)))</f>
        <v>0</v>
      </c>
      <c r="S714" s="10" t="n">
        <f aca="false">IF($H714="숙박",0,IF($H714=MID(S$1,3,20),IF($I714="",1,0.6),IF($I714=MID(S$1,3,20),0.4,0)))</f>
        <v>0</v>
      </c>
      <c r="T714" s="10" t="n">
        <f aca="false">IF($H714="숙박",0,IF($H714=MID(T$1,3,20),IF($I714="",1,0.6),IF($I714=MID(T$1,3,20),0.4,0)))</f>
        <v>0</v>
      </c>
      <c r="U714" s="10" t="n">
        <f aca="false">IF($H714="숙박",0,IF(ISNUMBER(SEARCH("야경",$J714)),1,0))</f>
        <v>0</v>
      </c>
      <c r="V714" s="10" t="n">
        <f aca="false">IF($H714="숙박",0,1)</f>
        <v>1</v>
      </c>
    </row>
    <row r="715" customFormat="false" ht="15" hidden="false" customHeight="false" outlineLevel="0" collapsed="false">
      <c r="A715" s="8" t="n">
        <v>714</v>
      </c>
      <c r="B715" s="8" t="s">
        <v>45</v>
      </c>
      <c r="C715" s="8" t="s">
        <v>1336</v>
      </c>
      <c r="D715" s="8" t="s">
        <v>2256</v>
      </c>
      <c r="E715" s="7" t="s">
        <v>2257</v>
      </c>
      <c r="F715" s="8"/>
      <c r="G715" s="8" t="s">
        <v>190</v>
      </c>
      <c r="H715" s="9" t="s">
        <v>190</v>
      </c>
      <c r="I715" s="9"/>
      <c r="J715" s="9"/>
      <c r="K715" s="9" t="s">
        <v>191</v>
      </c>
      <c r="L715" s="8"/>
      <c r="M715" s="8"/>
      <c r="N715" s="8"/>
      <c r="O715" s="8" t="s">
        <v>2258</v>
      </c>
      <c r="P715" s="10" t="n">
        <f aca="false">IF($H715="숙박",0,IF($H715=MID(P$1,3,20),IF($I715="",1,0.6),IF($I715=MID(P$1,3,20),0.4,0)))</f>
        <v>1</v>
      </c>
      <c r="Q715" s="10" t="n">
        <f aca="false">IF($H715="숙박",0,IF($H715=MID(Q$1,3,20),IF($I715="",1,0.6),IF($I715=MID(Q$1,3,20),0.4,0)))</f>
        <v>0</v>
      </c>
      <c r="R715" s="10" t="n">
        <f aca="false">IF($H715="숙박",0,IF($H715=MID(R$1,3,20),IF($I715="",1,0.6),IF($I715=MID(R$1,3,20),0.4,0)))</f>
        <v>0</v>
      </c>
      <c r="S715" s="10" t="n">
        <f aca="false">IF($H715="숙박",0,IF($H715=MID(S$1,3,20),IF($I715="",1,0.6),IF($I715=MID(S$1,3,20),0.4,0)))</f>
        <v>0</v>
      </c>
      <c r="T715" s="10" t="n">
        <f aca="false">IF($H715="숙박",0,IF($H715=MID(T$1,3,20),IF($I715="",1,0.6),IF($I715=MID(T$1,3,20),0.4,0)))</f>
        <v>0</v>
      </c>
      <c r="U715" s="10" t="n">
        <f aca="false">IF($H715="숙박",0,IF(ISNUMBER(SEARCH("야경",$J715)),1,0))</f>
        <v>0</v>
      </c>
      <c r="V715" s="10" t="n">
        <f aca="false">IF($H715="숙박",0,1)</f>
        <v>1</v>
      </c>
    </row>
    <row r="716" customFormat="false" ht="15" hidden="false" customHeight="false" outlineLevel="0" collapsed="false">
      <c r="A716" s="8" t="n">
        <v>715</v>
      </c>
      <c r="B716" s="8" t="s">
        <v>45</v>
      </c>
      <c r="C716" s="8"/>
      <c r="D716" s="8" t="s">
        <v>2259</v>
      </c>
      <c r="E716" s="7" t="s">
        <v>2260</v>
      </c>
      <c r="F716" s="8"/>
      <c r="G716" s="8" t="s">
        <v>49</v>
      </c>
      <c r="H716" s="9" t="s">
        <v>49</v>
      </c>
      <c r="I716" s="9"/>
      <c r="J716" s="9"/>
      <c r="K716" s="9" t="s">
        <v>52</v>
      </c>
      <c r="L716" s="8"/>
      <c r="M716" s="8"/>
      <c r="N716" s="8"/>
      <c r="O716" s="8" t="s">
        <v>2261</v>
      </c>
      <c r="P716" s="10" t="n">
        <f aca="false">IF($H716="숙박",0,IF($H716=MID(P$1,3,20),IF($I716="",1,0.6),IF($I716=MID(P$1,3,20),0.4,0)))</f>
        <v>0</v>
      </c>
      <c r="Q716" s="10" t="n">
        <f aca="false">IF($H716="숙박",0,IF($H716=MID(Q$1,3,20),IF($I716="",1,0.6),IF($I716=MID(Q$1,3,20),0.4,0)))</f>
        <v>1</v>
      </c>
      <c r="R716" s="10" t="n">
        <f aca="false">IF($H716="숙박",0,IF($H716=MID(R$1,3,20),IF($I716="",1,0.6),IF($I716=MID(R$1,3,20),0.4,0)))</f>
        <v>0</v>
      </c>
      <c r="S716" s="10" t="n">
        <f aca="false">IF($H716="숙박",0,IF($H716=MID(S$1,3,20),IF($I716="",1,0.6),IF($I716=MID(S$1,3,20),0.4,0)))</f>
        <v>0</v>
      </c>
      <c r="T716" s="10" t="n">
        <f aca="false">IF($H716="숙박",0,IF($H716=MID(T$1,3,20),IF($I716="",1,0.6),IF($I716=MID(T$1,3,20),0.4,0)))</f>
        <v>0</v>
      </c>
      <c r="U716" s="10" t="n">
        <f aca="false">IF($H716="숙박",0,IF(ISNUMBER(SEARCH("야경",$J716)),1,0))</f>
        <v>0</v>
      </c>
      <c r="V716" s="10" t="n">
        <f aca="false">IF($H716="숙박",0,1)</f>
        <v>1</v>
      </c>
    </row>
    <row r="717" customFormat="false" ht="15" hidden="false" customHeight="false" outlineLevel="0" collapsed="false">
      <c r="A717" s="8" t="n">
        <v>716</v>
      </c>
      <c r="B717" s="8" t="s">
        <v>45</v>
      </c>
      <c r="C717" s="8"/>
      <c r="D717" s="8" t="s">
        <v>2262</v>
      </c>
      <c r="E717" s="7" t="s">
        <v>2263</v>
      </c>
      <c r="F717" s="8"/>
      <c r="G717" s="8"/>
      <c r="H717" s="9" t="s">
        <v>594</v>
      </c>
      <c r="I717" s="9"/>
      <c r="J717" s="9"/>
      <c r="K717" s="9"/>
      <c r="L717" s="8"/>
      <c r="M717" s="8"/>
      <c r="N717" s="8" t="s">
        <v>595</v>
      </c>
      <c r="O717" s="8"/>
      <c r="P717" s="10" t="n">
        <f aca="false">IF($H717="숙박",0,IF($H717=MID(P$1,3,20),IF($I717="",1,0.6),IF($I717=MID(P$1,3,20),0.4,0)))</f>
        <v>0</v>
      </c>
      <c r="Q717" s="10" t="n">
        <f aca="false">IF($H717="숙박",0,IF($H717=MID(Q$1,3,20),IF($I717="",1,0.6),IF($I717=MID(Q$1,3,20),0.4,0)))</f>
        <v>0</v>
      </c>
      <c r="R717" s="10" t="n">
        <f aca="false">IF($H717="숙박",0,IF($H717=MID(R$1,3,20),IF($I717="",1,0.6),IF($I717=MID(R$1,3,20),0.4,0)))</f>
        <v>0</v>
      </c>
      <c r="S717" s="10" t="n">
        <f aca="false">IF($H717="숙박",0,IF($H717=MID(S$1,3,20),IF($I717="",1,0.6),IF($I717=MID(S$1,3,20),0.4,0)))</f>
        <v>0</v>
      </c>
      <c r="T717" s="10" t="n">
        <f aca="false">IF($H717="숙박",0,IF($H717=MID(T$1,3,20),IF($I717="",1,0.6),IF($I717=MID(T$1,3,20),0.4,0)))</f>
        <v>0</v>
      </c>
      <c r="U717" s="10" t="n">
        <f aca="false">IF($H717="숙박",0,IF(ISNUMBER(SEARCH("야경",$J717)),1,0))</f>
        <v>0</v>
      </c>
      <c r="V717" s="10" t="n">
        <f aca="false">IF($H717="숙박",0,1)</f>
        <v>0</v>
      </c>
    </row>
    <row r="718" customFormat="false" ht="15" hidden="false" customHeight="false" outlineLevel="0" collapsed="false">
      <c r="A718" s="8" t="n">
        <v>717</v>
      </c>
      <c r="B718" s="8" t="s">
        <v>45</v>
      </c>
      <c r="C718" s="8" t="s">
        <v>2084</v>
      </c>
      <c r="D718" s="8" t="s">
        <v>2264</v>
      </c>
      <c r="E718" s="7" t="s">
        <v>2265</v>
      </c>
      <c r="F718" s="8"/>
      <c r="G718" s="8" t="s">
        <v>190</v>
      </c>
      <c r="H718" s="9" t="s">
        <v>190</v>
      </c>
      <c r="I718" s="9"/>
      <c r="J718" s="9"/>
      <c r="K718" s="9" t="s">
        <v>191</v>
      </c>
      <c r="L718" s="8"/>
      <c r="M718" s="8"/>
      <c r="N718" s="8"/>
      <c r="O718" s="8" t="s">
        <v>2266</v>
      </c>
      <c r="P718" s="10" t="n">
        <f aca="false">IF($H718="숙박",0,IF($H718=MID(P$1,3,20),IF($I718="",1,0.6),IF($I718=MID(P$1,3,20),0.4,0)))</f>
        <v>1</v>
      </c>
      <c r="Q718" s="10" t="n">
        <f aca="false">IF($H718="숙박",0,IF($H718=MID(Q$1,3,20),IF($I718="",1,0.6),IF($I718=MID(Q$1,3,20),0.4,0)))</f>
        <v>0</v>
      </c>
      <c r="R718" s="10" t="n">
        <f aca="false">IF($H718="숙박",0,IF($H718=MID(R$1,3,20),IF($I718="",1,0.6),IF($I718=MID(R$1,3,20),0.4,0)))</f>
        <v>0</v>
      </c>
      <c r="S718" s="10" t="n">
        <f aca="false">IF($H718="숙박",0,IF($H718=MID(S$1,3,20),IF($I718="",1,0.6),IF($I718=MID(S$1,3,20),0.4,0)))</f>
        <v>0</v>
      </c>
      <c r="T718" s="10" t="n">
        <f aca="false">IF($H718="숙박",0,IF($H718=MID(T$1,3,20),IF($I718="",1,0.6),IF($I718=MID(T$1,3,20),0.4,0)))</f>
        <v>0</v>
      </c>
      <c r="U718" s="10" t="n">
        <f aca="false">IF($H718="숙박",0,IF(ISNUMBER(SEARCH("야경",$J718)),1,0))</f>
        <v>0</v>
      </c>
      <c r="V718" s="10" t="n">
        <f aca="false">IF($H718="숙박",0,1)</f>
        <v>1</v>
      </c>
    </row>
    <row r="719" customFormat="false" ht="15" hidden="false" customHeight="false" outlineLevel="0" collapsed="false">
      <c r="A719" s="8" t="n">
        <v>718</v>
      </c>
      <c r="B719" s="8" t="s">
        <v>45</v>
      </c>
      <c r="C719" s="8"/>
      <c r="D719" s="8" t="s">
        <v>2267</v>
      </c>
      <c r="E719" s="7" t="s">
        <v>2268</v>
      </c>
      <c r="F719" s="8"/>
      <c r="G719" s="8"/>
      <c r="H719" s="9" t="s">
        <v>594</v>
      </c>
      <c r="I719" s="9"/>
      <c r="J719" s="9"/>
      <c r="K719" s="9"/>
      <c r="L719" s="8"/>
      <c r="M719" s="8"/>
      <c r="N719" s="8" t="s">
        <v>595</v>
      </c>
      <c r="O719" s="8"/>
      <c r="P719" s="10" t="n">
        <f aca="false">IF($H719="숙박",0,IF($H719=MID(P$1,3,20),IF($I719="",1,0.6),IF($I719=MID(P$1,3,20),0.4,0)))</f>
        <v>0</v>
      </c>
      <c r="Q719" s="10" t="n">
        <f aca="false">IF($H719="숙박",0,IF($H719=MID(Q$1,3,20),IF($I719="",1,0.6),IF($I719=MID(Q$1,3,20),0.4,0)))</f>
        <v>0</v>
      </c>
      <c r="R719" s="10" t="n">
        <f aca="false">IF($H719="숙박",0,IF($H719=MID(R$1,3,20),IF($I719="",1,0.6),IF($I719=MID(R$1,3,20),0.4,0)))</f>
        <v>0</v>
      </c>
      <c r="S719" s="10" t="n">
        <f aca="false">IF($H719="숙박",0,IF($H719=MID(S$1,3,20),IF($I719="",1,0.6),IF($I719=MID(S$1,3,20),0.4,0)))</f>
        <v>0</v>
      </c>
      <c r="T719" s="10" t="n">
        <f aca="false">IF($H719="숙박",0,IF($H719=MID(T$1,3,20),IF($I719="",1,0.6),IF($I719=MID(T$1,3,20),0.4,0)))</f>
        <v>0</v>
      </c>
      <c r="U719" s="10" t="n">
        <f aca="false">IF($H719="숙박",0,IF(ISNUMBER(SEARCH("야경",$J719)),1,0))</f>
        <v>0</v>
      </c>
      <c r="V719" s="10" t="n">
        <f aca="false">IF($H719="숙박",0,1)</f>
        <v>0</v>
      </c>
    </row>
    <row r="720" customFormat="false" ht="15" hidden="false" customHeight="false" outlineLevel="0" collapsed="false">
      <c r="A720" s="8" t="n">
        <v>719</v>
      </c>
      <c r="B720" s="8" t="s">
        <v>45</v>
      </c>
      <c r="C720" s="8" t="s">
        <v>1640</v>
      </c>
      <c r="D720" s="8" t="s">
        <v>2269</v>
      </c>
      <c r="E720" s="7" t="s">
        <v>2270</v>
      </c>
      <c r="F720" s="8"/>
      <c r="G720" s="8" t="s">
        <v>190</v>
      </c>
      <c r="H720" s="9" t="s">
        <v>190</v>
      </c>
      <c r="I720" s="9"/>
      <c r="J720" s="9"/>
      <c r="K720" s="9" t="s">
        <v>191</v>
      </c>
      <c r="L720" s="8"/>
      <c r="M720" s="8"/>
      <c r="N720" s="8"/>
      <c r="O720" s="8" t="s">
        <v>2271</v>
      </c>
      <c r="P720" s="10" t="n">
        <f aca="false">IF($H720="숙박",0,IF($H720=MID(P$1,3,20),IF($I720="",1,0.6),IF($I720=MID(P$1,3,20),0.4,0)))</f>
        <v>1</v>
      </c>
      <c r="Q720" s="10" t="n">
        <f aca="false">IF($H720="숙박",0,IF($H720=MID(Q$1,3,20),IF($I720="",1,0.6),IF($I720=MID(Q$1,3,20),0.4,0)))</f>
        <v>0</v>
      </c>
      <c r="R720" s="10" t="n">
        <f aca="false">IF($H720="숙박",0,IF($H720=MID(R$1,3,20),IF($I720="",1,0.6),IF($I720=MID(R$1,3,20),0.4,0)))</f>
        <v>0</v>
      </c>
      <c r="S720" s="10" t="n">
        <f aca="false">IF($H720="숙박",0,IF($H720=MID(S$1,3,20),IF($I720="",1,0.6),IF($I720=MID(S$1,3,20),0.4,0)))</f>
        <v>0</v>
      </c>
      <c r="T720" s="10" t="n">
        <f aca="false">IF($H720="숙박",0,IF($H720=MID(T$1,3,20),IF($I720="",1,0.6),IF($I720=MID(T$1,3,20),0.4,0)))</f>
        <v>0</v>
      </c>
      <c r="U720" s="10" t="n">
        <f aca="false">IF($H720="숙박",0,IF(ISNUMBER(SEARCH("야경",$J720)),1,0))</f>
        <v>0</v>
      </c>
      <c r="V720" s="10" t="n">
        <f aca="false">IF($H720="숙박",0,1)</f>
        <v>1</v>
      </c>
    </row>
    <row r="721" customFormat="false" ht="15" hidden="false" customHeight="false" outlineLevel="0" collapsed="false">
      <c r="A721" s="8" t="n">
        <v>720</v>
      </c>
      <c r="B721" s="8" t="s">
        <v>45</v>
      </c>
      <c r="C721" s="8" t="s">
        <v>1640</v>
      </c>
      <c r="D721" s="8" t="s">
        <v>2272</v>
      </c>
      <c r="E721" s="7" t="s">
        <v>2273</v>
      </c>
      <c r="F721" s="8"/>
      <c r="G721" s="8" t="s">
        <v>190</v>
      </c>
      <c r="H721" s="9" t="s">
        <v>190</v>
      </c>
      <c r="I721" s="9"/>
      <c r="J721" s="9"/>
      <c r="K721" s="9" t="s">
        <v>191</v>
      </c>
      <c r="L721" s="8"/>
      <c r="M721" s="8"/>
      <c r="N721" s="8"/>
      <c r="O721" s="8" t="s">
        <v>2274</v>
      </c>
      <c r="P721" s="10" t="n">
        <f aca="false">IF($H721="숙박",0,IF($H721=MID(P$1,3,20),IF($I721="",1,0.6),IF($I721=MID(P$1,3,20),0.4,0)))</f>
        <v>1</v>
      </c>
      <c r="Q721" s="10" t="n">
        <f aca="false">IF($H721="숙박",0,IF($H721=MID(Q$1,3,20),IF($I721="",1,0.6),IF($I721=MID(Q$1,3,20),0.4,0)))</f>
        <v>0</v>
      </c>
      <c r="R721" s="10" t="n">
        <f aca="false">IF($H721="숙박",0,IF($H721=MID(R$1,3,20),IF($I721="",1,0.6),IF($I721=MID(R$1,3,20),0.4,0)))</f>
        <v>0</v>
      </c>
      <c r="S721" s="10" t="n">
        <f aca="false">IF($H721="숙박",0,IF($H721=MID(S$1,3,20),IF($I721="",1,0.6),IF($I721=MID(S$1,3,20),0.4,0)))</f>
        <v>0</v>
      </c>
      <c r="T721" s="10" t="n">
        <f aca="false">IF($H721="숙박",0,IF($H721=MID(T$1,3,20),IF($I721="",1,0.6),IF($I721=MID(T$1,3,20),0.4,0)))</f>
        <v>0</v>
      </c>
      <c r="U721" s="10" t="n">
        <f aca="false">IF($H721="숙박",0,IF(ISNUMBER(SEARCH("야경",$J721)),1,0))</f>
        <v>0</v>
      </c>
      <c r="V721" s="10" t="n">
        <f aca="false">IF($H721="숙박",0,1)</f>
        <v>1</v>
      </c>
    </row>
    <row r="722" customFormat="false" ht="15" hidden="false" customHeight="false" outlineLevel="0" collapsed="false">
      <c r="A722" s="8" t="n">
        <v>721</v>
      </c>
      <c r="B722" s="8" t="s">
        <v>45</v>
      </c>
      <c r="C722" s="8" t="s">
        <v>1640</v>
      </c>
      <c r="D722" s="8" t="s">
        <v>2275</v>
      </c>
      <c r="E722" s="7" t="s">
        <v>2276</v>
      </c>
      <c r="F722" s="8"/>
      <c r="G722" s="8" t="s">
        <v>190</v>
      </c>
      <c r="H722" s="9" t="s">
        <v>190</v>
      </c>
      <c r="I722" s="9"/>
      <c r="J722" s="9"/>
      <c r="K722" s="9" t="s">
        <v>191</v>
      </c>
      <c r="L722" s="8"/>
      <c r="M722" s="8"/>
      <c r="N722" s="8"/>
      <c r="O722" s="8" t="s">
        <v>2277</v>
      </c>
      <c r="P722" s="10" t="n">
        <f aca="false">IF($H722="숙박",0,IF($H722=MID(P$1,3,20),IF($I722="",1,0.6),IF($I722=MID(P$1,3,20),0.4,0)))</f>
        <v>1</v>
      </c>
      <c r="Q722" s="10" t="n">
        <f aca="false">IF($H722="숙박",0,IF($H722=MID(Q$1,3,20),IF($I722="",1,0.6),IF($I722=MID(Q$1,3,20),0.4,0)))</f>
        <v>0</v>
      </c>
      <c r="R722" s="10" t="n">
        <f aca="false">IF($H722="숙박",0,IF($H722=MID(R$1,3,20),IF($I722="",1,0.6),IF($I722=MID(R$1,3,20),0.4,0)))</f>
        <v>0</v>
      </c>
      <c r="S722" s="10" t="n">
        <f aca="false">IF($H722="숙박",0,IF($H722=MID(S$1,3,20),IF($I722="",1,0.6),IF($I722=MID(S$1,3,20),0.4,0)))</f>
        <v>0</v>
      </c>
      <c r="T722" s="10" t="n">
        <f aca="false">IF($H722="숙박",0,IF($H722=MID(T$1,3,20),IF($I722="",1,0.6),IF($I722=MID(T$1,3,20),0.4,0)))</f>
        <v>0</v>
      </c>
      <c r="U722" s="10" t="n">
        <f aca="false">IF($H722="숙박",0,IF(ISNUMBER(SEARCH("야경",$J722)),1,0))</f>
        <v>0</v>
      </c>
      <c r="V722" s="10" t="n">
        <f aca="false">IF($H722="숙박",0,1)</f>
        <v>1</v>
      </c>
    </row>
    <row r="723" customFormat="false" ht="15" hidden="false" customHeight="false" outlineLevel="0" collapsed="false">
      <c r="A723" s="8" t="n">
        <v>722</v>
      </c>
      <c r="B723" s="8" t="s">
        <v>45</v>
      </c>
      <c r="C723" s="8" t="s">
        <v>1640</v>
      </c>
      <c r="D723" s="8" t="s">
        <v>2278</v>
      </c>
      <c r="E723" s="7" t="s">
        <v>2279</v>
      </c>
      <c r="F723" s="8"/>
      <c r="G723" s="8" t="s">
        <v>49</v>
      </c>
      <c r="H723" s="9" t="s">
        <v>49</v>
      </c>
      <c r="I723" s="9" t="s">
        <v>190</v>
      </c>
      <c r="J723" s="9"/>
      <c r="K723" s="9" t="s">
        <v>52</v>
      </c>
      <c r="L723" s="8"/>
      <c r="M723" s="8"/>
      <c r="N723" s="8" t="s">
        <v>483</v>
      </c>
      <c r="O723" s="8" t="s">
        <v>2280</v>
      </c>
      <c r="P723" s="10" t="n">
        <f aca="false">IF($H723="숙박",0,IF($H723=MID(P$1,3,20),IF($I723="",1,0.6),IF($I723=MID(P$1,3,20),0.4,0)))</f>
        <v>0.4</v>
      </c>
      <c r="Q723" s="10" t="n">
        <f aca="false">IF($H723="숙박",0,IF($H723=MID(Q$1,3,20),IF($I723="",1,0.6),IF($I723=MID(Q$1,3,20),0.4,0)))</f>
        <v>0.6</v>
      </c>
      <c r="R723" s="10" t="n">
        <f aca="false">IF($H723="숙박",0,IF($H723=MID(R$1,3,20),IF($I723="",1,0.6),IF($I723=MID(R$1,3,20),0.4,0)))</f>
        <v>0</v>
      </c>
      <c r="S723" s="10" t="n">
        <f aca="false">IF($H723="숙박",0,IF($H723=MID(S$1,3,20),IF($I723="",1,0.6),IF($I723=MID(S$1,3,20),0.4,0)))</f>
        <v>0</v>
      </c>
      <c r="T723" s="10" t="n">
        <f aca="false">IF($H723="숙박",0,IF($H723=MID(T$1,3,20),IF($I723="",1,0.6),IF($I723=MID(T$1,3,20),0.4,0)))</f>
        <v>0</v>
      </c>
      <c r="U723" s="10" t="n">
        <f aca="false">IF($H723="숙박",0,IF(ISNUMBER(SEARCH("야경",$J723)),1,0))</f>
        <v>0</v>
      </c>
      <c r="V723" s="10" t="n">
        <f aca="false">IF($H723="숙박",0,1)</f>
        <v>1</v>
      </c>
    </row>
    <row r="724" customFormat="false" ht="15" hidden="false" customHeight="false" outlineLevel="0" collapsed="false">
      <c r="A724" s="8" t="n">
        <v>723</v>
      </c>
      <c r="B724" s="8" t="s">
        <v>45</v>
      </c>
      <c r="C724" s="8" t="s">
        <v>1640</v>
      </c>
      <c r="D724" s="8" t="s">
        <v>2281</v>
      </c>
      <c r="E724" s="7" t="s">
        <v>2282</v>
      </c>
      <c r="F724" s="8"/>
      <c r="G724" s="8" t="s">
        <v>216</v>
      </c>
      <c r="H724" s="9" t="s">
        <v>216</v>
      </c>
      <c r="I724" s="9"/>
      <c r="J724" s="9"/>
      <c r="K724" s="9" t="s">
        <v>191</v>
      </c>
      <c r="L724" s="8"/>
      <c r="M724" s="8"/>
      <c r="N724" s="8"/>
      <c r="O724" s="8" t="s">
        <v>2283</v>
      </c>
      <c r="P724" s="10" t="n">
        <f aca="false">IF($H724="숙박",0,IF($H724=MID(P$1,3,20),IF($I724="",1,0.6),IF($I724=MID(P$1,3,20),0.4,0)))</f>
        <v>0</v>
      </c>
      <c r="Q724" s="10" t="n">
        <f aca="false">IF($H724="숙박",0,IF($H724=MID(Q$1,3,20),IF($I724="",1,0.6),IF($I724=MID(Q$1,3,20),0.4,0)))</f>
        <v>0</v>
      </c>
      <c r="R724" s="10" t="n">
        <f aca="false">IF($H724="숙박",0,IF($H724=MID(R$1,3,20),IF($I724="",1,0.6),IF($I724=MID(R$1,3,20),0.4,0)))</f>
        <v>0</v>
      </c>
      <c r="S724" s="10" t="n">
        <f aca="false">IF($H724="숙박",0,IF($H724=MID(S$1,3,20),IF($I724="",1,0.6),IF($I724=MID(S$1,3,20),0.4,0)))</f>
        <v>1</v>
      </c>
      <c r="T724" s="10" t="n">
        <f aca="false">IF($H724="숙박",0,IF($H724=MID(T$1,3,20),IF($I724="",1,0.6),IF($I724=MID(T$1,3,20),0.4,0)))</f>
        <v>0</v>
      </c>
      <c r="U724" s="10" t="n">
        <f aca="false">IF($H724="숙박",0,IF(ISNUMBER(SEARCH("야경",$J724)),1,0))</f>
        <v>0</v>
      </c>
      <c r="V724" s="10" t="n">
        <f aca="false">IF($H724="숙박",0,1)</f>
        <v>1</v>
      </c>
    </row>
    <row r="725" customFormat="false" ht="15" hidden="false" customHeight="false" outlineLevel="0" collapsed="false">
      <c r="A725" s="8" t="n">
        <v>724</v>
      </c>
      <c r="B725" s="8" t="s">
        <v>45</v>
      </c>
      <c r="C725" s="8" t="s">
        <v>1489</v>
      </c>
      <c r="D725" s="8" t="s">
        <v>2284</v>
      </c>
      <c r="E725" s="7" t="s">
        <v>2285</v>
      </c>
      <c r="F725" s="8"/>
      <c r="G725" s="8" t="s">
        <v>49</v>
      </c>
      <c r="H725" s="9" t="s">
        <v>49</v>
      </c>
      <c r="I725" s="9" t="s">
        <v>190</v>
      </c>
      <c r="J725" s="9"/>
      <c r="K725" s="9" t="s">
        <v>52</v>
      </c>
      <c r="L725" s="8"/>
      <c r="M725" s="8"/>
      <c r="N725" s="8" t="s">
        <v>483</v>
      </c>
      <c r="O725" s="8" t="s">
        <v>2286</v>
      </c>
      <c r="P725" s="10" t="n">
        <f aca="false">IF($H725="숙박",0,IF($H725=MID(P$1,3,20),IF($I725="",1,0.6),IF($I725=MID(P$1,3,20),0.4,0)))</f>
        <v>0.4</v>
      </c>
      <c r="Q725" s="10" t="n">
        <f aca="false">IF($H725="숙박",0,IF($H725=MID(Q$1,3,20),IF($I725="",1,0.6),IF($I725=MID(Q$1,3,20),0.4,0)))</f>
        <v>0.6</v>
      </c>
      <c r="R725" s="10" t="n">
        <f aca="false">IF($H725="숙박",0,IF($H725=MID(R$1,3,20),IF($I725="",1,0.6),IF($I725=MID(R$1,3,20),0.4,0)))</f>
        <v>0</v>
      </c>
      <c r="S725" s="10" t="n">
        <f aca="false">IF($H725="숙박",0,IF($H725=MID(S$1,3,20),IF($I725="",1,0.6),IF($I725=MID(S$1,3,20),0.4,0)))</f>
        <v>0</v>
      </c>
      <c r="T725" s="10" t="n">
        <f aca="false">IF($H725="숙박",0,IF($H725=MID(T$1,3,20),IF($I725="",1,0.6),IF($I725=MID(T$1,3,20),0.4,0)))</f>
        <v>0</v>
      </c>
      <c r="U725" s="10" t="n">
        <f aca="false">IF($H725="숙박",0,IF(ISNUMBER(SEARCH("야경",$J725)),1,0))</f>
        <v>0</v>
      </c>
      <c r="V725" s="10" t="n">
        <f aca="false">IF($H725="숙박",0,1)</f>
        <v>1</v>
      </c>
    </row>
    <row r="726" customFormat="false" ht="15" hidden="false" customHeight="false" outlineLevel="0" collapsed="false">
      <c r="A726" s="8" t="n">
        <v>725</v>
      </c>
      <c r="B726" s="8" t="s">
        <v>45</v>
      </c>
      <c r="C726" s="8" t="s">
        <v>380</v>
      </c>
      <c r="D726" s="8" t="s">
        <v>2287</v>
      </c>
      <c r="E726" s="7" t="s">
        <v>2288</v>
      </c>
      <c r="F726" s="8"/>
      <c r="G726" s="8" t="s">
        <v>49</v>
      </c>
      <c r="H726" s="9" t="s">
        <v>49</v>
      </c>
      <c r="I726" s="9" t="s">
        <v>184</v>
      </c>
      <c r="J726" s="9" t="s">
        <v>1361</v>
      </c>
      <c r="K726" s="9" t="s">
        <v>52</v>
      </c>
      <c r="L726" s="8"/>
      <c r="M726" s="8"/>
      <c r="N726" s="8" t="s">
        <v>483</v>
      </c>
      <c r="O726" s="8" t="s">
        <v>2289</v>
      </c>
      <c r="P726" s="10" t="n">
        <f aca="false">IF($H726="숙박",0,IF($H726=MID(P$1,3,20),IF($I726="",1,0.6),IF($I726=MID(P$1,3,20),0.4,0)))</f>
        <v>0</v>
      </c>
      <c r="Q726" s="10" t="n">
        <f aca="false">IF($H726="숙박",0,IF($H726=MID(Q$1,3,20),IF($I726="",1,0.6),IF($I726=MID(Q$1,3,20),0.4,0)))</f>
        <v>0.6</v>
      </c>
      <c r="R726" s="10" t="n">
        <f aca="false">IF($H726="숙박",0,IF($H726=MID(R$1,3,20),IF($I726="",1,0.6),IF($I726=MID(R$1,3,20),0.4,0)))</f>
        <v>0.4</v>
      </c>
      <c r="S726" s="10" t="n">
        <f aca="false">IF($H726="숙박",0,IF($H726=MID(S$1,3,20),IF($I726="",1,0.6),IF($I726=MID(S$1,3,20),0.4,0)))</f>
        <v>0</v>
      </c>
      <c r="T726" s="10" t="n">
        <f aca="false">IF($H726="숙박",0,IF($H726=MID(T$1,3,20),IF($I726="",1,0.6),IF($I726=MID(T$1,3,20),0.4,0)))</f>
        <v>0</v>
      </c>
      <c r="U726" s="10" t="n">
        <f aca="false">IF($H726="숙박",0,IF(ISNUMBER(SEARCH("야경",$J726)),1,0))</f>
        <v>0</v>
      </c>
      <c r="V726" s="10" t="n">
        <f aca="false">IF($H726="숙박",0,1)</f>
        <v>1</v>
      </c>
    </row>
    <row r="727" customFormat="false" ht="15" hidden="false" customHeight="false" outlineLevel="0" collapsed="false">
      <c r="A727" s="8" t="n">
        <v>726</v>
      </c>
      <c r="B727" s="8" t="s">
        <v>45</v>
      </c>
      <c r="C727" s="8" t="s">
        <v>2177</v>
      </c>
      <c r="D727" s="8" t="s">
        <v>2290</v>
      </c>
      <c r="E727" s="7" t="s">
        <v>2291</v>
      </c>
      <c r="F727" s="8"/>
      <c r="G727" s="8" t="s">
        <v>190</v>
      </c>
      <c r="H727" s="9" t="s">
        <v>190</v>
      </c>
      <c r="I727" s="9"/>
      <c r="J727" s="9"/>
      <c r="K727" s="9" t="s">
        <v>191</v>
      </c>
      <c r="L727" s="8"/>
      <c r="M727" s="8"/>
      <c r="N727" s="8"/>
      <c r="O727" s="8" t="s">
        <v>2292</v>
      </c>
      <c r="P727" s="10" t="n">
        <f aca="false">IF($H727="숙박",0,IF($H727=MID(P$1,3,20),IF($I727="",1,0.6),IF($I727=MID(P$1,3,20),0.4,0)))</f>
        <v>1</v>
      </c>
      <c r="Q727" s="10" t="n">
        <f aca="false">IF($H727="숙박",0,IF($H727=MID(Q$1,3,20),IF($I727="",1,0.6),IF($I727=MID(Q$1,3,20),0.4,0)))</f>
        <v>0</v>
      </c>
      <c r="R727" s="10" t="n">
        <f aca="false">IF($H727="숙박",0,IF($H727=MID(R$1,3,20),IF($I727="",1,0.6),IF($I727=MID(R$1,3,20),0.4,0)))</f>
        <v>0</v>
      </c>
      <c r="S727" s="10" t="n">
        <f aca="false">IF($H727="숙박",0,IF($H727=MID(S$1,3,20),IF($I727="",1,0.6),IF($I727=MID(S$1,3,20),0.4,0)))</f>
        <v>0</v>
      </c>
      <c r="T727" s="10" t="n">
        <f aca="false">IF($H727="숙박",0,IF($H727=MID(T$1,3,20),IF($I727="",1,0.6),IF($I727=MID(T$1,3,20),0.4,0)))</f>
        <v>0</v>
      </c>
      <c r="U727" s="10" t="n">
        <f aca="false">IF($H727="숙박",0,IF(ISNUMBER(SEARCH("야경",$J727)),1,0))</f>
        <v>0</v>
      </c>
      <c r="V727" s="10" t="n">
        <f aca="false">IF($H727="숙박",0,1)</f>
        <v>1</v>
      </c>
    </row>
    <row r="728" customFormat="false" ht="15" hidden="false" customHeight="false" outlineLevel="0" collapsed="false">
      <c r="A728" s="8" t="n">
        <v>727</v>
      </c>
      <c r="B728" s="8" t="s">
        <v>45</v>
      </c>
      <c r="C728" s="8"/>
      <c r="D728" s="8" t="s">
        <v>2293</v>
      </c>
      <c r="E728" s="7" t="s">
        <v>2294</v>
      </c>
      <c r="F728" s="8"/>
      <c r="G728" s="8"/>
      <c r="H728" s="9" t="s">
        <v>594</v>
      </c>
      <c r="I728" s="9"/>
      <c r="J728" s="9"/>
      <c r="K728" s="9"/>
      <c r="L728" s="8"/>
      <c r="M728" s="8"/>
      <c r="N728" s="8" t="s">
        <v>595</v>
      </c>
      <c r="O728" s="8"/>
      <c r="P728" s="10" t="n">
        <f aca="false">IF($H728="숙박",0,IF($H728=MID(P$1,3,20),IF($I728="",1,0.6),IF($I728=MID(P$1,3,20),0.4,0)))</f>
        <v>0</v>
      </c>
      <c r="Q728" s="10" t="n">
        <f aca="false">IF($H728="숙박",0,IF($H728=MID(Q$1,3,20),IF($I728="",1,0.6),IF($I728=MID(Q$1,3,20),0.4,0)))</f>
        <v>0</v>
      </c>
      <c r="R728" s="10" t="n">
        <f aca="false">IF($H728="숙박",0,IF($H728=MID(R$1,3,20),IF($I728="",1,0.6),IF($I728=MID(R$1,3,20),0.4,0)))</f>
        <v>0</v>
      </c>
      <c r="S728" s="10" t="n">
        <f aca="false">IF($H728="숙박",0,IF($H728=MID(S$1,3,20),IF($I728="",1,0.6),IF($I728=MID(S$1,3,20),0.4,0)))</f>
        <v>0</v>
      </c>
      <c r="T728" s="10" t="n">
        <f aca="false">IF($H728="숙박",0,IF($H728=MID(T$1,3,20),IF($I728="",1,0.6),IF($I728=MID(T$1,3,20),0.4,0)))</f>
        <v>0</v>
      </c>
      <c r="U728" s="10" t="n">
        <f aca="false">IF($H728="숙박",0,IF(ISNUMBER(SEARCH("야경",$J728)),1,0))</f>
        <v>0</v>
      </c>
      <c r="V728" s="10" t="n">
        <f aca="false">IF($H728="숙박",0,1)</f>
        <v>0</v>
      </c>
    </row>
    <row r="729" customFormat="false" ht="15" hidden="false" customHeight="false" outlineLevel="0" collapsed="false">
      <c r="A729" s="8" t="n">
        <v>728</v>
      </c>
      <c r="B729" s="8" t="s">
        <v>45</v>
      </c>
      <c r="C729" s="8" t="s">
        <v>1822</v>
      </c>
      <c r="D729" s="8" t="s">
        <v>2295</v>
      </c>
      <c r="E729" s="7" t="s">
        <v>2296</v>
      </c>
      <c r="F729" s="8"/>
      <c r="G729" s="8" t="s">
        <v>49</v>
      </c>
      <c r="H729" s="9" t="s">
        <v>49</v>
      </c>
      <c r="I729" s="9"/>
      <c r="J729" s="9"/>
      <c r="K729" s="9" t="s">
        <v>52</v>
      </c>
      <c r="L729" s="8"/>
      <c r="M729" s="8"/>
      <c r="N729" s="8"/>
      <c r="O729" s="8" t="s">
        <v>2297</v>
      </c>
      <c r="P729" s="10" t="n">
        <f aca="false">IF($H729="숙박",0,IF($H729=MID(P$1,3,20),IF($I729="",1,0.6),IF($I729=MID(P$1,3,20),0.4,0)))</f>
        <v>0</v>
      </c>
      <c r="Q729" s="10" t="n">
        <f aca="false">IF($H729="숙박",0,IF($H729=MID(Q$1,3,20),IF($I729="",1,0.6),IF($I729=MID(Q$1,3,20),0.4,0)))</f>
        <v>1</v>
      </c>
      <c r="R729" s="10" t="n">
        <f aca="false">IF($H729="숙박",0,IF($H729=MID(R$1,3,20),IF($I729="",1,0.6),IF($I729=MID(R$1,3,20),0.4,0)))</f>
        <v>0</v>
      </c>
      <c r="S729" s="10" t="n">
        <f aca="false">IF($H729="숙박",0,IF($H729=MID(S$1,3,20),IF($I729="",1,0.6),IF($I729=MID(S$1,3,20),0.4,0)))</f>
        <v>0</v>
      </c>
      <c r="T729" s="10" t="n">
        <f aca="false">IF($H729="숙박",0,IF($H729=MID(T$1,3,20),IF($I729="",1,0.6),IF($I729=MID(T$1,3,20),0.4,0)))</f>
        <v>0</v>
      </c>
      <c r="U729" s="10" t="n">
        <f aca="false">IF($H729="숙박",0,IF(ISNUMBER(SEARCH("야경",$J729)),1,0))</f>
        <v>0</v>
      </c>
      <c r="V729" s="10" t="n">
        <f aca="false">IF($H729="숙박",0,1)</f>
        <v>1</v>
      </c>
    </row>
    <row r="730" customFormat="false" ht="15" hidden="false" customHeight="false" outlineLevel="0" collapsed="false">
      <c r="A730" s="8" t="n">
        <v>729</v>
      </c>
      <c r="B730" s="8" t="s">
        <v>45</v>
      </c>
      <c r="C730" s="8" t="s">
        <v>1531</v>
      </c>
      <c r="D730" s="8" t="s">
        <v>2298</v>
      </c>
      <c r="E730" s="7" t="s">
        <v>2299</v>
      </c>
      <c r="F730" s="8"/>
      <c r="G730" s="8" t="s">
        <v>190</v>
      </c>
      <c r="H730" s="9" t="s">
        <v>190</v>
      </c>
      <c r="I730" s="9"/>
      <c r="J730" s="9"/>
      <c r="K730" s="9" t="s">
        <v>191</v>
      </c>
      <c r="L730" s="8"/>
      <c r="M730" s="8"/>
      <c r="N730" s="8"/>
      <c r="O730" s="8" t="s">
        <v>2300</v>
      </c>
      <c r="P730" s="10" t="n">
        <f aca="false">IF($H730="숙박",0,IF($H730=MID(P$1,3,20),IF($I730="",1,0.6),IF($I730=MID(P$1,3,20),0.4,0)))</f>
        <v>1</v>
      </c>
      <c r="Q730" s="10" t="n">
        <f aca="false">IF($H730="숙박",0,IF($H730=MID(Q$1,3,20),IF($I730="",1,0.6),IF($I730=MID(Q$1,3,20),0.4,0)))</f>
        <v>0</v>
      </c>
      <c r="R730" s="10" t="n">
        <f aca="false">IF($H730="숙박",0,IF($H730=MID(R$1,3,20),IF($I730="",1,0.6),IF($I730=MID(R$1,3,20),0.4,0)))</f>
        <v>0</v>
      </c>
      <c r="S730" s="10" t="n">
        <f aca="false">IF($H730="숙박",0,IF($H730=MID(S$1,3,20),IF($I730="",1,0.6),IF($I730=MID(S$1,3,20),0.4,0)))</f>
        <v>0</v>
      </c>
      <c r="T730" s="10" t="n">
        <f aca="false">IF($H730="숙박",0,IF($H730=MID(T$1,3,20),IF($I730="",1,0.6),IF($I730=MID(T$1,3,20),0.4,0)))</f>
        <v>0</v>
      </c>
      <c r="U730" s="10" t="n">
        <f aca="false">IF($H730="숙박",0,IF(ISNUMBER(SEARCH("야경",$J730)),1,0))</f>
        <v>0</v>
      </c>
      <c r="V730" s="10" t="n">
        <f aca="false">IF($H730="숙박",0,1)</f>
        <v>1</v>
      </c>
    </row>
    <row r="731" customFormat="false" ht="15" hidden="false" customHeight="false" outlineLevel="0" collapsed="false">
      <c r="A731" s="8" t="n">
        <v>730</v>
      </c>
      <c r="B731" s="8" t="s">
        <v>45</v>
      </c>
      <c r="C731" s="8" t="s">
        <v>1336</v>
      </c>
      <c r="D731" s="8" t="s">
        <v>2301</v>
      </c>
      <c r="E731" s="7" t="s">
        <v>2302</v>
      </c>
      <c r="F731" s="8"/>
      <c r="G731" s="8" t="s">
        <v>190</v>
      </c>
      <c r="H731" s="9" t="s">
        <v>190</v>
      </c>
      <c r="I731" s="9"/>
      <c r="J731" s="9" t="s">
        <v>1361</v>
      </c>
      <c r="K731" s="9" t="s">
        <v>191</v>
      </c>
      <c r="L731" s="8"/>
      <c r="M731" s="8"/>
      <c r="N731" s="8"/>
      <c r="O731" s="8" t="s">
        <v>2303</v>
      </c>
      <c r="P731" s="10" t="n">
        <f aca="false">IF($H731="숙박",0,IF($H731=MID(P$1,3,20),IF($I731="",1,0.6),IF($I731=MID(P$1,3,20),0.4,0)))</f>
        <v>1</v>
      </c>
      <c r="Q731" s="10" t="n">
        <f aca="false">IF($H731="숙박",0,IF($H731=MID(Q$1,3,20),IF($I731="",1,0.6),IF($I731=MID(Q$1,3,20),0.4,0)))</f>
        <v>0</v>
      </c>
      <c r="R731" s="10" t="n">
        <f aca="false">IF($H731="숙박",0,IF($H731=MID(R$1,3,20),IF($I731="",1,0.6),IF($I731=MID(R$1,3,20),0.4,0)))</f>
        <v>0</v>
      </c>
      <c r="S731" s="10" t="n">
        <f aca="false">IF($H731="숙박",0,IF($H731=MID(S$1,3,20),IF($I731="",1,0.6),IF($I731=MID(S$1,3,20),0.4,0)))</f>
        <v>0</v>
      </c>
      <c r="T731" s="10" t="n">
        <f aca="false">IF($H731="숙박",0,IF($H731=MID(T$1,3,20),IF($I731="",1,0.6),IF($I731=MID(T$1,3,20),0.4,0)))</f>
        <v>0</v>
      </c>
      <c r="U731" s="10" t="n">
        <f aca="false">IF($H731="숙박",0,IF(ISNUMBER(SEARCH("야경",$J731)),1,0))</f>
        <v>0</v>
      </c>
      <c r="V731" s="10" t="n">
        <f aca="false">IF($H731="숙박",0,1)</f>
        <v>1</v>
      </c>
    </row>
    <row r="732" customFormat="false" ht="15" hidden="false" customHeight="false" outlineLevel="0" collapsed="false">
      <c r="A732" s="8" t="n">
        <v>731</v>
      </c>
      <c r="B732" s="8" t="s">
        <v>45</v>
      </c>
      <c r="C732" s="8" t="s">
        <v>2304</v>
      </c>
      <c r="D732" s="8" t="s">
        <v>2305</v>
      </c>
      <c r="E732" s="7" t="s">
        <v>2306</v>
      </c>
      <c r="F732" s="8"/>
      <c r="G732" s="8" t="s">
        <v>49</v>
      </c>
      <c r="H732" s="9" t="s">
        <v>49</v>
      </c>
      <c r="I732" s="9"/>
      <c r="J732" s="9"/>
      <c r="K732" s="9" t="s">
        <v>209</v>
      </c>
      <c r="L732" s="8"/>
      <c r="M732" s="8"/>
      <c r="N732" s="8"/>
      <c r="O732" s="8" t="s">
        <v>2307</v>
      </c>
      <c r="P732" s="10" t="n">
        <f aca="false">IF($H732="숙박",0,IF($H732=MID(P$1,3,20),IF($I732="",1,0.6),IF($I732=MID(P$1,3,20),0.4,0)))</f>
        <v>0</v>
      </c>
      <c r="Q732" s="10" t="n">
        <f aca="false">IF($H732="숙박",0,IF($H732=MID(Q$1,3,20),IF($I732="",1,0.6),IF($I732=MID(Q$1,3,20),0.4,0)))</f>
        <v>1</v>
      </c>
      <c r="R732" s="10" t="n">
        <f aca="false">IF($H732="숙박",0,IF($H732=MID(R$1,3,20),IF($I732="",1,0.6),IF($I732=MID(R$1,3,20),0.4,0)))</f>
        <v>0</v>
      </c>
      <c r="S732" s="10" t="n">
        <f aca="false">IF($H732="숙박",0,IF($H732=MID(S$1,3,20),IF($I732="",1,0.6),IF($I732=MID(S$1,3,20),0.4,0)))</f>
        <v>0</v>
      </c>
      <c r="T732" s="10" t="n">
        <f aca="false">IF($H732="숙박",0,IF($H732=MID(T$1,3,20),IF($I732="",1,0.6),IF($I732=MID(T$1,3,20),0.4,0)))</f>
        <v>0</v>
      </c>
      <c r="U732" s="10" t="n">
        <f aca="false">IF($H732="숙박",0,IF(ISNUMBER(SEARCH("야경",$J732)),1,0))</f>
        <v>0</v>
      </c>
      <c r="V732" s="10" t="n">
        <f aca="false">IF($H732="숙박",0,1)</f>
        <v>1</v>
      </c>
    </row>
    <row r="733" customFormat="false" ht="15" hidden="false" customHeight="false" outlineLevel="0" collapsed="false">
      <c r="A733" s="8" t="n">
        <v>732</v>
      </c>
      <c r="B733" s="8" t="s">
        <v>45</v>
      </c>
      <c r="C733" s="8" t="s">
        <v>1911</v>
      </c>
      <c r="D733" s="8" t="s">
        <v>2308</v>
      </c>
      <c r="E733" s="7" t="s">
        <v>2309</v>
      </c>
      <c r="F733" s="8"/>
      <c r="G733" s="8" t="s">
        <v>190</v>
      </c>
      <c r="H733" s="9" t="s">
        <v>190</v>
      </c>
      <c r="I733" s="9" t="s">
        <v>49</v>
      </c>
      <c r="J733" s="9"/>
      <c r="K733" s="9" t="s">
        <v>52</v>
      </c>
      <c r="L733" s="8"/>
      <c r="M733" s="8"/>
      <c r="N733" s="8" t="s">
        <v>483</v>
      </c>
      <c r="O733" s="8" t="s">
        <v>2310</v>
      </c>
      <c r="P733" s="10" t="n">
        <f aca="false">IF($H733="숙박",0,IF($H733=MID(P$1,3,20),IF($I733="",1,0.6),IF($I733=MID(P$1,3,20),0.4,0)))</f>
        <v>0.6</v>
      </c>
      <c r="Q733" s="10" t="n">
        <f aca="false">IF($H733="숙박",0,IF($H733=MID(Q$1,3,20),IF($I733="",1,0.6),IF($I733=MID(Q$1,3,20),0.4,0)))</f>
        <v>0.4</v>
      </c>
      <c r="R733" s="10" t="n">
        <f aca="false">IF($H733="숙박",0,IF($H733=MID(R$1,3,20),IF($I733="",1,0.6),IF($I733=MID(R$1,3,20),0.4,0)))</f>
        <v>0</v>
      </c>
      <c r="S733" s="10" t="n">
        <f aca="false">IF($H733="숙박",0,IF($H733=MID(S$1,3,20),IF($I733="",1,0.6),IF($I733=MID(S$1,3,20),0.4,0)))</f>
        <v>0</v>
      </c>
      <c r="T733" s="10" t="n">
        <f aca="false">IF($H733="숙박",0,IF($H733=MID(T$1,3,20),IF($I733="",1,0.6),IF($I733=MID(T$1,3,20),0.4,0)))</f>
        <v>0</v>
      </c>
      <c r="U733" s="10" t="n">
        <f aca="false">IF($H733="숙박",0,IF(ISNUMBER(SEARCH("야경",$J733)),1,0))</f>
        <v>0</v>
      </c>
      <c r="V733" s="10" t="n">
        <f aca="false">IF($H733="숙박",0,1)</f>
        <v>1</v>
      </c>
    </row>
    <row r="734" customFormat="false" ht="15" hidden="false" customHeight="false" outlineLevel="0" collapsed="false">
      <c r="A734" s="8" t="n">
        <v>733</v>
      </c>
      <c r="B734" s="8" t="s">
        <v>45</v>
      </c>
      <c r="C734" s="8" t="s">
        <v>1652</v>
      </c>
      <c r="D734" s="8" t="s">
        <v>2311</v>
      </c>
      <c r="E734" s="7" t="s">
        <v>2312</v>
      </c>
      <c r="F734" s="8"/>
      <c r="G734" s="8" t="s">
        <v>49</v>
      </c>
      <c r="H734" s="9" t="s">
        <v>49</v>
      </c>
      <c r="I734" s="9"/>
      <c r="J734" s="9"/>
      <c r="K734" s="9" t="s">
        <v>52</v>
      </c>
      <c r="L734" s="8"/>
      <c r="M734" s="8"/>
      <c r="N734" s="8"/>
      <c r="O734" s="8" t="s">
        <v>2313</v>
      </c>
      <c r="P734" s="10" t="n">
        <f aca="false">IF($H734="숙박",0,IF($H734=MID(P$1,3,20),IF($I734="",1,0.6),IF($I734=MID(P$1,3,20),0.4,0)))</f>
        <v>0</v>
      </c>
      <c r="Q734" s="10" t="n">
        <f aca="false">IF($H734="숙박",0,IF($H734=MID(Q$1,3,20),IF($I734="",1,0.6),IF($I734=MID(Q$1,3,20),0.4,0)))</f>
        <v>1</v>
      </c>
      <c r="R734" s="10" t="n">
        <f aca="false">IF($H734="숙박",0,IF($H734=MID(R$1,3,20),IF($I734="",1,0.6),IF($I734=MID(R$1,3,20),0.4,0)))</f>
        <v>0</v>
      </c>
      <c r="S734" s="10" t="n">
        <f aca="false">IF($H734="숙박",0,IF($H734=MID(S$1,3,20),IF($I734="",1,0.6),IF($I734=MID(S$1,3,20),0.4,0)))</f>
        <v>0</v>
      </c>
      <c r="T734" s="10" t="n">
        <f aca="false">IF($H734="숙박",0,IF($H734=MID(T$1,3,20),IF($I734="",1,0.6),IF($I734=MID(T$1,3,20),0.4,0)))</f>
        <v>0</v>
      </c>
      <c r="U734" s="10" t="n">
        <f aca="false">IF($H734="숙박",0,IF(ISNUMBER(SEARCH("야경",$J734)),1,0))</f>
        <v>0</v>
      </c>
      <c r="V734" s="10" t="n">
        <f aca="false">IF($H734="숙박",0,1)</f>
        <v>1</v>
      </c>
    </row>
    <row r="735" customFormat="false" ht="15" hidden="false" customHeight="false" outlineLevel="0" collapsed="false">
      <c r="A735" s="8" t="n">
        <v>734</v>
      </c>
      <c r="B735" s="8" t="s">
        <v>45</v>
      </c>
      <c r="C735" s="8" t="s">
        <v>467</v>
      </c>
      <c r="D735" s="8" t="s">
        <v>2314</v>
      </c>
      <c r="E735" s="7" t="s">
        <v>2315</v>
      </c>
      <c r="F735" s="8"/>
      <c r="G735" s="8" t="s">
        <v>49</v>
      </c>
      <c r="H735" s="9" t="s">
        <v>49</v>
      </c>
      <c r="I735" s="9"/>
      <c r="J735" s="9"/>
      <c r="K735" s="9" t="s">
        <v>52</v>
      </c>
      <c r="L735" s="8"/>
      <c r="M735" s="8"/>
      <c r="N735" s="8"/>
      <c r="O735" s="8" t="s">
        <v>2316</v>
      </c>
      <c r="P735" s="10" t="n">
        <f aca="false">IF($H735="숙박",0,IF($H735=MID(P$1,3,20),IF($I735="",1,0.6),IF($I735=MID(P$1,3,20),0.4,0)))</f>
        <v>0</v>
      </c>
      <c r="Q735" s="10" t="n">
        <f aca="false">IF($H735="숙박",0,IF($H735=MID(Q$1,3,20),IF($I735="",1,0.6),IF($I735=MID(Q$1,3,20),0.4,0)))</f>
        <v>1</v>
      </c>
      <c r="R735" s="10" t="n">
        <f aca="false">IF($H735="숙박",0,IF($H735=MID(R$1,3,20),IF($I735="",1,0.6),IF($I735=MID(R$1,3,20),0.4,0)))</f>
        <v>0</v>
      </c>
      <c r="S735" s="10" t="n">
        <f aca="false">IF($H735="숙박",0,IF($H735=MID(S$1,3,20),IF($I735="",1,0.6),IF($I735=MID(S$1,3,20),0.4,0)))</f>
        <v>0</v>
      </c>
      <c r="T735" s="10" t="n">
        <f aca="false">IF($H735="숙박",0,IF($H735=MID(T$1,3,20),IF($I735="",1,0.6),IF($I735=MID(T$1,3,20),0.4,0)))</f>
        <v>0</v>
      </c>
      <c r="U735" s="10" t="n">
        <f aca="false">IF($H735="숙박",0,IF(ISNUMBER(SEARCH("야경",$J735)),1,0))</f>
        <v>0</v>
      </c>
      <c r="V735" s="10" t="n">
        <f aca="false">IF($H735="숙박",0,1)</f>
        <v>1</v>
      </c>
    </row>
    <row r="736" customFormat="false" ht="15" hidden="false" customHeight="false" outlineLevel="0" collapsed="false">
      <c r="A736" s="8" t="n">
        <v>735</v>
      </c>
      <c r="B736" s="8" t="s">
        <v>45</v>
      </c>
      <c r="C736" s="8" t="s">
        <v>178</v>
      </c>
      <c r="D736" s="8" t="s">
        <v>2317</v>
      </c>
      <c r="E736" s="7" t="s">
        <v>2318</v>
      </c>
      <c r="F736" s="8"/>
      <c r="G736" s="8" t="s">
        <v>50</v>
      </c>
      <c r="H736" s="9" t="s">
        <v>50</v>
      </c>
      <c r="I736" s="9"/>
      <c r="J736" s="9" t="s">
        <v>168</v>
      </c>
      <c r="K736" s="9" t="s">
        <v>52</v>
      </c>
      <c r="L736" s="8"/>
      <c r="M736" s="8"/>
      <c r="N736" s="8"/>
      <c r="O736" s="8" t="s">
        <v>2319</v>
      </c>
      <c r="P736" s="10" t="n">
        <f aca="false">IF($H736="숙박",0,IF($H736=MID(P$1,3,20),IF($I736="",1,0.6),IF($I736=MID(P$1,3,20),0.4,0)))</f>
        <v>0</v>
      </c>
      <c r="Q736" s="10" t="n">
        <f aca="false">IF($H736="숙박",0,IF($H736=MID(Q$1,3,20),IF($I736="",1,0.6),IF($I736=MID(Q$1,3,20),0.4,0)))</f>
        <v>0</v>
      </c>
      <c r="R736" s="10" t="n">
        <f aca="false">IF($H736="숙박",0,IF($H736=MID(R$1,3,20),IF($I736="",1,0.6),IF($I736=MID(R$1,3,20),0.4,0)))</f>
        <v>0</v>
      </c>
      <c r="S736" s="10" t="n">
        <f aca="false">IF($H736="숙박",0,IF($H736=MID(S$1,3,20),IF($I736="",1,0.6),IF($I736=MID(S$1,3,20),0.4,0)))</f>
        <v>0</v>
      </c>
      <c r="T736" s="10" t="n">
        <f aca="false">IF($H736="숙박",0,IF($H736=MID(T$1,3,20),IF($I736="",1,0.6),IF($I736=MID(T$1,3,20),0.4,0)))</f>
        <v>1</v>
      </c>
      <c r="U736" s="10" t="n">
        <f aca="false">IF($H736="숙박",0,IF(ISNUMBER(SEARCH("야경",$J736)),1,0))</f>
        <v>0</v>
      </c>
      <c r="V736" s="10" t="n">
        <f aca="false">IF($H736="숙박",0,1)</f>
        <v>1</v>
      </c>
    </row>
    <row r="737" customFormat="false" ht="15" hidden="false" customHeight="false" outlineLevel="0" collapsed="false">
      <c r="A737" s="8" t="n">
        <v>736</v>
      </c>
      <c r="B737" s="8" t="s">
        <v>45</v>
      </c>
      <c r="C737" s="8" t="s">
        <v>678</v>
      </c>
      <c r="D737" s="8" t="s">
        <v>2320</v>
      </c>
      <c r="E737" s="7" t="s">
        <v>2321</v>
      </c>
      <c r="F737" s="8"/>
      <c r="G737" s="8" t="s">
        <v>49</v>
      </c>
      <c r="H737" s="9" t="s">
        <v>49</v>
      </c>
      <c r="I737" s="9" t="s">
        <v>190</v>
      </c>
      <c r="J737" s="9" t="s">
        <v>1361</v>
      </c>
      <c r="K737" s="9" t="s">
        <v>52</v>
      </c>
      <c r="L737" s="8"/>
      <c r="M737" s="8"/>
      <c r="N737" s="8" t="s">
        <v>483</v>
      </c>
      <c r="O737" s="8" t="s">
        <v>2322</v>
      </c>
      <c r="P737" s="10" t="n">
        <f aca="false">IF($H737="숙박",0,IF($H737=MID(P$1,3,20),IF($I737="",1,0.6),IF($I737=MID(P$1,3,20),0.4,0)))</f>
        <v>0.4</v>
      </c>
      <c r="Q737" s="10" t="n">
        <f aca="false">IF($H737="숙박",0,IF($H737=MID(Q$1,3,20),IF($I737="",1,0.6),IF($I737=MID(Q$1,3,20),0.4,0)))</f>
        <v>0.6</v>
      </c>
      <c r="R737" s="10" t="n">
        <f aca="false">IF($H737="숙박",0,IF($H737=MID(R$1,3,20),IF($I737="",1,0.6),IF($I737=MID(R$1,3,20),0.4,0)))</f>
        <v>0</v>
      </c>
      <c r="S737" s="10" t="n">
        <f aca="false">IF($H737="숙박",0,IF($H737=MID(S$1,3,20),IF($I737="",1,0.6),IF($I737=MID(S$1,3,20),0.4,0)))</f>
        <v>0</v>
      </c>
      <c r="T737" s="10" t="n">
        <f aca="false">IF($H737="숙박",0,IF($H737=MID(T$1,3,20),IF($I737="",1,0.6),IF($I737=MID(T$1,3,20),0.4,0)))</f>
        <v>0</v>
      </c>
      <c r="U737" s="10" t="n">
        <f aca="false">IF($H737="숙박",0,IF(ISNUMBER(SEARCH("야경",$J737)),1,0))</f>
        <v>0</v>
      </c>
      <c r="V737" s="10" t="n">
        <f aca="false">IF($H737="숙박",0,1)</f>
        <v>1</v>
      </c>
    </row>
    <row r="738" customFormat="false" ht="15" hidden="false" customHeight="false" outlineLevel="0" collapsed="false">
      <c r="A738" s="8" t="n">
        <v>737</v>
      </c>
      <c r="B738" s="8" t="s">
        <v>45</v>
      </c>
      <c r="C738" s="8" t="s">
        <v>1740</v>
      </c>
      <c r="D738" s="8" t="s">
        <v>2323</v>
      </c>
      <c r="E738" s="7" t="s">
        <v>2324</v>
      </c>
      <c r="F738" s="8"/>
      <c r="G738" s="8" t="s">
        <v>190</v>
      </c>
      <c r="H738" s="9" t="s">
        <v>190</v>
      </c>
      <c r="I738" s="9"/>
      <c r="J738" s="9" t="s">
        <v>1361</v>
      </c>
      <c r="K738" s="9" t="s">
        <v>191</v>
      </c>
      <c r="L738" s="8"/>
      <c r="M738" s="8"/>
      <c r="N738" s="8"/>
      <c r="O738" s="8" t="s">
        <v>2325</v>
      </c>
      <c r="P738" s="10" t="n">
        <f aca="false">IF($H738="숙박",0,IF($H738=MID(P$1,3,20),IF($I738="",1,0.6),IF($I738=MID(P$1,3,20),0.4,0)))</f>
        <v>1</v>
      </c>
      <c r="Q738" s="10" t="n">
        <f aca="false">IF($H738="숙박",0,IF($H738=MID(Q$1,3,20),IF($I738="",1,0.6),IF($I738=MID(Q$1,3,20),0.4,0)))</f>
        <v>0</v>
      </c>
      <c r="R738" s="10" t="n">
        <f aca="false">IF($H738="숙박",0,IF($H738=MID(R$1,3,20),IF($I738="",1,0.6),IF($I738=MID(R$1,3,20),0.4,0)))</f>
        <v>0</v>
      </c>
      <c r="S738" s="10" t="n">
        <f aca="false">IF($H738="숙박",0,IF($H738=MID(S$1,3,20),IF($I738="",1,0.6),IF($I738=MID(S$1,3,20),0.4,0)))</f>
        <v>0</v>
      </c>
      <c r="T738" s="10" t="n">
        <f aca="false">IF($H738="숙박",0,IF($H738=MID(T$1,3,20),IF($I738="",1,0.6),IF($I738=MID(T$1,3,20),0.4,0)))</f>
        <v>0</v>
      </c>
      <c r="U738" s="10" t="n">
        <f aca="false">IF($H738="숙박",0,IF(ISNUMBER(SEARCH("야경",$J738)),1,0))</f>
        <v>0</v>
      </c>
      <c r="V738" s="10" t="n">
        <f aca="false">IF($H738="숙박",0,1)</f>
        <v>1</v>
      </c>
    </row>
    <row r="739" customFormat="false" ht="15" hidden="false" customHeight="false" outlineLevel="0" collapsed="false">
      <c r="A739" s="8" t="n">
        <v>738</v>
      </c>
      <c r="B739" s="8" t="s">
        <v>45</v>
      </c>
      <c r="C739" s="8" t="s">
        <v>421</v>
      </c>
      <c r="D739" s="8" t="s">
        <v>2326</v>
      </c>
      <c r="E739" s="7" t="s">
        <v>2327</v>
      </c>
      <c r="F739" s="8"/>
      <c r="G739" s="8" t="s">
        <v>184</v>
      </c>
      <c r="H739" s="9" t="s">
        <v>184</v>
      </c>
      <c r="I739" s="9" t="s">
        <v>190</v>
      </c>
      <c r="J739" s="9"/>
      <c r="K739" s="9" t="s">
        <v>52</v>
      </c>
      <c r="L739" s="8"/>
      <c r="M739" s="8"/>
      <c r="N739" s="8" t="s">
        <v>483</v>
      </c>
      <c r="O739" s="8" t="s">
        <v>2328</v>
      </c>
      <c r="P739" s="10" t="n">
        <f aca="false">IF($H739="숙박",0,IF($H739=MID(P$1,3,20),IF($I739="",1,0.6),IF($I739=MID(P$1,3,20),0.4,0)))</f>
        <v>0.4</v>
      </c>
      <c r="Q739" s="10" t="n">
        <f aca="false">IF($H739="숙박",0,IF($H739=MID(Q$1,3,20),IF($I739="",1,0.6),IF($I739=MID(Q$1,3,20),0.4,0)))</f>
        <v>0</v>
      </c>
      <c r="R739" s="10" t="n">
        <f aca="false">IF($H739="숙박",0,IF($H739=MID(R$1,3,20),IF($I739="",1,0.6),IF($I739=MID(R$1,3,20),0.4,0)))</f>
        <v>0.6</v>
      </c>
      <c r="S739" s="10" t="n">
        <f aca="false">IF($H739="숙박",0,IF($H739=MID(S$1,3,20),IF($I739="",1,0.6),IF($I739=MID(S$1,3,20),0.4,0)))</f>
        <v>0</v>
      </c>
      <c r="T739" s="10" t="n">
        <f aca="false">IF($H739="숙박",0,IF($H739=MID(T$1,3,20),IF($I739="",1,0.6),IF($I739=MID(T$1,3,20),0.4,0)))</f>
        <v>0</v>
      </c>
      <c r="U739" s="10" t="n">
        <f aca="false">IF($H739="숙박",0,IF(ISNUMBER(SEARCH("야경",$J739)),1,0))</f>
        <v>0</v>
      </c>
      <c r="V739" s="10" t="n">
        <f aca="false">IF($H739="숙박",0,1)</f>
        <v>1</v>
      </c>
    </row>
    <row r="740" customFormat="false" ht="15" hidden="false" customHeight="false" outlineLevel="0" collapsed="false">
      <c r="A740" s="8" t="n">
        <v>739</v>
      </c>
      <c r="B740" s="8" t="s">
        <v>45</v>
      </c>
      <c r="C740" s="8" t="s">
        <v>1504</v>
      </c>
      <c r="D740" s="8" t="s">
        <v>2329</v>
      </c>
      <c r="E740" s="7" t="s">
        <v>2330</v>
      </c>
      <c r="F740" s="8"/>
      <c r="G740" s="8" t="s">
        <v>49</v>
      </c>
      <c r="H740" s="9" t="s">
        <v>49</v>
      </c>
      <c r="I740" s="9"/>
      <c r="J740" s="9"/>
      <c r="K740" s="9" t="s">
        <v>52</v>
      </c>
      <c r="L740" s="8"/>
      <c r="M740" s="8"/>
      <c r="N740" s="8"/>
      <c r="O740" s="8" t="s">
        <v>2331</v>
      </c>
      <c r="P740" s="10" t="n">
        <f aca="false">IF($H740="숙박",0,IF($H740=MID(P$1,3,20),IF($I740="",1,0.6),IF($I740=MID(P$1,3,20),0.4,0)))</f>
        <v>0</v>
      </c>
      <c r="Q740" s="10" t="n">
        <f aca="false">IF($H740="숙박",0,IF($H740=MID(Q$1,3,20),IF($I740="",1,0.6),IF($I740=MID(Q$1,3,20),0.4,0)))</f>
        <v>1</v>
      </c>
      <c r="R740" s="10" t="n">
        <f aca="false">IF($H740="숙박",0,IF($H740=MID(R$1,3,20),IF($I740="",1,0.6),IF($I740=MID(R$1,3,20),0.4,0)))</f>
        <v>0</v>
      </c>
      <c r="S740" s="10" t="n">
        <f aca="false">IF($H740="숙박",0,IF($H740=MID(S$1,3,20),IF($I740="",1,0.6),IF($I740=MID(S$1,3,20),0.4,0)))</f>
        <v>0</v>
      </c>
      <c r="T740" s="10" t="n">
        <f aca="false">IF($H740="숙박",0,IF($H740=MID(T$1,3,20),IF($I740="",1,0.6),IF($I740=MID(T$1,3,20),0.4,0)))</f>
        <v>0</v>
      </c>
      <c r="U740" s="10" t="n">
        <f aca="false">IF($H740="숙박",0,IF(ISNUMBER(SEARCH("야경",$J740)),1,0))</f>
        <v>0</v>
      </c>
      <c r="V740" s="10" t="n">
        <f aca="false">IF($H740="숙박",0,1)</f>
        <v>1</v>
      </c>
    </row>
    <row r="741" customFormat="false" ht="15" hidden="false" customHeight="false" outlineLevel="0" collapsed="false">
      <c r="A741" s="8" t="n">
        <v>740</v>
      </c>
      <c r="B741" s="8" t="s">
        <v>45</v>
      </c>
      <c r="C741" s="8" t="s">
        <v>1330</v>
      </c>
      <c r="D741" s="8" t="s">
        <v>2332</v>
      </c>
      <c r="E741" s="7" t="s">
        <v>2333</v>
      </c>
      <c r="F741" s="8"/>
      <c r="G741" s="8" t="s">
        <v>49</v>
      </c>
      <c r="H741" s="9" t="s">
        <v>49</v>
      </c>
      <c r="I741" s="9" t="s">
        <v>184</v>
      </c>
      <c r="J741" s="9" t="s">
        <v>43</v>
      </c>
      <c r="K741" s="9" t="s">
        <v>52</v>
      </c>
      <c r="L741" s="8"/>
      <c r="M741" s="8"/>
      <c r="N741" s="8" t="s">
        <v>483</v>
      </c>
      <c r="O741" s="8" t="s">
        <v>2334</v>
      </c>
      <c r="P741" s="10" t="n">
        <f aca="false">IF($H741="숙박",0,IF($H741=MID(P$1,3,20),IF($I741="",1,0.6),IF($I741=MID(P$1,3,20),0.4,0)))</f>
        <v>0</v>
      </c>
      <c r="Q741" s="10" t="n">
        <f aca="false">IF($H741="숙박",0,IF($H741=MID(Q$1,3,20),IF($I741="",1,0.6),IF($I741=MID(Q$1,3,20),0.4,0)))</f>
        <v>0.6</v>
      </c>
      <c r="R741" s="10" t="n">
        <f aca="false">IF($H741="숙박",0,IF($H741=MID(R$1,3,20),IF($I741="",1,0.6),IF($I741=MID(R$1,3,20),0.4,0)))</f>
        <v>0.4</v>
      </c>
      <c r="S741" s="10" t="n">
        <f aca="false">IF($H741="숙박",0,IF($H741=MID(S$1,3,20),IF($I741="",1,0.6),IF($I741=MID(S$1,3,20),0.4,0)))</f>
        <v>0</v>
      </c>
      <c r="T741" s="10" t="n">
        <f aca="false">IF($H741="숙박",0,IF($H741=MID(T$1,3,20),IF($I741="",1,0.6),IF($I741=MID(T$1,3,20),0.4,0)))</f>
        <v>0</v>
      </c>
      <c r="U741" s="10" t="n">
        <f aca="false">IF($H741="숙박",0,IF(ISNUMBER(SEARCH("야경",$J741)),1,0))</f>
        <v>1</v>
      </c>
      <c r="V741" s="10" t="n">
        <f aca="false">IF($H741="숙박",0,1)</f>
        <v>1</v>
      </c>
    </row>
    <row r="742" customFormat="false" ht="15" hidden="false" customHeight="false" outlineLevel="0" collapsed="false">
      <c r="A742" s="8" t="n">
        <v>741</v>
      </c>
      <c r="B742" s="8" t="s">
        <v>45</v>
      </c>
      <c r="C742" s="8" t="s">
        <v>2335</v>
      </c>
      <c r="D742" s="8" t="s">
        <v>2336</v>
      </c>
      <c r="E742" s="7" t="s">
        <v>2337</v>
      </c>
      <c r="F742" s="8"/>
      <c r="G742" s="8" t="s">
        <v>184</v>
      </c>
      <c r="H742" s="9" t="s">
        <v>184</v>
      </c>
      <c r="I742" s="9" t="s">
        <v>50</v>
      </c>
      <c r="J742" s="9" t="s">
        <v>168</v>
      </c>
      <c r="K742" s="9" t="s">
        <v>191</v>
      </c>
      <c r="L742" s="8"/>
      <c r="M742" s="8"/>
      <c r="N742" s="8" t="s">
        <v>185</v>
      </c>
      <c r="O742" s="8" t="s">
        <v>2338</v>
      </c>
      <c r="P742" s="10" t="n">
        <f aca="false">IF($H742="숙박",0,IF($H742=MID(P$1,3,20),IF($I742="",1,0.6),IF($I742=MID(P$1,3,20),0.4,0)))</f>
        <v>0</v>
      </c>
      <c r="Q742" s="10" t="n">
        <f aca="false">IF($H742="숙박",0,IF($H742=MID(Q$1,3,20),IF($I742="",1,0.6),IF($I742=MID(Q$1,3,20),0.4,0)))</f>
        <v>0</v>
      </c>
      <c r="R742" s="10" t="n">
        <f aca="false">IF($H742="숙박",0,IF($H742=MID(R$1,3,20),IF($I742="",1,0.6),IF($I742=MID(R$1,3,20),0.4,0)))</f>
        <v>0.6</v>
      </c>
      <c r="S742" s="10" t="n">
        <f aca="false">IF($H742="숙박",0,IF($H742=MID(S$1,3,20),IF($I742="",1,0.6),IF($I742=MID(S$1,3,20),0.4,0)))</f>
        <v>0</v>
      </c>
      <c r="T742" s="10" t="n">
        <f aca="false">IF($H742="숙박",0,IF($H742=MID(T$1,3,20),IF($I742="",1,0.6),IF($I742=MID(T$1,3,20),0.4,0)))</f>
        <v>0.4</v>
      </c>
      <c r="U742" s="10" t="n">
        <f aca="false">IF($H742="숙박",0,IF(ISNUMBER(SEARCH("야경",$J742)),1,0))</f>
        <v>0</v>
      </c>
      <c r="V742" s="10" t="n">
        <f aca="false">IF($H742="숙박",0,1)</f>
        <v>1</v>
      </c>
    </row>
    <row r="743" customFormat="false" ht="15" hidden="false" customHeight="false" outlineLevel="0" collapsed="false">
      <c r="A743" s="8" t="n">
        <v>742</v>
      </c>
      <c r="B743" s="8" t="s">
        <v>45</v>
      </c>
      <c r="C743" s="8" t="s">
        <v>2335</v>
      </c>
      <c r="D743" s="8" t="s">
        <v>2339</v>
      </c>
      <c r="E743" s="7" t="s">
        <v>2340</v>
      </c>
      <c r="F743" s="8"/>
      <c r="G743" s="8" t="s">
        <v>184</v>
      </c>
      <c r="H743" s="9" t="s">
        <v>184</v>
      </c>
      <c r="I743" s="9" t="s">
        <v>190</v>
      </c>
      <c r="J743" s="9" t="s">
        <v>1361</v>
      </c>
      <c r="K743" s="9" t="s">
        <v>191</v>
      </c>
      <c r="L743" s="8"/>
      <c r="M743" s="8"/>
      <c r="N743" s="8" t="s">
        <v>483</v>
      </c>
      <c r="O743" s="8" t="s">
        <v>2341</v>
      </c>
      <c r="P743" s="10" t="n">
        <f aca="false">IF($H743="숙박",0,IF($H743=MID(P$1,3,20),IF($I743="",1,0.6),IF($I743=MID(P$1,3,20),0.4,0)))</f>
        <v>0.4</v>
      </c>
      <c r="Q743" s="10" t="n">
        <f aca="false">IF($H743="숙박",0,IF($H743=MID(Q$1,3,20),IF($I743="",1,0.6),IF($I743=MID(Q$1,3,20),0.4,0)))</f>
        <v>0</v>
      </c>
      <c r="R743" s="10" t="n">
        <f aca="false">IF($H743="숙박",0,IF($H743=MID(R$1,3,20),IF($I743="",1,0.6),IF($I743=MID(R$1,3,20),0.4,0)))</f>
        <v>0.6</v>
      </c>
      <c r="S743" s="10" t="n">
        <f aca="false">IF($H743="숙박",0,IF($H743=MID(S$1,3,20),IF($I743="",1,0.6),IF($I743=MID(S$1,3,20),0.4,0)))</f>
        <v>0</v>
      </c>
      <c r="T743" s="10" t="n">
        <f aca="false">IF($H743="숙박",0,IF($H743=MID(T$1,3,20),IF($I743="",1,0.6),IF($I743=MID(T$1,3,20),0.4,0)))</f>
        <v>0</v>
      </c>
      <c r="U743" s="10" t="n">
        <f aca="false">IF($H743="숙박",0,IF(ISNUMBER(SEARCH("야경",$J743)),1,0))</f>
        <v>0</v>
      </c>
      <c r="V743" s="10" t="n">
        <f aca="false">IF($H743="숙박",0,1)</f>
        <v>1</v>
      </c>
    </row>
    <row r="744" customFormat="false" ht="15" hidden="false" customHeight="false" outlineLevel="0" collapsed="false">
      <c r="A744" s="8" t="n">
        <v>743</v>
      </c>
      <c r="B744" s="8" t="s">
        <v>45</v>
      </c>
      <c r="C744" s="8" t="s">
        <v>2335</v>
      </c>
      <c r="D744" s="8" t="s">
        <v>2342</v>
      </c>
      <c r="E744" s="7" t="s">
        <v>2343</v>
      </c>
      <c r="F744" s="8"/>
      <c r="G744" s="8" t="s">
        <v>190</v>
      </c>
      <c r="H744" s="9" t="s">
        <v>190</v>
      </c>
      <c r="I744" s="9" t="s">
        <v>49</v>
      </c>
      <c r="J744" s="9"/>
      <c r="K744" s="9" t="s">
        <v>52</v>
      </c>
      <c r="L744" s="8"/>
      <c r="M744" s="8"/>
      <c r="N744" s="8" t="s">
        <v>483</v>
      </c>
      <c r="O744" s="8" t="s">
        <v>2344</v>
      </c>
      <c r="P744" s="10" t="n">
        <f aca="false">IF($H744="숙박",0,IF($H744=MID(P$1,3,20),IF($I744="",1,0.6),IF($I744=MID(P$1,3,20),0.4,0)))</f>
        <v>0.6</v>
      </c>
      <c r="Q744" s="10" t="n">
        <f aca="false">IF($H744="숙박",0,IF($H744=MID(Q$1,3,20),IF($I744="",1,0.6),IF($I744=MID(Q$1,3,20),0.4,0)))</f>
        <v>0.4</v>
      </c>
      <c r="R744" s="10" t="n">
        <f aca="false">IF($H744="숙박",0,IF($H744=MID(R$1,3,20),IF($I744="",1,0.6),IF($I744=MID(R$1,3,20),0.4,0)))</f>
        <v>0</v>
      </c>
      <c r="S744" s="10" t="n">
        <f aca="false">IF($H744="숙박",0,IF($H744=MID(S$1,3,20),IF($I744="",1,0.6),IF($I744=MID(S$1,3,20),0.4,0)))</f>
        <v>0</v>
      </c>
      <c r="T744" s="10" t="n">
        <f aca="false">IF($H744="숙박",0,IF($H744=MID(T$1,3,20),IF($I744="",1,0.6),IF($I744=MID(T$1,3,20),0.4,0)))</f>
        <v>0</v>
      </c>
      <c r="U744" s="10" t="n">
        <f aca="false">IF($H744="숙박",0,IF(ISNUMBER(SEARCH("야경",$J744)),1,0))</f>
        <v>0</v>
      </c>
      <c r="V744" s="10" t="n">
        <f aca="false">IF($H744="숙박",0,1)</f>
        <v>1</v>
      </c>
    </row>
    <row r="745" customFormat="false" ht="15" hidden="false" customHeight="false" outlineLevel="0" collapsed="false">
      <c r="A745" s="8" t="n">
        <v>744</v>
      </c>
      <c r="B745" s="8" t="s">
        <v>45</v>
      </c>
      <c r="C745" s="8" t="s">
        <v>1652</v>
      </c>
      <c r="D745" s="8" t="s">
        <v>2345</v>
      </c>
      <c r="E745" s="7" t="s">
        <v>2346</v>
      </c>
      <c r="F745" s="8"/>
      <c r="G745" s="8" t="s">
        <v>49</v>
      </c>
      <c r="H745" s="9" t="s">
        <v>49</v>
      </c>
      <c r="I745" s="9"/>
      <c r="J745" s="9"/>
      <c r="K745" s="9" t="s">
        <v>52</v>
      </c>
      <c r="L745" s="8"/>
      <c r="M745" s="8"/>
      <c r="N745" s="8"/>
      <c r="O745" s="8" t="s">
        <v>2347</v>
      </c>
      <c r="P745" s="10" t="n">
        <f aca="false">IF($H745="숙박",0,IF($H745=MID(P$1,3,20),IF($I745="",1,0.6),IF($I745=MID(P$1,3,20),0.4,0)))</f>
        <v>0</v>
      </c>
      <c r="Q745" s="10" t="n">
        <f aca="false">IF($H745="숙박",0,IF($H745=MID(Q$1,3,20),IF($I745="",1,0.6),IF($I745=MID(Q$1,3,20),0.4,0)))</f>
        <v>1</v>
      </c>
      <c r="R745" s="10" t="n">
        <f aca="false">IF($H745="숙박",0,IF($H745=MID(R$1,3,20),IF($I745="",1,0.6),IF($I745=MID(R$1,3,20),0.4,0)))</f>
        <v>0</v>
      </c>
      <c r="S745" s="10" t="n">
        <f aca="false">IF($H745="숙박",0,IF($H745=MID(S$1,3,20),IF($I745="",1,0.6),IF($I745=MID(S$1,3,20),0.4,0)))</f>
        <v>0</v>
      </c>
      <c r="T745" s="10" t="n">
        <f aca="false">IF($H745="숙박",0,IF($H745=MID(T$1,3,20),IF($I745="",1,0.6),IF($I745=MID(T$1,3,20),0.4,0)))</f>
        <v>0</v>
      </c>
      <c r="U745" s="10" t="n">
        <f aca="false">IF($H745="숙박",0,IF(ISNUMBER(SEARCH("야경",$J745)),1,0))</f>
        <v>0</v>
      </c>
      <c r="V745" s="10" t="n">
        <f aca="false">IF($H745="숙박",0,1)</f>
        <v>1</v>
      </c>
    </row>
    <row r="746" customFormat="false" ht="15" hidden="false" customHeight="false" outlineLevel="0" collapsed="false">
      <c r="A746" s="8" t="n">
        <v>745</v>
      </c>
      <c r="B746" s="8" t="s">
        <v>45</v>
      </c>
      <c r="C746" s="8"/>
      <c r="D746" s="8" t="s">
        <v>2348</v>
      </c>
      <c r="E746" s="7" t="s">
        <v>2349</v>
      </c>
      <c r="F746" s="8"/>
      <c r="G746" s="8"/>
      <c r="H746" s="9" t="s">
        <v>594</v>
      </c>
      <c r="I746" s="9"/>
      <c r="J746" s="9"/>
      <c r="K746" s="9"/>
      <c r="L746" s="8"/>
      <c r="M746" s="8"/>
      <c r="N746" s="8" t="s">
        <v>595</v>
      </c>
      <c r="O746" s="8"/>
      <c r="P746" s="10" t="n">
        <f aca="false">IF($H746="숙박",0,IF($H746=MID(P$1,3,20),IF($I746="",1,0.6),IF($I746=MID(P$1,3,20),0.4,0)))</f>
        <v>0</v>
      </c>
      <c r="Q746" s="10" t="n">
        <f aca="false">IF($H746="숙박",0,IF($H746=MID(Q$1,3,20),IF($I746="",1,0.6),IF($I746=MID(Q$1,3,20),0.4,0)))</f>
        <v>0</v>
      </c>
      <c r="R746" s="10" t="n">
        <f aca="false">IF($H746="숙박",0,IF($H746=MID(R$1,3,20),IF($I746="",1,0.6),IF($I746=MID(R$1,3,20),0.4,0)))</f>
        <v>0</v>
      </c>
      <c r="S746" s="10" t="n">
        <f aca="false">IF($H746="숙박",0,IF($H746=MID(S$1,3,20),IF($I746="",1,0.6),IF($I746=MID(S$1,3,20),0.4,0)))</f>
        <v>0</v>
      </c>
      <c r="T746" s="10" t="n">
        <f aca="false">IF($H746="숙박",0,IF($H746=MID(T$1,3,20),IF($I746="",1,0.6),IF($I746=MID(T$1,3,20),0.4,0)))</f>
        <v>0</v>
      </c>
      <c r="U746" s="10" t="n">
        <f aca="false">IF($H746="숙박",0,IF(ISNUMBER(SEARCH("야경",$J746)),1,0))</f>
        <v>0</v>
      </c>
      <c r="V746" s="10" t="n">
        <f aca="false">IF($H746="숙박",0,1)</f>
        <v>0</v>
      </c>
    </row>
    <row r="747" customFormat="false" ht="15" hidden="false" customHeight="false" outlineLevel="0" collapsed="false">
      <c r="A747" s="8" t="n">
        <v>746</v>
      </c>
      <c r="B747" s="8" t="s">
        <v>45</v>
      </c>
      <c r="C747" s="8" t="s">
        <v>178</v>
      </c>
      <c r="D747" s="8" t="s">
        <v>2350</v>
      </c>
      <c r="E747" s="7" t="s">
        <v>2351</v>
      </c>
      <c r="F747" s="8"/>
      <c r="G747" s="8" t="s">
        <v>190</v>
      </c>
      <c r="H747" s="9" t="s">
        <v>190</v>
      </c>
      <c r="I747" s="9"/>
      <c r="J747" s="9"/>
      <c r="K747" s="9" t="s">
        <v>191</v>
      </c>
      <c r="L747" s="8"/>
      <c r="M747" s="8"/>
      <c r="N747" s="8"/>
      <c r="O747" s="8" t="s">
        <v>2352</v>
      </c>
      <c r="P747" s="10" t="n">
        <f aca="false">IF($H747="숙박",0,IF($H747=MID(P$1,3,20),IF($I747="",1,0.6),IF($I747=MID(P$1,3,20),0.4,0)))</f>
        <v>1</v>
      </c>
      <c r="Q747" s="10" t="n">
        <f aca="false">IF($H747="숙박",0,IF($H747=MID(Q$1,3,20),IF($I747="",1,0.6),IF($I747=MID(Q$1,3,20),0.4,0)))</f>
        <v>0</v>
      </c>
      <c r="R747" s="10" t="n">
        <f aca="false">IF($H747="숙박",0,IF($H747=MID(R$1,3,20),IF($I747="",1,0.6),IF($I747=MID(R$1,3,20),0.4,0)))</f>
        <v>0</v>
      </c>
      <c r="S747" s="10" t="n">
        <f aca="false">IF($H747="숙박",0,IF($H747=MID(S$1,3,20),IF($I747="",1,0.6),IF($I747=MID(S$1,3,20),0.4,0)))</f>
        <v>0</v>
      </c>
      <c r="T747" s="10" t="n">
        <f aca="false">IF($H747="숙박",0,IF($H747=MID(T$1,3,20),IF($I747="",1,0.6),IF($I747=MID(T$1,3,20),0.4,0)))</f>
        <v>0</v>
      </c>
      <c r="U747" s="10" t="n">
        <f aca="false">IF($H747="숙박",0,IF(ISNUMBER(SEARCH("야경",$J747)),1,0))</f>
        <v>0</v>
      </c>
      <c r="V747" s="10" t="n">
        <f aca="false">IF($H747="숙박",0,1)</f>
        <v>1</v>
      </c>
    </row>
    <row r="748" customFormat="false" ht="15" hidden="false" customHeight="false" outlineLevel="0" collapsed="false">
      <c r="A748" s="8" t="n">
        <v>747</v>
      </c>
      <c r="B748" s="8" t="s">
        <v>45</v>
      </c>
      <c r="C748" s="8" t="s">
        <v>1493</v>
      </c>
      <c r="D748" s="8" t="s">
        <v>2353</v>
      </c>
      <c r="E748" s="7" t="s">
        <v>2354</v>
      </c>
      <c r="F748" s="8"/>
      <c r="G748" s="8" t="s">
        <v>49</v>
      </c>
      <c r="H748" s="9" t="s">
        <v>49</v>
      </c>
      <c r="I748" s="9"/>
      <c r="J748" s="9"/>
      <c r="K748" s="9" t="s">
        <v>52</v>
      </c>
      <c r="L748" s="8"/>
      <c r="M748" s="8"/>
      <c r="N748" s="8"/>
      <c r="O748" s="8" t="s">
        <v>2355</v>
      </c>
      <c r="P748" s="10" t="n">
        <f aca="false">IF($H748="숙박",0,IF($H748=MID(P$1,3,20),IF($I748="",1,0.6),IF($I748=MID(P$1,3,20),0.4,0)))</f>
        <v>0</v>
      </c>
      <c r="Q748" s="10" t="n">
        <f aca="false">IF($H748="숙박",0,IF($H748=MID(Q$1,3,20),IF($I748="",1,0.6),IF($I748=MID(Q$1,3,20),0.4,0)))</f>
        <v>1</v>
      </c>
      <c r="R748" s="10" t="n">
        <f aca="false">IF($H748="숙박",0,IF($H748=MID(R$1,3,20),IF($I748="",1,0.6),IF($I748=MID(R$1,3,20),0.4,0)))</f>
        <v>0</v>
      </c>
      <c r="S748" s="10" t="n">
        <f aca="false">IF($H748="숙박",0,IF($H748=MID(S$1,3,20),IF($I748="",1,0.6),IF($I748=MID(S$1,3,20),0.4,0)))</f>
        <v>0</v>
      </c>
      <c r="T748" s="10" t="n">
        <f aca="false">IF($H748="숙박",0,IF($H748=MID(T$1,3,20),IF($I748="",1,0.6),IF($I748=MID(T$1,3,20),0.4,0)))</f>
        <v>0</v>
      </c>
      <c r="U748" s="10" t="n">
        <f aca="false">IF($H748="숙박",0,IF(ISNUMBER(SEARCH("야경",$J748)),1,0))</f>
        <v>0</v>
      </c>
      <c r="V748" s="10" t="n">
        <f aca="false">IF($H748="숙박",0,1)</f>
        <v>1</v>
      </c>
    </row>
    <row r="749" customFormat="false" ht="15" hidden="false" customHeight="false" outlineLevel="0" collapsed="false">
      <c r="A749" s="8" t="n">
        <v>748</v>
      </c>
      <c r="B749" s="8" t="s">
        <v>45</v>
      </c>
      <c r="C749" s="8" t="s">
        <v>321</v>
      </c>
      <c r="D749" s="8" t="s">
        <v>2356</v>
      </c>
      <c r="E749" s="7" t="s">
        <v>2357</v>
      </c>
      <c r="F749" s="8"/>
      <c r="G749" s="8" t="s">
        <v>190</v>
      </c>
      <c r="H749" s="9" t="s">
        <v>190</v>
      </c>
      <c r="I749" s="9" t="s">
        <v>49</v>
      </c>
      <c r="J749" s="9"/>
      <c r="K749" s="9" t="s">
        <v>52</v>
      </c>
      <c r="L749" s="8"/>
      <c r="M749" s="8"/>
      <c r="N749" s="8" t="s">
        <v>483</v>
      </c>
      <c r="O749" s="8" t="s">
        <v>2358</v>
      </c>
      <c r="P749" s="10" t="n">
        <f aca="false">IF($H749="숙박",0,IF($H749=MID(P$1,3,20),IF($I749="",1,0.6),IF($I749=MID(P$1,3,20),0.4,0)))</f>
        <v>0.6</v>
      </c>
      <c r="Q749" s="10" t="n">
        <f aca="false">IF($H749="숙박",0,IF($H749=MID(Q$1,3,20),IF($I749="",1,0.6),IF($I749=MID(Q$1,3,20),0.4,0)))</f>
        <v>0.4</v>
      </c>
      <c r="R749" s="10" t="n">
        <f aca="false">IF($H749="숙박",0,IF($H749=MID(R$1,3,20),IF($I749="",1,0.6),IF($I749=MID(R$1,3,20),0.4,0)))</f>
        <v>0</v>
      </c>
      <c r="S749" s="10" t="n">
        <f aca="false">IF($H749="숙박",0,IF($H749=MID(S$1,3,20),IF($I749="",1,0.6),IF($I749=MID(S$1,3,20),0.4,0)))</f>
        <v>0</v>
      </c>
      <c r="T749" s="10" t="n">
        <f aca="false">IF($H749="숙박",0,IF($H749=MID(T$1,3,20),IF($I749="",1,0.6),IF($I749=MID(T$1,3,20),0.4,0)))</f>
        <v>0</v>
      </c>
      <c r="U749" s="10" t="n">
        <f aca="false">IF($H749="숙박",0,IF(ISNUMBER(SEARCH("야경",$J749)),1,0))</f>
        <v>0</v>
      </c>
      <c r="V749" s="10" t="n">
        <f aca="false">IF($H749="숙박",0,1)</f>
        <v>1</v>
      </c>
    </row>
    <row r="750" customFormat="false" ht="15" hidden="false" customHeight="false" outlineLevel="0" collapsed="false">
      <c r="A750" s="8" t="n">
        <v>749</v>
      </c>
      <c r="B750" s="8" t="s">
        <v>45</v>
      </c>
      <c r="C750" s="8" t="s">
        <v>467</v>
      </c>
      <c r="D750" s="8" t="s">
        <v>2359</v>
      </c>
      <c r="E750" s="7" t="s">
        <v>2360</v>
      </c>
      <c r="F750" s="8"/>
      <c r="G750" s="8" t="s">
        <v>50</v>
      </c>
      <c r="H750" s="9" t="s">
        <v>50</v>
      </c>
      <c r="I750" s="9"/>
      <c r="J750" s="9" t="s">
        <v>168</v>
      </c>
      <c r="K750" s="9" t="s">
        <v>52</v>
      </c>
      <c r="L750" s="8"/>
      <c r="M750" s="8"/>
      <c r="N750" s="8"/>
      <c r="O750" s="8" t="s">
        <v>2361</v>
      </c>
      <c r="P750" s="10" t="n">
        <f aca="false">IF($H750="숙박",0,IF($H750=MID(P$1,3,20),IF($I750="",1,0.6),IF($I750=MID(P$1,3,20),0.4,0)))</f>
        <v>0</v>
      </c>
      <c r="Q750" s="10" t="n">
        <f aca="false">IF($H750="숙박",0,IF($H750=MID(Q$1,3,20),IF($I750="",1,0.6),IF($I750=MID(Q$1,3,20),0.4,0)))</f>
        <v>0</v>
      </c>
      <c r="R750" s="10" t="n">
        <f aca="false">IF($H750="숙박",0,IF($H750=MID(R$1,3,20),IF($I750="",1,0.6),IF($I750=MID(R$1,3,20),0.4,0)))</f>
        <v>0</v>
      </c>
      <c r="S750" s="10" t="n">
        <f aca="false">IF($H750="숙박",0,IF($H750=MID(S$1,3,20),IF($I750="",1,0.6),IF($I750=MID(S$1,3,20),0.4,0)))</f>
        <v>0</v>
      </c>
      <c r="T750" s="10" t="n">
        <f aca="false">IF($H750="숙박",0,IF($H750=MID(T$1,3,20),IF($I750="",1,0.6),IF($I750=MID(T$1,3,20),0.4,0)))</f>
        <v>1</v>
      </c>
      <c r="U750" s="10" t="n">
        <f aca="false">IF($H750="숙박",0,IF(ISNUMBER(SEARCH("야경",$J750)),1,0))</f>
        <v>0</v>
      </c>
      <c r="V750" s="10" t="n">
        <f aca="false">IF($H750="숙박",0,1)</f>
        <v>1</v>
      </c>
    </row>
    <row r="751" customFormat="false" ht="15" hidden="false" customHeight="false" outlineLevel="0" collapsed="false">
      <c r="A751" s="8" t="n">
        <v>750</v>
      </c>
      <c r="B751" s="8" t="s">
        <v>45</v>
      </c>
      <c r="C751" s="8"/>
      <c r="D751" s="8" t="s">
        <v>2362</v>
      </c>
      <c r="E751" s="7" t="s">
        <v>2363</v>
      </c>
      <c r="F751" s="8"/>
      <c r="G751" s="8"/>
      <c r="H751" s="9" t="s">
        <v>594</v>
      </c>
      <c r="I751" s="9"/>
      <c r="J751" s="9"/>
      <c r="K751" s="9"/>
      <c r="L751" s="8"/>
      <c r="M751" s="8"/>
      <c r="N751" s="8" t="s">
        <v>595</v>
      </c>
      <c r="O751" s="8"/>
      <c r="P751" s="10" t="n">
        <f aca="false">IF($H751="숙박",0,IF($H751=MID(P$1,3,20),IF($I751="",1,0.6),IF($I751=MID(P$1,3,20),0.4,0)))</f>
        <v>0</v>
      </c>
      <c r="Q751" s="10" t="n">
        <f aca="false">IF($H751="숙박",0,IF($H751=MID(Q$1,3,20),IF($I751="",1,0.6),IF($I751=MID(Q$1,3,20),0.4,0)))</f>
        <v>0</v>
      </c>
      <c r="R751" s="10" t="n">
        <f aca="false">IF($H751="숙박",0,IF($H751=MID(R$1,3,20),IF($I751="",1,0.6),IF($I751=MID(R$1,3,20),0.4,0)))</f>
        <v>0</v>
      </c>
      <c r="S751" s="10" t="n">
        <f aca="false">IF($H751="숙박",0,IF($H751=MID(S$1,3,20),IF($I751="",1,0.6),IF($I751=MID(S$1,3,20),0.4,0)))</f>
        <v>0</v>
      </c>
      <c r="T751" s="10" t="n">
        <f aca="false">IF($H751="숙박",0,IF($H751=MID(T$1,3,20),IF($I751="",1,0.6),IF($I751=MID(T$1,3,20),0.4,0)))</f>
        <v>0</v>
      </c>
      <c r="U751" s="10" t="n">
        <f aca="false">IF($H751="숙박",0,IF(ISNUMBER(SEARCH("야경",$J751)),1,0))</f>
        <v>0</v>
      </c>
      <c r="V751" s="10" t="n">
        <f aca="false">IF($H751="숙박",0,1)</f>
        <v>0</v>
      </c>
    </row>
    <row r="752" customFormat="false" ht="15" hidden="false" customHeight="false" outlineLevel="0" collapsed="false">
      <c r="A752" s="8" t="n">
        <v>751</v>
      </c>
      <c r="B752" s="8" t="s">
        <v>45</v>
      </c>
      <c r="C752" s="8" t="s">
        <v>1865</v>
      </c>
      <c r="D752" s="8" t="s">
        <v>2364</v>
      </c>
      <c r="E752" s="7" t="s">
        <v>2365</v>
      </c>
      <c r="F752" s="8"/>
      <c r="G752" s="8" t="s">
        <v>50</v>
      </c>
      <c r="H752" s="9" t="s">
        <v>50</v>
      </c>
      <c r="I752" s="9" t="s">
        <v>49</v>
      </c>
      <c r="J752" s="9" t="s">
        <v>168</v>
      </c>
      <c r="K752" s="9" t="s">
        <v>52</v>
      </c>
      <c r="L752" s="8"/>
      <c r="M752" s="8"/>
      <c r="N752" s="8" t="s">
        <v>483</v>
      </c>
      <c r="O752" s="8" t="s">
        <v>2366</v>
      </c>
      <c r="P752" s="10" t="n">
        <f aca="false">IF($H752="숙박",0,IF($H752=MID(P$1,3,20),IF($I752="",1,0.6),IF($I752=MID(P$1,3,20),0.4,0)))</f>
        <v>0</v>
      </c>
      <c r="Q752" s="10" t="n">
        <f aca="false">IF($H752="숙박",0,IF($H752=MID(Q$1,3,20),IF($I752="",1,0.6),IF($I752=MID(Q$1,3,20),0.4,0)))</f>
        <v>0.4</v>
      </c>
      <c r="R752" s="10" t="n">
        <f aca="false">IF($H752="숙박",0,IF($H752=MID(R$1,3,20),IF($I752="",1,0.6),IF($I752=MID(R$1,3,20),0.4,0)))</f>
        <v>0</v>
      </c>
      <c r="S752" s="10" t="n">
        <f aca="false">IF($H752="숙박",0,IF($H752=MID(S$1,3,20),IF($I752="",1,0.6),IF($I752=MID(S$1,3,20),0.4,0)))</f>
        <v>0</v>
      </c>
      <c r="T752" s="10" t="n">
        <f aca="false">IF($H752="숙박",0,IF($H752=MID(T$1,3,20),IF($I752="",1,0.6),IF($I752=MID(T$1,3,20),0.4,0)))</f>
        <v>0.6</v>
      </c>
      <c r="U752" s="10" t="n">
        <f aca="false">IF($H752="숙박",0,IF(ISNUMBER(SEARCH("야경",$J752)),1,0))</f>
        <v>0</v>
      </c>
      <c r="V752" s="10" t="n">
        <f aca="false">IF($H752="숙박",0,1)</f>
        <v>1</v>
      </c>
    </row>
    <row r="753" customFormat="false" ht="15" hidden="false" customHeight="false" outlineLevel="0" collapsed="false">
      <c r="A753" s="8" t="n">
        <v>752</v>
      </c>
      <c r="B753" s="8" t="s">
        <v>45</v>
      </c>
      <c r="C753" s="8" t="s">
        <v>2335</v>
      </c>
      <c r="D753" s="8" t="s">
        <v>2367</v>
      </c>
      <c r="E753" s="7" t="s">
        <v>2368</v>
      </c>
      <c r="F753" s="8"/>
      <c r="G753" s="8" t="s">
        <v>216</v>
      </c>
      <c r="H753" s="9" t="s">
        <v>216</v>
      </c>
      <c r="I753" s="9" t="s">
        <v>50</v>
      </c>
      <c r="J753" s="9" t="s">
        <v>168</v>
      </c>
      <c r="K753" s="9" t="s">
        <v>191</v>
      </c>
      <c r="L753" s="8"/>
      <c r="M753" s="8"/>
      <c r="N753" s="8" t="s">
        <v>185</v>
      </c>
      <c r="O753" s="8" t="s">
        <v>2369</v>
      </c>
      <c r="P753" s="10" t="n">
        <f aca="false">IF($H753="숙박",0,IF($H753=MID(P$1,3,20),IF($I753="",1,0.6),IF($I753=MID(P$1,3,20),0.4,0)))</f>
        <v>0</v>
      </c>
      <c r="Q753" s="10" t="n">
        <f aca="false">IF($H753="숙박",0,IF($H753=MID(Q$1,3,20),IF($I753="",1,0.6),IF($I753=MID(Q$1,3,20),0.4,0)))</f>
        <v>0</v>
      </c>
      <c r="R753" s="10" t="n">
        <f aca="false">IF($H753="숙박",0,IF($H753=MID(R$1,3,20),IF($I753="",1,0.6),IF($I753=MID(R$1,3,20),0.4,0)))</f>
        <v>0</v>
      </c>
      <c r="S753" s="10" t="n">
        <f aca="false">IF($H753="숙박",0,IF($H753=MID(S$1,3,20),IF($I753="",1,0.6),IF($I753=MID(S$1,3,20),0.4,0)))</f>
        <v>0.6</v>
      </c>
      <c r="T753" s="10" t="n">
        <f aca="false">IF($H753="숙박",0,IF($H753=MID(T$1,3,20),IF($I753="",1,0.6),IF($I753=MID(T$1,3,20),0.4,0)))</f>
        <v>0.4</v>
      </c>
      <c r="U753" s="10" t="n">
        <f aca="false">IF($H753="숙박",0,IF(ISNUMBER(SEARCH("야경",$J753)),1,0))</f>
        <v>0</v>
      </c>
      <c r="V753" s="10" t="n">
        <f aca="false">IF($H753="숙박",0,1)</f>
        <v>1</v>
      </c>
    </row>
    <row r="754" customFormat="false" ht="15" hidden="false" customHeight="false" outlineLevel="0" collapsed="false">
      <c r="A754" s="8" t="n">
        <v>753</v>
      </c>
      <c r="B754" s="8" t="s">
        <v>45</v>
      </c>
      <c r="C754" s="8"/>
      <c r="D754" s="8" t="s">
        <v>2370</v>
      </c>
      <c r="E754" s="7" t="s">
        <v>2371</v>
      </c>
      <c r="F754" s="8"/>
      <c r="G754" s="8"/>
      <c r="H754" s="9" t="s">
        <v>594</v>
      </c>
      <c r="I754" s="9"/>
      <c r="J754" s="9"/>
      <c r="K754" s="9"/>
      <c r="L754" s="8"/>
      <c r="M754" s="8"/>
      <c r="N754" s="8" t="s">
        <v>595</v>
      </c>
      <c r="O754" s="8"/>
      <c r="P754" s="10" t="n">
        <f aca="false">IF($H754="숙박",0,IF($H754=MID(P$1,3,20),IF($I754="",1,0.6),IF($I754=MID(P$1,3,20),0.4,0)))</f>
        <v>0</v>
      </c>
      <c r="Q754" s="10" t="n">
        <f aca="false">IF($H754="숙박",0,IF($H754=MID(Q$1,3,20),IF($I754="",1,0.6),IF($I754=MID(Q$1,3,20),0.4,0)))</f>
        <v>0</v>
      </c>
      <c r="R754" s="10" t="n">
        <f aca="false">IF($H754="숙박",0,IF($H754=MID(R$1,3,20),IF($I754="",1,0.6),IF($I754=MID(R$1,3,20),0.4,0)))</f>
        <v>0</v>
      </c>
      <c r="S754" s="10" t="n">
        <f aca="false">IF($H754="숙박",0,IF($H754=MID(S$1,3,20),IF($I754="",1,0.6),IF($I754=MID(S$1,3,20),0.4,0)))</f>
        <v>0</v>
      </c>
      <c r="T754" s="10" t="n">
        <f aca="false">IF($H754="숙박",0,IF($H754=MID(T$1,3,20),IF($I754="",1,0.6),IF($I754=MID(T$1,3,20),0.4,0)))</f>
        <v>0</v>
      </c>
      <c r="U754" s="10" t="n">
        <f aca="false">IF($H754="숙박",0,IF(ISNUMBER(SEARCH("야경",$J754)),1,0))</f>
        <v>0</v>
      </c>
      <c r="V754" s="10" t="n">
        <f aca="false">IF($H754="숙박",0,1)</f>
        <v>0</v>
      </c>
    </row>
    <row r="755" customFormat="false" ht="15" hidden="false" customHeight="false" outlineLevel="0" collapsed="false">
      <c r="A755" s="8" t="n">
        <v>754</v>
      </c>
      <c r="B755" s="8" t="s">
        <v>45</v>
      </c>
      <c r="C755" s="8" t="s">
        <v>788</v>
      </c>
      <c r="D755" s="8" t="s">
        <v>2372</v>
      </c>
      <c r="E755" s="7" t="s">
        <v>2373</v>
      </c>
      <c r="F755" s="8"/>
      <c r="G755" s="8" t="s">
        <v>184</v>
      </c>
      <c r="H755" s="9" t="s">
        <v>184</v>
      </c>
      <c r="I755" s="9" t="s">
        <v>216</v>
      </c>
      <c r="J755" s="9" t="s">
        <v>1361</v>
      </c>
      <c r="K755" s="9" t="s">
        <v>191</v>
      </c>
      <c r="L755" s="8"/>
      <c r="M755" s="8"/>
      <c r="N755" s="8" t="s">
        <v>483</v>
      </c>
      <c r="O755" s="8" t="s">
        <v>2374</v>
      </c>
      <c r="P755" s="10" t="n">
        <f aca="false">IF($H755="숙박",0,IF($H755=MID(P$1,3,20),IF($I755="",1,0.6),IF($I755=MID(P$1,3,20),0.4,0)))</f>
        <v>0</v>
      </c>
      <c r="Q755" s="10" t="n">
        <f aca="false">IF($H755="숙박",0,IF($H755=MID(Q$1,3,20),IF($I755="",1,0.6),IF($I755=MID(Q$1,3,20),0.4,0)))</f>
        <v>0</v>
      </c>
      <c r="R755" s="10" t="n">
        <f aca="false">IF($H755="숙박",0,IF($H755=MID(R$1,3,20),IF($I755="",1,0.6),IF($I755=MID(R$1,3,20),0.4,0)))</f>
        <v>0.6</v>
      </c>
      <c r="S755" s="10" t="n">
        <f aca="false">IF($H755="숙박",0,IF($H755=MID(S$1,3,20),IF($I755="",1,0.6),IF($I755=MID(S$1,3,20),0.4,0)))</f>
        <v>0.4</v>
      </c>
      <c r="T755" s="10" t="n">
        <f aca="false">IF($H755="숙박",0,IF($H755=MID(T$1,3,20),IF($I755="",1,0.6),IF($I755=MID(T$1,3,20),0.4,0)))</f>
        <v>0</v>
      </c>
      <c r="U755" s="10" t="n">
        <f aca="false">IF($H755="숙박",0,IF(ISNUMBER(SEARCH("야경",$J755)),1,0))</f>
        <v>0</v>
      </c>
      <c r="V755" s="10" t="n">
        <f aca="false">IF($H755="숙박",0,1)</f>
        <v>1</v>
      </c>
    </row>
    <row r="756" customFormat="false" ht="15" hidden="false" customHeight="false" outlineLevel="0" collapsed="false">
      <c r="A756" s="8" t="n">
        <v>755</v>
      </c>
      <c r="B756" s="8" t="s">
        <v>45</v>
      </c>
      <c r="C756" s="8" t="s">
        <v>2375</v>
      </c>
      <c r="D756" s="8" t="s">
        <v>2376</v>
      </c>
      <c r="E756" s="7" t="s">
        <v>2377</v>
      </c>
      <c r="F756" s="8"/>
      <c r="G756" s="8" t="s">
        <v>184</v>
      </c>
      <c r="H756" s="9" t="s">
        <v>184</v>
      </c>
      <c r="I756" s="9" t="s">
        <v>49</v>
      </c>
      <c r="J756" s="9" t="s">
        <v>1361</v>
      </c>
      <c r="K756" s="9" t="s">
        <v>52</v>
      </c>
      <c r="L756" s="8"/>
      <c r="M756" s="8"/>
      <c r="N756" s="8" t="s">
        <v>483</v>
      </c>
      <c r="O756" s="8" t="s">
        <v>2378</v>
      </c>
      <c r="P756" s="10" t="n">
        <f aca="false">IF($H756="숙박",0,IF($H756=MID(P$1,3,20),IF($I756="",1,0.6),IF($I756=MID(P$1,3,20),0.4,0)))</f>
        <v>0</v>
      </c>
      <c r="Q756" s="10" t="n">
        <f aca="false">IF($H756="숙박",0,IF($H756=MID(Q$1,3,20),IF($I756="",1,0.6),IF($I756=MID(Q$1,3,20),0.4,0)))</f>
        <v>0.4</v>
      </c>
      <c r="R756" s="10" t="n">
        <f aca="false">IF($H756="숙박",0,IF($H756=MID(R$1,3,20),IF($I756="",1,0.6),IF($I756=MID(R$1,3,20),0.4,0)))</f>
        <v>0.6</v>
      </c>
      <c r="S756" s="10" t="n">
        <f aca="false">IF($H756="숙박",0,IF($H756=MID(S$1,3,20),IF($I756="",1,0.6),IF($I756=MID(S$1,3,20),0.4,0)))</f>
        <v>0</v>
      </c>
      <c r="T756" s="10" t="n">
        <f aca="false">IF($H756="숙박",0,IF($H756=MID(T$1,3,20),IF($I756="",1,0.6),IF($I756=MID(T$1,3,20),0.4,0)))</f>
        <v>0</v>
      </c>
      <c r="U756" s="10" t="n">
        <f aca="false">IF($H756="숙박",0,IF(ISNUMBER(SEARCH("야경",$J756)),1,0))</f>
        <v>0</v>
      </c>
      <c r="V756" s="10" t="n">
        <f aca="false">IF($H756="숙박",0,1)</f>
        <v>1</v>
      </c>
    </row>
    <row r="757" customFormat="false" ht="15" hidden="false" customHeight="false" outlineLevel="0" collapsed="false">
      <c r="A757" s="8" t="n">
        <v>756</v>
      </c>
      <c r="B757" s="8" t="s">
        <v>45</v>
      </c>
      <c r="C757" s="8"/>
      <c r="D757" s="8" t="s">
        <v>2379</v>
      </c>
      <c r="E757" s="7" t="s">
        <v>2380</v>
      </c>
      <c r="F757" s="8"/>
      <c r="G757" s="8"/>
      <c r="H757" s="9" t="s">
        <v>594</v>
      </c>
      <c r="I757" s="9"/>
      <c r="J757" s="9"/>
      <c r="K757" s="9"/>
      <c r="L757" s="8"/>
      <c r="M757" s="8"/>
      <c r="N757" s="8" t="s">
        <v>595</v>
      </c>
      <c r="O757" s="8"/>
      <c r="P757" s="10" t="n">
        <f aca="false">IF($H757="숙박",0,IF($H757=MID(P$1,3,20),IF($I757="",1,0.6),IF($I757=MID(P$1,3,20),0.4,0)))</f>
        <v>0</v>
      </c>
      <c r="Q757" s="10" t="n">
        <f aca="false">IF($H757="숙박",0,IF($H757=MID(Q$1,3,20),IF($I757="",1,0.6),IF($I757=MID(Q$1,3,20),0.4,0)))</f>
        <v>0</v>
      </c>
      <c r="R757" s="10" t="n">
        <f aca="false">IF($H757="숙박",0,IF($H757=MID(R$1,3,20),IF($I757="",1,0.6),IF($I757=MID(R$1,3,20),0.4,0)))</f>
        <v>0</v>
      </c>
      <c r="S757" s="10" t="n">
        <f aca="false">IF($H757="숙박",0,IF($H757=MID(S$1,3,20),IF($I757="",1,0.6),IF($I757=MID(S$1,3,20),0.4,0)))</f>
        <v>0</v>
      </c>
      <c r="T757" s="10" t="n">
        <f aca="false">IF($H757="숙박",0,IF($H757=MID(T$1,3,20),IF($I757="",1,0.6),IF($I757=MID(T$1,3,20),0.4,0)))</f>
        <v>0</v>
      </c>
      <c r="U757" s="10" t="n">
        <f aca="false">IF($H757="숙박",0,IF(ISNUMBER(SEARCH("야경",$J757)),1,0))</f>
        <v>0</v>
      </c>
      <c r="V757" s="10" t="n">
        <f aca="false">IF($H757="숙박",0,1)</f>
        <v>0</v>
      </c>
    </row>
    <row r="758" customFormat="false" ht="15" hidden="false" customHeight="false" outlineLevel="0" collapsed="false">
      <c r="A758" s="8" t="n">
        <v>757</v>
      </c>
      <c r="B758" s="8" t="s">
        <v>45</v>
      </c>
      <c r="C758" s="8" t="s">
        <v>342</v>
      </c>
      <c r="D758" s="8" t="s">
        <v>2381</v>
      </c>
      <c r="E758" s="7" t="s">
        <v>2382</v>
      </c>
      <c r="F758" s="8"/>
      <c r="G758" s="8" t="s">
        <v>216</v>
      </c>
      <c r="H758" s="9" t="s">
        <v>216</v>
      </c>
      <c r="I758" s="9"/>
      <c r="J758" s="9"/>
      <c r="K758" s="9" t="s">
        <v>191</v>
      </c>
      <c r="L758" s="8"/>
      <c r="M758" s="8"/>
      <c r="N758" s="8"/>
      <c r="O758" s="8" t="s">
        <v>2383</v>
      </c>
      <c r="P758" s="10" t="n">
        <f aca="false">IF($H758="숙박",0,IF($H758=MID(P$1,3,20),IF($I758="",1,0.6),IF($I758=MID(P$1,3,20),0.4,0)))</f>
        <v>0</v>
      </c>
      <c r="Q758" s="10" t="n">
        <f aca="false">IF($H758="숙박",0,IF($H758=MID(Q$1,3,20),IF($I758="",1,0.6),IF($I758=MID(Q$1,3,20),0.4,0)))</f>
        <v>0</v>
      </c>
      <c r="R758" s="10" t="n">
        <f aca="false">IF($H758="숙박",0,IF($H758=MID(R$1,3,20),IF($I758="",1,0.6),IF($I758=MID(R$1,3,20),0.4,0)))</f>
        <v>0</v>
      </c>
      <c r="S758" s="10" t="n">
        <f aca="false">IF($H758="숙박",0,IF($H758=MID(S$1,3,20),IF($I758="",1,0.6),IF($I758=MID(S$1,3,20),0.4,0)))</f>
        <v>1</v>
      </c>
      <c r="T758" s="10" t="n">
        <f aca="false">IF($H758="숙박",0,IF($H758=MID(T$1,3,20),IF($I758="",1,0.6),IF($I758=MID(T$1,3,20),0.4,0)))</f>
        <v>0</v>
      </c>
      <c r="U758" s="10" t="n">
        <f aca="false">IF($H758="숙박",0,IF(ISNUMBER(SEARCH("야경",$J758)),1,0))</f>
        <v>0</v>
      </c>
      <c r="V758" s="10" t="n">
        <f aca="false">IF($H758="숙박",0,1)</f>
        <v>1</v>
      </c>
    </row>
    <row r="759" customFormat="false" ht="15" hidden="false" customHeight="false" outlineLevel="0" collapsed="false">
      <c r="A759" s="8" t="n">
        <v>758</v>
      </c>
      <c r="B759" s="8" t="s">
        <v>45</v>
      </c>
      <c r="C759" s="8" t="s">
        <v>1512</v>
      </c>
      <c r="D759" s="8" t="s">
        <v>2384</v>
      </c>
      <c r="E759" s="7" t="s">
        <v>2385</v>
      </c>
      <c r="F759" s="8"/>
      <c r="G759" s="8" t="s">
        <v>190</v>
      </c>
      <c r="H759" s="9" t="s">
        <v>190</v>
      </c>
      <c r="I759" s="9"/>
      <c r="J759" s="9"/>
      <c r="K759" s="9" t="s">
        <v>52</v>
      </c>
      <c r="L759" s="8"/>
      <c r="M759" s="8"/>
      <c r="N759" s="8"/>
      <c r="O759" s="8" t="s">
        <v>2386</v>
      </c>
      <c r="P759" s="10" t="n">
        <f aca="false">IF($H759="숙박",0,IF($H759=MID(P$1,3,20),IF($I759="",1,0.6),IF($I759=MID(P$1,3,20),0.4,0)))</f>
        <v>1</v>
      </c>
      <c r="Q759" s="10" t="n">
        <f aca="false">IF($H759="숙박",0,IF($H759=MID(Q$1,3,20),IF($I759="",1,0.6),IF($I759=MID(Q$1,3,20),0.4,0)))</f>
        <v>0</v>
      </c>
      <c r="R759" s="10" t="n">
        <f aca="false">IF($H759="숙박",0,IF($H759=MID(R$1,3,20),IF($I759="",1,0.6),IF($I759=MID(R$1,3,20),0.4,0)))</f>
        <v>0</v>
      </c>
      <c r="S759" s="10" t="n">
        <f aca="false">IF($H759="숙박",0,IF($H759=MID(S$1,3,20),IF($I759="",1,0.6),IF($I759=MID(S$1,3,20),0.4,0)))</f>
        <v>0</v>
      </c>
      <c r="T759" s="10" t="n">
        <f aca="false">IF($H759="숙박",0,IF($H759=MID(T$1,3,20),IF($I759="",1,0.6),IF($I759=MID(T$1,3,20),0.4,0)))</f>
        <v>0</v>
      </c>
      <c r="U759" s="10" t="n">
        <f aca="false">IF($H759="숙박",0,IF(ISNUMBER(SEARCH("야경",$J759)),1,0))</f>
        <v>0</v>
      </c>
      <c r="V759" s="10" t="n">
        <f aca="false">IF($H759="숙박",0,1)</f>
        <v>1</v>
      </c>
    </row>
    <row r="760" customFormat="false" ht="15" hidden="false" customHeight="false" outlineLevel="0" collapsed="false">
      <c r="A760" s="8" t="n">
        <v>759</v>
      </c>
      <c r="B760" s="8" t="s">
        <v>45</v>
      </c>
      <c r="C760" s="8"/>
      <c r="D760" s="8" t="s">
        <v>2387</v>
      </c>
      <c r="E760" s="7" t="s">
        <v>2388</v>
      </c>
      <c r="F760" s="8"/>
      <c r="G760" s="8"/>
      <c r="H760" s="9" t="s">
        <v>594</v>
      </c>
      <c r="I760" s="9"/>
      <c r="J760" s="9"/>
      <c r="K760" s="9"/>
      <c r="L760" s="8"/>
      <c r="M760" s="8"/>
      <c r="N760" s="8" t="s">
        <v>595</v>
      </c>
      <c r="O760" s="8"/>
      <c r="P760" s="10" t="n">
        <f aca="false">IF($H760="숙박",0,IF($H760=MID(P$1,3,20),IF($I760="",1,0.6),IF($I760=MID(P$1,3,20),0.4,0)))</f>
        <v>0</v>
      </c>
      <c r="Q760" s="10" t="n">
        <f aca="false">IF($H760="숙박",0,IF($H760=MID(Q$1,3,20),IF($I760="",1,0.6),IF($I760=MID(Q$1,3,20),0.4,0)))</f>
        <v>0</v>
      </c>
      <c r="R760" s="10" t="n">
        <f aca="false">IF($H760="숙박",0,IF($H760=MID(R$1,3,20),IF($I760="",1,0.6),IF($I760=MID(R$1,3,20),0.4,0)))</f>
        <v>0</v>
      </c>
      <c r="S760" s="10" t="n">
        <f aca="false">IF($H760="숙박",0,IF($H760=MID(S$1,3,20),IF($I760="",1,0.6),IF($I760=MID(S$1,3,20),0.4,0)))</f>
        <v>0</v>
      </c>
      <c r="T760" s="10" t="n">
        <f aca="false">IF($H760="숙박",0,IF($H760=MID(T$1,3,20),IF($I760="",1,0.6),IF($I760=MID(T$1,3,20),0.4,0)))</f>
        <v>0</v>
      </c>
      <c r="U760" s="10" t="n">
        <f aca="false">IF($H760="숙박",0,IF(ISNUMBER(SEARCH("야경",$J760)),1,0))</f>
        <v>0</v>
      </c>
      <c r="V760" s="10" t="n">
        <f aca="false">IF($H760="숙박",0,1)</f>
        <v>0</v>
      </c>
    </row>
    <row r="761" customFormat="false" ht="15" hidden="false" customHeight="false" outlineLevel="0" collapsed="false">
      <c r="A761" s="8" t="n">
        <v>760</v>
      </c>
      <c r="B761" s="8" t="s">
        <v>45</v>
      </c>
      <c r="C761" s="8" t="s">
        <v>1409</v>
      </c>
      <c r="D761" s="8" t="s">
        <v>2389</v>
      </c>
      <c r="E761" s="7" t="s">
        <v>2390</v>
      </c>
      <c r="F761" s="8"/>
      <c r="G761" s="8" t="s">
        <v>49</v>
      </c>
      <c r="H761" s="9" t="s">
        <v>49</v>
      </c>
      <c r="I761" s="9"/>
      <c r="J761" s="9"/>
      <c r="K761" s="9" t="s">
        <v>52</v>
      </c>
      <c r="L761" s="8"/>
      <c r="M761" s="8"/>
      <c r="N761" s="8"/>
      <c r="O761" s="8" t="s">
        <v>2391</v>
      </c>
      <c r="P761" s="10" t="n">
        <f aca="false">IF($H761="숙박",0,IF($H761=MID(P$1,3,20),IF($I761="",1,0.6),IF($I761=MID(P$1,3,20),0.4,0)))</f>
        <v>0</v>
      </c>
      <c r="Q761" s="10" t="n">
        <f aca="false">IF($H761="숙박",0,IF($H761=MID(Q$1,3,20),IF($I761="",1,0.6),IF($I761=MID(Q$1,3,20),0.4,0)))</f>
        <v>1</v>
      </c>
      <c r="R761" s="10" t="n">
        <f aca="false">IF($H761="숙박",0,IF($H761=MID(R$1,3,20),IF($I761="",1,0.6),IF($I761=MID(R$1,3,20),0.4,0)))</f>
        <v>0</v>
      </c>
      <c r="S761" s="10" t="n">
        <f aca="false">IF($H761="숙박",0,IF($H761=MID(S$1,3,20),IF($I761="",1,0.6),IF($I761=MID(S$1,3,20),0.4,0)))</f>
        <v>0</v>
      </c>
      <c r="T761" s="10" t="n">
        <f aca="false">IF($H761="숙박",0,IF($H761=MID(T$1,3,20),IF($I761="",1,0.6),IF($I761=MID(T$1,3,20),0.4,0)))</f>
        <v>0</v>
      </c>
      <c r="U761" s="10" t="n">
        <f aca="false">IF($H761="숙박",0,IF(ISNUMBER(SEARCH("야경",$J761)),1,0))</f>
        <v>0</v>
      </c>
      <c r="V761" s="10" t="n">
        <f aca="false">IF($H761="숙박",0,1)</f>
        <v>1</v>
      </c>
    </row>
    <row r="762" customFormat="false" ht="15" hidden="false" customHeight="false" outlineLevel="0" collapsed="false">
      <c r="A762" s="8" t="n">
        <v>761</v>
      </c>
      <c r="B762" s="8" t="s">
        <v>45</v>
      </c>
      <c r="C762" s="8"/>
      <c r="D762" s="8" t="s">
        <v>2392</v>
      </c>
      <c r="E762" s="7" t="s">
        <v>2393</v>
      </c>
      <c r="F762" s="8"/>
      <c r="G762" s="8"/>
      <c r="H762" s="9" t="s">
        <v>594</v>
      </c>
      <c r="I762" s="9"/>
      <c r="J762" s="9"/>
      <c r="K762" s="9"/>
      <c r="L762" s="8"/>
      <c r="M762" s="8"/>
      <c r="N762" s="8" t="s">
        <v>595</v>
      </c>
      <c r="O762" s="8"/>
      <c r="P762" s="10" t="n">
        <f aca="false">IF($H762="숙박",0,IF($H762=MID(P$1,3,20),IF($I762="",1,0.6),IF($I762=MID(P$1,3,20),0.4,0)))</f>
        <v>0</v>
      </c>
      <c r="Q762" s="10" t="n">
        <f aca="false">IF($H762="숙박",0,IF($H762=MID(Q$1,3,20),IF($I762="",1,0.6),IF($I762=MID(Q$1,3,20),0.4,0)))</f>
        <v>0</v>
      </c>
      <c r="R762" s="10" t="n">
        <f aca="false">IF($H762="숙박",0,IF($H762=MID(R$1,3,20),IF($I762="",1,0.6),IF($I762=MID(R$1,3,20),0.4,0)))</f>
        <v>0</v>
      </c>
      <c r="S762" s="10" t="n">
        <f aca="false">IF($H762="숙박",0,IF($H762=MID(S$1,3,20),IF($I762="",1,0.6),IF($I762=MID(S$1,3,20),0.4,0)))</f>
        <v>0</v>
      </c>
      <c r="T762" s="10" t="n">
        <f aca="false">IF($H762="숙박",0,IF($H762=MID(T$1,3,20),IF($I762="",1,0.6),IF($I762=MID(T$1,3,20),0.4,0)))</f>
        <v>0</v>
      </c>
      <c r="U762" s="10" t="n">
        <f aca="false">IF($H762="숙박",0,IF(ISNUMBER(SEARCH("야경",$J762)),1,0))</f>
        <v>0</v>
      </c>
      <c r="V762" s="10" t="n">
        <f aca="false">IF($H762="숙박",0,1)</f>
        <v>0</v>
      </c>
    </row>
    <row r="763" customFormat="false" ht="15" hidden="false" customHeight="false" outlineLevel="0" collapsed="false">
      <c r="A763" s="8" t="n">
        <v>762</v>
      </c>
      <c r="B763" s="8" t="s">
        <v>45</v>
      </c>
      <c r="C763" s="8" t="s">
        <v>1844</v>
      </c>
      <c r="D763" s="8" t="s">
        <v>2394</v>
      </c>
      <c r="E763" s="7" t="s">
        <v>2395</v>
      </c>
      <c r="F763" s="8"/>
      <c r="G763" s="8" t="s">
        <v>50</v>
      </c>
      <c r="H763" s="9" t="s">
        <v>50</v>
      </c>
      <c r="I763" s="9" t="s">
        <v>49</v>
      </c>
      <c r="J763" s="9" t="s">
        <v>168</v>
      </c>
      <c r="K763" s="9" t="s">
        <v>52</v>
      </c>
      <c r="L763" s="8"/>
      <c r="M763" s="8"/>
      <c r="N763" s="8" t="s">
        <v>483</v>
      </c>
      <c r="O763" s="8" t="s">
        <v>2396</v>
      </c>
      <c r="P763" s="10" t="n">
        <f aca="false">IF($H763="숙박",0,IF($H763=MID(P$1,3,20),IF($I763="",1,0.6),IF($I763=MID(P$1,3,20),0.4,0)))</f>
        <v>0</v>
      </c>
      <c r="Q763" s="10" t="n">
        <f aca="false">IF($H763="숙박",0,IF($H763=MID(Q$1,3,20),IF($I763="",1,0.6),IF($I763=MID(Q$1,3,20),0.4,0)))</f>
        <v>0.4</v>
      </c>
      <c r="R763" s="10" t="n">
        <f aca="false">IF($H763="숙박",0,IF($H763=MID(R$1,3,20),IF($I763="",1,0.6),IF($I763=MID(R$1,3,20),0.4,0)))</f>
        <v>0</v>
      </c>
      <c r="S763" s="10" t="n">
        <f aca="false">IF($H763="숙박",0,IF($H763=MID(S$1,3,20),IF($I763="",1,0.6),IF($I763=MID(S$1,3,20),0.4,0)))</f>
        <v>0</v>
      </c>
      <c r="T763" s="10" t="n">
        <f aca="false">IF($H763="숙박",0,IF($H763=MID(T$1,3,20),IF($I763="",1,0.6),IF($I763=MID(T$1,3,20),0.4,0)))</f>
        <v>0.6</v>
      </c>
      <c r="U763" s="10" t="n">
        <f aca="false">IF($H763="숙박",0,IF(ISNUMBER(SEARCH("야경",$J763)),1,0))</f>
        <v>0</v>
      </c>
      <c r="V763" s="10" t="n">
        <f aca="false">IF($H763="숙박",0,1)</f>
        <v>1</v>
      </c>
    </row>
    <row r="764" customFormat="false" ht="15" hidden="false" customHeight="false" outlineLevel="0" collapsed="false">
      <c r="A764" s="8" t="n">
        <v>763</v>
      </c>
      <c r="B764" s="8" t="s">
        <v>45</v>
      </c>
      <c r="C764" s="8"/>
      <c r="D764" s="8" t="s">
        <v>2397</v>
      </c>
      <c r="E764" s="7" t="s">
        <v>2398</v>
      </c>
      <c r="F764" s="8"/>
      <c r="G764" s="8"/>
      <c r="H764" s="9" t="s">
        <v>594</v>
      </c>
      <c r="I764" s="9"/>
      <c r="J764" s="9"/>
      <c r="K764" s="9"/>
      <c r="L764" s="8"/>
      <c r="M764" s="8"/>
      <c r="N764" s="8" t="s">
        <v>595</v>
      </c>
      <c r="O764" s="8"/>
      <c r="P764" s="10" t="n">
        <f aca="false">IF($H764="숙박",0,IF($H764=MID(P$1,3,20),IF($I764="",1,0.6),IF($I764=MID(P$1,3,20),0.4,0)))</f>
        <v>0</v>
      </c>
      <c r="Q764" s="10" t="n">
        <f aca="false">IF($H764="숙박",0,IF($H764=MID(Q$1,3,20),IF($I764="",1,0.6),IF($I764=MID(Q$1,3,20),0.4,0)))</f>
        <v>0</v>
      </c>
      <c r="R764" s="10" t="n">
        <f aca="false">IF($H764="숙박",0,IF($H764=MID(R$1,3,20),IF($I764="",1,0.6),IF($I764=MID(R$1,3,20),0.4,0)))</f>
        <v>0</v>
      </c>
      <c r="S764" s="10" t="n">
        <f aca="false">IF($H764="숙박",0,IF($H764=MID(S$1,3,20),IF($I764="",1,0.6),IF($I764=MID(S$1,3,20),0.4,0)))</f>
        <v>0</v>
      </c>
      <c r="T764" s="10" t="n">
        <f aca="false">IF($H764="숙박",0,IF($H764=MID(T$1,3,20),IF($I764="",1,0.6),IF($I764=MID(T$1,3,20),0.4,0)))</f>
        <v>0</v>
      </c>
      <c r="U764" s="10" t="n">
        <f aca="false">IF($H764="숙박",0,IF(ISNUMBER(SEARCH("야경",$J764)),1,0))</f>
        <v>0</v>
      </c>
      <c r="V764" s="10" t="n">
        <f aca="false">IF($H764="숙박",0,1)</f>
        <v>0</v>
      </c>
    </row>
    <row r="765" customFormat="false" ht="15" hidden="false" customHeight="false" outlineLevel="0" collapsed="false">
      <c r="A765" s="8" t="n">
        <v>764</v>
      </c>
      <c r="B765" s="8" t="s">
        <v>45</v>
      </c>
      <c r="C765" s="8" t="s">
        <v>1455</v>
      </c>
      <c r="D765" s="8" t="s">
        <v>2399</v>
      </c>
      <c r="E765" s="7" t="s">
        <v>2400</v>
      </c>
      <c r="F765" s="8"/>
      <c r="G765" s="8" t="s">
        <v>184</v>
      </c>
      <c r="H765" s="9" t="s">
        <v>184</v>
      </c>
      <c r="I765" s="9" t="s">
        <v>190</v>
      </c>
      <c r="J765" s="9" t="s">
        <v>1361</v>
      </c>
      <c r="K765" s="9" t="s">
        <v>191</v>
      </c>
      <c r="L765" s="8"/>
      <c r="M765" s="8"/>
      <c r="N765" s="8" t="s">
        <v>483</v>
      </c>
      <c r="O765" s="8" t="s">
        <v>2401</v>
      </c>
      <c r="P765" s="10" t="n">
        <f aca="false">IF($H765="숙박",0,IF($H765=MID(P$1,3,20),IF($I765="",1,0.6),IF($I765=MID(P$1,3,20),0.4,0)))</f>
        <v>0.4</v>
      </c>
      <c r="Q765" s="10" t="n">
        <f aca="false">IF($H765="숙박",0,IF($H765=MID(Q$1,3,20),IF($I765="",1,0.6),IF($I765=MID(Q$1,3,20),0.4,0)))</f>
        <v>0</v>
      </c>
      <c r="R765" s="10" t="n">
        <f aca="false">IF($H765="숙박",0,IF($H765=MID(R$1,3,20),IF($I765="",1,0.6),IF($I765=MID(R$1,3,20),0.4,0)))</f>
        <v>0.6</v>
      </c>
      <c r="S765" s="10" t="n">
        <f aca="false">IF($H765="숙박",0,IF($H765=MID(S$1,3,20),IF($I765="",1,0.6),IF($I765=MID(S$1,3,20),0.4,0)))</f>
        <v>0</v>
      </c>
      <c r="T765" s="10" t="n">
        <f aca="false">IF($H765="숙박",0,IF($H765=MID(T$1,3,20),IF($I765="",1,0.6),IF($I765=MID(T$1,3,20),0.4,0)))</f>
        <v>0</v>
      </c>
      <c r="U765" s="10" t="n">
        <f aca="false">IF($H765="숙박",0,IF(ISNUMBER(SEARCH("야경",$J765)),1,0))</f>
        <v>0</v>
      </c>
      <c r="V765" s="10" t="n">
        <f aca="false">IF($H765="숙박",0,1)</f>
        <v>1</v>
      </c>
    </row>
    <row r="766" customFormat="false" ht="15" hidden="false" customHeight="false" outlineLevel="0" collapsed="false">
      <c r="A766" s="8" t="n">
        <v>765</v>
      </c>
      <c r="B766" s="8" t="s">
        <v>45</v>
      </c>
      <c r="C766" s="8"/>
      <c r="D766" s="8" t="s">
        <v>2402</v>
      </c>
      <c r="E766" s="7" t="s">
        <v>2403</v>
      </c>
      <c r="F766" s="8"/>
      <c r="G766" s="8"/>
      <c r="H766" s="9" t="s">
        <v>594</v>
      </c>
      <c r="I766" s="9"/>
      <c r="J766" s="9"/>
      <c r="K766" s="9"/>
      <c r="L766" s="8"/>
      <c r="M766" s="8"/>
      <c r="N766" s="8" t="s">
        <v>595</v>
      </c>
      <c r="O766" s="8"/>
      <c r="P766" s="10" t="n">
        <f aca="false">IF($H766="숙박",0,IF($H766=MID(P$1,3,20),IF($I766="",1,0.6),IF($I766=MID(P$1,3,20),0.4,0)))</f>
        <v>0</v>
      </c>
      <c r="Q766" s="10" t="n">
        <f aca="false">IF($H766="숙박",0,IF($H766=MID(Q$1,3,20),IF($I766="",1,0.6),IF($I766=MID(Q$1,3,20),0.4,0)))</f>
        <v>0</v>
      </c>
      <c r="R766" s="10" t="n">
        <f aca="false">IF($H766="숙박",0,IF($H766=MID(R$1,3,20),IF($I766="",1,0.6),IF($I766=MID(R$1,3,20),0.4,0)))</f>
        <v>0</v>
      </c>
      <c r="S766" s="10" t="n">
        <f aca="false">IF($H766="숙박",0,IF($H766=MID(S$1,3,20),IF($I766="",1,0.6),IF($I766=MID(S$1,3,20),0.4,0)))</f>
        <v>0</v>
      </c>
      <c r="T766" s="10" t="n">
        <f aca="false">IF($H766="숙박",0,IF($H766=MID(T$1,3,20),IF($I766="",1,0.6),IF($I766=MID(T$1,3,20),0.4,0)))</f>
        <v>0</v>
      </c>
      <c r="U766" s="10" t="n">
        <f aca="false">IF($H766="숙박",0,IF(ISNUMBER(SEARCH("야경",$J766)),1,0))</f>
        <v>0</v>
      </c>
      <c r="V766" s="10" t="n">
        <f aca="false">IF($H766="숙박",0,1)</f>
        <v>0</v>
      </c>
    </row>
    <row r="767" customFormat="false" ht="15" hidden="false" customHeight="false" outlineLevel="0" collapsed="false">
      <c r="A767" s="8" t="n">
        <v>766</v>
      </c>
      <c r="B767" s="8" t="s">
        <v>45</v>
      </c>
      <c r="C767" s="8" t="s">
        <v>331</v>
      </c>
      <c r="D767" s="8" t="s">
        <v>2404</v>
      </c>
      <c r="E767" s="7" t="s">
        <v>2405</v>
      </c>
      <c r="F767" s="8"/>
      <c r="G767" s="8" t="s">
        <v>50</v>
      </c>
      <c r="H767" s="9" t="s">
        <v>50</v>
      </c>
      <c r="I767" s="9"/>
      <c r="J767" s="9" t="s">
        <v>168</v>
      </c>
      <c r="K767" s="9" t="s">
        <v>52</v>
      </c>
      <c r="L767" s="8"/>
      <c r="M767" s="8"/>
      <c r="N767" s="8"/>
      <c r="O767" s="8" t="s">
        <v>2406</v>
      </c>
      <c r="P767" s="10" t="n">
        <f aca="false">IF($H767="숙박",0,IF($H767=MID(P$1,3,20),IF($I767="",1,0.6),IF($I767=MID(P$1,3,20),0.4,0)))</f>
        <v>0</v>
      </c>
      <c r="Q767" s="10" t="n">
        <f aca="false">IF($H767="숙박",0,IF($H767=MID(Q$1,3,20),IF($I767="",1,0.6),IF($I767=MID(Q$1,3,20),0.4,0)))</f>
        <v>0</v>
      </c>
      <c r="R767" s="10" t="n">
        <f aca="false">IF($H767="숙박",0,IF($H767=MID(R$1,3,20),IF($I767="",1,0.6),IF($I767=MID(R$1,3,20),0.4,0)))</f>
        <v>0</v>
      </c>
      <c r="S767" s="10" t="n">
        <f aca="false">IF($H767="숙박",0,IF($H767=MID(S$1,3,20),IF($I767="",1,0.6),IF($I767=MID(S$1,3,20),0.4,0)))</f>
        <v>0</v>
      </c>
      <c r="T767" s="10" t="n">
        <f aca="false">IF($H767="숙박",0,IF($H767=MID(T$1,3,20),IF($I767="",1,0.6),IF($I767=MID(T$1,3,20),0.4,0)))</f>
        <v>1</v>
      </c>
      <c r="U767" s="10" t="n">
        <f aca="false">IF($H767="숙박",0,IF(ISNUMBER(SEARCH("야경",$J767)),1,0))</f>
        <v>0</v>
      </c>
      <c r="V767" s="10" t="n">
        <f aca="false">IF($H767="숙박",0,1)</f>
        <v>1</v>
      </c>
    </row>
    <row r="768" customFormat="false" ht="15" hidden="false" customHeight="false" outlineLevel="0" collapsed="false">
      <c r="A768" s="8" t="n">
        <v>767</v>
      </c>
      <c r="B768" s="8" t="s">
        <v>45</v>
      </c>
      <c r="C768" s="8" t="s">
        <v>1685</v>
      </c>
      <c r="D768" s="8" t="s">
        <v>2407</v>
      </c>
      <c r="E768" s="7" t="s">
        <v>2408</v>
      </c>
      <c r="F768" s="8"/>
      <c r="G768" s="8" t="s">
        <v>190</v>
      </c>
      <c r="H768" s="9" t="s">
        <v>190</v>
      </c>
      <c r="I768" s="9" t="s">
        <v>49</v>
      </c>
      <c r="J768" s="9" t="s">
        <v>1361</v>
      </c>
      <c r="K768" s="9" t="s">
        <v>52</v>
      </c>
      <c r="L768" s="8"/>
      <c r="M768" s="8"/>
      <c r="N768" s="8" t="s">
        <v>483</v>
      </c>
      <c r="O768" s="7" t="s">
        <v>2409</v>
      </c>
      <c r="P768" s="10" t="n">
        <f aca="false">IF($H768="숙박",0,IF($H768=MID(P$1,3,20),IF($I768="",1,0.6),IF($I768=MID(P$1,3,20),0.4,0)))</f>
        <v>0.6</v>
      </c>
      <c r="Q768" s="10" t="n">
        <f aca="false">IF($H768="숙박",0,IF($H768=MID(Q$1,3,20),IF($I768="",1,0.6),IF($I768=MID(Q$1,3,20),0.4,0)))</f>
        <v>0.4</v>
      </c>
      <c r="R768" s="10" t="n">
        <f aca="false">IF($H768="숙박",0,IF($H768=MID(R$1,3,20),IF($I768="",1,0.6),IF($I768=MID(R$1,3,20),0.4,0)))</f>
        <v>0</v>
      </c>
      <c r="S768" s="10" t="n">
        <f aca="false">IF($H768="숙박",0,IF($H768=MID(S$1,3,20),IF($I768="",1,0.6),IF($I768=MID(S$1,3,20),0.4,0)))</f>
        <v>0</v>
      </c>
      <c r="T768" s="10" t="n">
        <f aca="false">IF($H768="숙박",0,IF($H768=MID(T$1,3,20),IF($I768="",1,0.6),IF($I768=MID(T$1,3,20),0.4,0)))</f>
        <v>0</v>
      </c>
      <c r="U768" s="10" t="n">
        <f aca="false">IF($H768="숙박",0,IF(ISNUMBER(SEARCH("야경",$J768)),1,0))</f>
        <v>0</v>
      </c>
      <c r="V768" s="10" t="n">
        <f aca="false">IF($H768="숙박",0,1)</f>
        <v>1</v>
      </c>
    </row>
    <row r="769" customFormat="false" ht="15" hidden="false" customHeight="false" outlineLevel="0" collapsed="false">
      <c r="A769" s="8" t="n">
        <v>768</v>
      </c>
      <c r="B769" s="8" t="s">
        <v>45</v>
      </c>
      <c r="C769" s="8" t="s">
        <v>438</v>
      </c>
      <c r="D769" s="8" t="s">
        <v>2410</v>
      </c>
      <c r="E769" s="7" t="s">
        <v>2411</v>
      </c>
      <c r="F769" s="8"/>
      <c r="G769" s="8" t="s">
        <v>50</v>
      </c>
      <c r="H769" s="9" t="s">
        <v>50</v>
      </c>
      <c r="I769" s="9"/>
      <c r="J769" s="9" t="s">
        <v>168</v>
      </c>
      <c r="K769" s="9" t="s">
        <v>52</v>
      </c>
      <c r="L769" s="8"/>
      <c r="M769" s="8"/>
      <c r="N769" s="8"/>
      <c r="O769" s="8" t="s">
        <v>2412</v>
      </c>
      <c r="P769" s="10" t="n">
        <f aca="false">IF($H769="숙박",0,IF($H769=MID(P$1,3,20),IF($I769="",1,0.6),IF($I769=MID(P$1,3,20),0.4,0)))</f>
        <v>0</v>
      </c>
      <c r="Q769" s="10" t="n">
        <f aca="false">IF($H769="숙박",0,IF($H769=MID(Q$1,3,20),IF($I769="",1,0.6),IF($I769=MID(Q$1,3,20),0.4,0)))</f>
        <v>0</v>
      </c>
      <c r="R769" s="10" t="n">
        <f aca="false">IF($H769="숙박",0,IF($H769=MID(R$1,3,20),IF($I769="",1,0.6),IF($I769=MID(R$1,3,20),0.4,0)))</f>
        <v>0</v>
      </c>
      <c r="S769" s="10" t="n">
        <f aca="false">IF($H769="숙박",0,IF($H769=MID(S$1,3,20),IF($I769="",1,0.6),IF($I769=MID(S$1,3,20),0.4,0)))</f>
        <v>0</v>
      </c>
      <c r="T769" s="10" t="n">
        <f aca="false">IF($H769="숙박",0,IF($H769=MID(T$1,3,20),IF($I769="",1,0.6),IF($I769=MID(T$1,3,20),0.4,0)))</f>
        <v>1</v>
      </c>
      <c r="U769" s="10" t="n">
        <f aca="false">IF($H769="숙박",0,IF(ISNUMBER(SEARCH("야경",$J769)),1,0))</f>
        <v>0</v>
      </c>
      <c r="V769" s="10" t="n">
        <f aca="false">IF($H769="숙박",0,1)</f>
        <v>1</v>
      </c>
    </row>
    <row r="770" customFormat="false" ht="15" hidden="false" customHeight="false" outlineLevel="0" collapsed="false">
      <c r="A770" s="8" t="n">
        <v>769</v>
      </c>
      <c r="B770" s="8" t="s">
        <v>45</v>
      </c>
      <c r="C770" s="8"/>
      <c r="D770" s="8" t="s">
        <v>2413</v>
      </c>
      <c r="E770" s="7" t="s">
        <v>2414</v>
      </c>
      <c r="F770" s="8"/>
      <c r="G770" s="8"/>
      <c r="H770" s="9" t="s">
        <v>594</v>
      </c>
      <c r="I770" s="9"/>
      <c r="J770" s="9"/>
      <c r="K770" s="9"/>
      <c r="L770" s="8"/>
      <c r="M770" s="8"/>
      <c r="N770" s="8" t="s">
        <v>595</v>
      </c>
      <c r="O770" s="8"/>
      <c r="P770" s="10" t="n">
        <f aca="false">IF($H770="숙박",0,IF($H770=MID(P$1,3,20),IF($I770="",1,0.6),IF($I770=MID(P$1,3,20),0.4,0)))</f>
        <v>0</v>
      </c>
      <c r="Q770" s="10" t="n">
        <f aca="false">IF($H770="숙박",0,IF($H770=MID(Q$1,3,20),IF($I770="",1,0.6),IF($I770=MID(Q$1,3,20),0.4,0)))</f>
        <v>0</v>
      </c>
      <c r="R770" s="10" t="n">
        <f aca="false">IF($H770="숙박",0,IF($H770=MID(R$1,3,20),IF($I770="",1,0.6),IF($I770=MID(R$1,3,20),0.4,0)))</f>
        <v>0</v>
      </c>
      <c r="S770" s="10" t="n">
        <f aca="false">IF($H770="숙박",0,IF($H770=MID(S$1,3,20),IF($I770="",1,0.6),IF($I770=MID(S$1,3,20),0.4,0)))</f>
        <v>0</v>
      </c>
      <c r="T770" s="10" t="n">
        <f aca="false">IF($H770="숙박",0,IF($H770=MID(T$1,3,20),IF($I770="",1,0.6),IF($I770=MID(T$1,3,20),0.4,0)))</f>
        <v>0</v>
      </c>
      <c r="U770" s="10" t="n">
        <f aca="false">IF($H770="숙박",0,IF(ISNUMBER(SEARCH("야경",$J770)),1,0))</f>
        <v>0</v>
      </c>
      <c r="V770" s="10" t="n">
        <f aca="false">IF($H770="숙박",0,1)</f>
        <v>0</v>
      </c>
    </row>
    <row r="771" customFormat="false" ht="15" hidden="false" customHeight="false" outlineLevel="0" collapsed="false">
      <c r="A771" s="8" t="n">
        <v>770</v>
      </c>
      <c r="B771" s="8" t="s">
        <v>45</v>
      </c>
      <c r="C771" s="8" t="s">
        <v>467</v>
      </c>
      <c r="D771" s="8" t="s">
        <v>2415</v>
      </c>
      <c r="E771" s="7" t="s">
        <v>2416</v>
      </c>
      <c r="F771" s="8"/>
      <c r="G771" s="8" t="s">
        <v>49</v>
      </c>
      <c r="H771" s="9" t="s">
        <v>49</v>
      </c>
      <c r="I771" s="9"/>
      <c r="J771" s="9"/>
      <c r="K771" s="9" t="s">
        <v>52</v>
      </c>
      <c r="L771" s="8"/>
      <c r="M771" s="8"/>
      <c r="N771" s="8"/>
      <c r="O771" s="8" t="s">
        <v>2417</v>
      </c>
      <c r="P771" s="10" t="n">
        <f aca="false">IF($H771="숙박",0,IF($H771=MID(P$1,3,20),IF($I771="",1,0.6),IF($I771=MID(P$1,3,20),0.4,0)))</f>
        <v>0</v>
      </c>
      <c r="Q771" s="10" t="n">
        <f aca="false">IF($H771="숙박",0,IF($H771=MID(Q$1,3,20),IF($I771="",1,0.6),IF($I771=MID(Q$1,3,20),0.4,0)))</f>
        <v>1</v>
      </c>
      <c r="R771" s="10" t="n">
        <f aca="false">IF($H771="숙박",0,IF($H771=MID(R$1,3,20),IF($I771="",1,0.6),IF($I771=MID(R$1,3,20),0.4,0)))</f>
        <v>0</v>
      </c>
      <c r="S771" s="10" t="n">
        <f aca="false">IF($H771="숙박",0,IF($H771=MID(S$1,3,20),IF($I771="",1,0.6),IF($I771=MID(S$1,3,20),0.4,0)))</f>
        <v>0</v>
      </c>
      <c r="T771" s="10" t="n">
        <f aca="false">IF($H771="숙박",0,IF($H771=MID(T$1,3,20),IF($I771="",1,0.6),IF($I771=MID(T$1,3,20),0.4,0)))</f>
        <v>0</v>
      </c>
      <c r="U771" s="10" t="n">
        <f aca="false">IF($H771="숙박",0,IF(ISNUMBER(SEARCH("야경",$J771)),1,0))</f>
        <v>0</v>
      </c>
      <c r="V771" s="10" t="n">
        <f aca="false">IF($H771="숙박",0,1)</f>
        <v>1</v>
      </c>
    </row>
    <row r="772" customFormat="false" ht="15" hidden="false" customHeight="false" outlineLevel="0" collapsed="false">
      <c r="A772" s="8" t="n">
        <v>771</v>
      </c>
      <c r="B772" s="8" t="s">
        <v>45</v>
      </c>
      <c r="C772" s="8" t="s">
        <v>1636</v>
      </c>
      <c r="D772" s="8" t="s">
        <v>2418</v>
      </c>
      <c r="E772" s="7" t="s">
        <v>2419</v>
      </c>
      <c r="F772" s="8"/>
      <c r="G772" s="8" t="s">
        <v>216</v>
      </c>
      <c r="H772" s="9" t="s">
        <v>216</v>
      </c>
      <c r="I772" s="9" t="s">
        <v>190</v>
      </c>
      <c r="J772" s="9" t="s">
        <v>43</v>
      </c>
      <c r="K772" s="9" t="s">
        <v>191</v>
      </c>
      <c r="L772" s="8"/>
      <c r="M772" s="8"/>
      <c r="N772" s="8" t="s">
        <v>483</v>
      </c>
      <c r="O772" s="8" t="s">
        <v>2420</v>
      </c>
      <c r="P772" s="10" t="n">
        <f aca="false">IF($H772="숙박",0,IF($H772=MID(P$1,3,20),IF($I772="",1,0.6),IF($I772=MID(P$1,3,20),0.4,0)))</f>
        <v>0.4</v>
      </c>
      <c r="Q772" s="10" t="n">
        <f aca="false">IF($H772="숙박",0,IF($H772=MID(Q$1,3,20),IF($I772="",1,0.6),IF($I772=MID(Q$1,3,20),0.4,0)))</f>
        <v>0</v>
      </c>
      <c r="R772" s="10" t="n">
        <f aca="false">IF($H772="숙박",0,IF($H772=MID(R$1,3,20),IF($I772="",1,0.6),IF($I772=MID(R$1,3,20),0.4,0)))</f>
        <v>0</v>
      </c>
      <c r="S772" s="10" t="n">
        <f aca="false">IF($H772="숙박",0,IF($H772=MID(S$1,3,20),IF($I772="",1,0.6),IF($I772=MID(S$1,3,20),0.4,0)))</f>
        <v>0.6</v>
      </c>
      <c r="T772" s="10" t="n">
        <f aca="false">IF($H772="숙박",0,IF($H772=MID(T$1,3,20),IF($I772="",1,0.6),IF($I772=MID(T$1,3,20),0.4,0)))</f>
        <v>0</v>
      </c>
      <c r="U772" s="10" t="n">
        <f aca="false">IF($H772="숙박",0,IF(ISNUMBER(SEARCH("야경",$J772)),1,0))</f>
        <v>1</v>
      </c>
      <c r="V772" s="10" t="n">
        <f aca="false">IF($H772="숙박",0,1)</f>
        <v>1</v>
      </c>
    </row>
    <row r="773" customFormat="false" ht="15" hidden="false" customHeight="false" outlineLevel="0" collapsed="false">
      <c r="A773" s="8" t="n">
        <v>772</v>
      </c>
      <c r="B773" s="8" t="s">
        <v>45</v>
      </c>
      <c r="C773" s="8" t="s">
        <v>1636</v>
      </c>
      <c r="D773" s="8" t="s">
        <v>2421</v>
      </c>
      <c r="E773" s="7" t="s">
        <v>2422</v>
      </c>
      <c r="F773" s="8"/>
      <c r="G773" s="8" t="s">
        <v>216</v>
      </c>
      <c r="H773" s="9" t="s">
        <v>216</v>
      </c>
      <c r="I773" s="9"/>
      <c r="J773" s="9" t="s">
        <v>43</v>
      </c>
      <c r="K773" s="9" t="s">
        <v>191</v>
      </c>
      <c r="L773" s="8"/>
      <c r="M773" s="8"/>
      <c r="N773" s="8"/>
      <c r="O773" s="7" t="s">
        <v>2423</v>
      </c>
      <c r="P773" s="10" t="n">
        <f aca="false">IF($H773="숙박",0,IF($H773=MID(P$1,3,20),IF($I773="",1,0.6),IF($I773=MID(P$1,3,20),0.4,0)))</f>
        <v>0</v>
      </c>
      <c r="Q773" s="10" t="n">
        <f aca="false">IF($H773="숙박",0,IF($H773=MID(Q$1,3,20),IF($I773="",1,0.6),IF($I773=MID(Q$1,3,20),0.4,0)))</f>
        <v>0</v>
      </c>
      <c r="R773" s="10" t="n">
        <f aca="false">IF($H773="숙박",0,IF($H773=MID(R$1,3,20),IF($I773="",1,0.6),IF($I773=MID(R$1,3,20),0.4,0)))</f>
        <v>0</v>
      </c>
      <c r="S773" s="10" t="n">
        <f aca="false">IF($H773="숙박",0,IF($H773=MID(S$1,3,20),IF($I773="",1,0.6),IF($I773=MID(S$1,3,20),0.4,0)))</f>
        <v>1</v>
      </c>
      <c r="T773" s="10" t="n">
        <f aca="false">IF($H773="숙박",0,IF($H773=MID(T$1,3,20),IF($I773="",1,0.6),IF($I773=MID(T$1,3,20),0.4,0)))</f>
        <v>0</v>
      </c>
      <c r="U773" s="10" t="n">
        <f aca="false">IF($H773="숙박",0,IF(ISNUMBER(SEARCH("야경",$J773)),1,0))</f>
        <v>1</v>
      </c>
      <c r="V773" s="10" t="n">
        <f aca="false">IF($H773="숙박",0,1)</f>
        <v>1</v>
      </c>
    </row>
    <row r="774" customFormat="false" ht="15" hidden="false" customHeight="false" outlineLevel="0" collapsed="false">
      <c r="A774" s="8" t="n">
        <v>773</v>
      </c>
      <c r="B774" s="8" t="s">
        <v>45</v>
      </c>
      <c r="C774" s="8" t="s">
        <v>1347</v>
      </c>
      <c r="D774" s="8" t="s">
        <v>2424</v>
      </c>
      <c r="E774" s="7" t="s">
        <v>2425</v>
      </c>
      <c r="F774" s="8"/>
      <c r="G774" s="8" t="s">
        <v>190</v>
      </c>
      <c r="H774" s="9" t="s">
        <v>190</v>
      </c>
      <c r="I774" s="9"/>
      <c r="J774" s="9"/>
      <c r="K774" s="9" t="s">
        <v>191</v>
      </c>
      <c r="L774" s="8"/>
      <c r="M774" s="8"/>
      <c r="N774" s="8"/>
      <c r="O774" s="8" t="s">
        <v>2426</v>
      </c>
      <c r="P774" s="10" t="n">
        <f aca="false">IF($H774="숙박",0,IF($H774=MID(P$1,3,20),IF($I774="",1,0.6),IF($I774=MID(P$1,3,20),0.4,0)))</f>
        <v>1</v>
      </c>
      <c r="Q774" s="10" t="n">
        <f aca="false">IF($H774="숙박",0,IF($H774=MID(Q$1,3,20),IF($I774="",1,0.6),IF($I774=MID(Q$1,3,20),0.4,0)))</f>
        <v>0</v>
      </c>
      <c r="R774" s="10" t="n">
        <f aca="false">IF($H774="숙박",0,IF($H774=MID(R$1,3,20),IF($I774="",1,0.6),IF($I774=MID(R$1,3,20),0.4,0)))</f>
        <v>0</v>
      </c>
      <c r="S774" s="10" t="n">
        <f aca="false">IF($H774="숙박",0,IF($H774=MID(S$1,3,20),IF($I774="",1,0.6),IF($I774=MID(S$1,3,20),0.4,0)))</f>
        <v>0</v>
      </c>
      <c r="T774" s="10" t="n">
        <f aca="false">IF($H774="숙박",0,IF($H774=MID(T$1,3,20),IF($I774="",1,0.6),IF($I774=MID(T$1,3,20),0.4,0)))</f>
        <v>0</v>
      </c>
      <c r="U774" s="10" t="n">
        <f aca="false">IF($H774="숙박",0,IF(ISNUMBER(SEARCH("야경",$J774)),1,0))</f>
        <v>0</v>
      </c>
      <c r="V774" s="10" t="n">
        <f aca="false">IF($H774="숙박",0,1)</f>
        <v>1</v>
      </c>
    </row>
    <row r="775" customFormat="false" ht="15" hidden="false" customHeight="false" outlineLevel="0" collapsed="false">
      <c r="A775" s="8" t="n">
        <v>774</v>
      </c>
      <c r="B775" s="8" t="s">
        <v>45</v>
      </c>
      <c r="C775" s="8" t="s">
        <v>349</v>
      </c>
      <c r="D775" s="8" t="s">
        <v>2427</v>
      </c>
      <c r="E775" s="7" t="s">
        <v>2428</v>
      </c>
      <c r="F775" s="8"/>
      <c r="G775" s="8" t="s">
        <v>184</v>
      </c>
      <c r="H775" s="9" t="s">
        <v>184</v>
      </c>
      <c r="I775" s="9" t="s">
        <v>216</v>
      </c>
      <c r="J775" s="9"/>
      <c r="K775" s="9" t="s">
        <v>52</v>
      </c>
      <c r="L775" s="8"/>
      <c r="M775" s="8"/>
      <c r="N775" s="8" t="s">
        <v>483</v>
      </c>
      <c r="O775" s="8" t="s">
        <v>2429</v>
      </c>
      <c r="P775" s="10" t="n">
        <f aca="false">IF($H775="숙박",0,IF($H775=MID(P$1,3,20),IF($I775="",1,0.6),IF($I775=MID(P$1,3,20),0.4,0)))</f>
        <v>0</v>
      </c>
      <c r="Q775" s="10" t="n">
        <f aca="false">IF($H775="숙박",0,IF($H775=MID(Q$1,3,20),IF($I775="",1,0.6),IF($I775=MID(Q$1,3,20),0.4,0)))</f>
        <v>0</v>
      </c>
      <c r="R775" s="10" t="n">
        <f aca="false">IF($H775="숙박",0,IF($H775=MID(R$1,3,20),IF($I775="",1,0.6),IF($I775=MID(R$1,3,20),0.4,0)))</f>
        <v>0.6</v>
      </c>
      <c r="S775" s="10" t="n">
        <f aca="false">IF($H775="숙박",0,IF($H775=MID(S$1,3,20),IF($I775="",1,0.6),IF($I775=MID(S$1,3,20),0.4,0)))</f>
        <v>0.4</v>
      </c>
      <c r="T775" s="10" t="n">
        <f aca="false">IF($H775="숙박",0,IF($H775=MID(T$1,3,20),IF($I775="",1,0.6),IF($I775=MID(T$1,3,20),0.4,0)))</f>
        <v>0</v>
      </c>
      <c r="U775" s="10" t="n">
        <f aca="false">IF($H775="숙박",0,IF(ISNUMBER(SEARCH("야경",$J775)),1,0))</f>
        <v>0</v>
      </c>
      <c r="V775" s="10" t="n">
        <f aca="false">IF($H775="숙박",0,1)</f>
        <v>1</v>
      </c>
    </row>
    <row r="776" customFormat="false" ht="15" hidden="false" customHeight="false" outlineLevel="0" collapsed="false">
      <c r="A776" s="8" t="n">
        <v>775</v>
      </c>
      <c r="B776" s="8" t="s">
        <v>45</v>
      </c>
      <c r="C776" s="8" t="s">
        <v>1508</v>
      </c>
      <c r="D776" s="8" t="s">
        <v>2430</v>
      </c>
      <c r="E776" s="7" t="s">
        <v>2431</v>
      </c>
      <c r="F776" s="8"/>
      <c r="G776" s="8" t="s">
        <v>190</v>
      </c>
      <c r="H776" s="9" t="s">
        <v>190</v>
      </c>
      <c r="I776" s="9"/>
      <c r="J776" s="9"/>
      <c r="K776" s="9" t="s">
        <v>191</v>
      </c>
      <c r="L776" s="8"/>
      <c r="M776" s="8"/>
      <c r="N776" s="8"/>
      <c r="O776" s="8" t="s">
        <v>2432</v>
      </c>
      <c r="P776" s="10" t="n">
        <f aca="false">IF($H776="숙박",0,IF($H776=MID(P$1,3,20),IF($I776="",1,0.6),IF($I776=MID(P$1,3,20),0.4,0)))</f>
        <v>1</v>
      </c>
      <c r="Q776" s="10" t="n">
        <f aca="false">IF($H776="숙박",0,IF($H776=MID(Q$1,3,20),IF($I776="",1,0.6),IF($I776=MID(Q$1,3,20),0.4,0)))</f>
        <v>0</v>
      </c>
      <c r="R776" s="10" t="n">
        <f aca="false">IF($H776="숙박",0,IF($H776=MID(R$1,3,20),IF($I776="",1,0.6),IF($I776=MID(R$1,3,20),0.4,0)))</f>
        <v>0</v>
      </c>
      <c r="S776" s="10" t="n">
        <f aca="false">IF($H776="숙박",0,IF($H776=MID(S$1,3,20),IF($I776="",1,0.6),IF($I776=MID(S$1,3,20),0.4,0)))</f>
        <v>0</v>
      </c>
      <c r="T776" s="10" t="n">
        <f aca="false">IF($H776="숙박",0,IF($H776=MID(T$1,3,20),IF($I776="",1,0.6),IF($I776=MID(T$1,3,20),0.4,0)))</f>
        <v>0</v>
      </c>
      <c r="U776" s="10" t="n">
        <f aca="false">IF($H776="숙박",0,IF(ISNUMBER(SEARCH("야경",$J776)),1,0))</f>
        <v>0</v>
      </c>
      <c r="V776" s="10" t="n">
        <f aca="false">IF($H776="숙박",0,1)</f>
        <v>1</v>
      </c>
    </row>
    <row r="777" customFormat="false" ht="15" hidden="false" customHeight="false" outlineLevel="0" collapsed="false">
      <c r="A777" s="8" t="n">
        <v>776</v>
      </c>
      <c r="B777" s="8" t="s">
        <v>45</v>
      </c>
      <c r="C777" s="8" t="s">
        <v>380</v>
      </c>
      <c r="D777" s="8" t="s">
        <v>2433</v>
      </c>
      <c r="E777" s="7" t="s">
        <v>2434</v>
      </c>
      <c r="F777" s="8"/>
      <c r="G777" s="8" t="s">
        <v>184</v>
      </c>
      <c r="H777" s="9" t="s">
        <v>184</v>
      </c>
      <c r="I777" s="9" t="s">
        <v>49</v>
      </c>
      <c r="J777" s="9"/>
      <c r="K777" s="9" t="s">
        <v>52</v>
      </c>
      <c r="L777" s="8"/>
      <c r="M777" s="8"/>
      <c r="N777" s="8" t="s">
        <v>483</v>
      </c>
      <c r="O777" s="8" t="s">
        <v>2435</v>
      </c>
      <c r="P777" s="10" t="n">
        <f aca="false">IF($H777="숙박",0,IF($H777=MID(P$1,3,20),IF($I777="",1,0.6),IF($I777=MID(P$1,3,20),0.4,0)))</f>
        <v>0</v>
      </c>
      <c r="Q777" s="10" t="n">
        <f aca="false">IF($H777="숙박",0,IF($H777=MID(Q$1,3,20),IF($I777="",1,0.6),IF($I777=MID(Q$1,3,20),0.4,0)))</f>
        <v>0.4</v>
      </c>
      <c r="R777" s="10" t="n">
        <f aca="false">IF($H777="숙박",0,IF($H777=MID(R$1,3,20),IF($I777="",1,0.6),IF($I777=MID(R$1,3,20),0.4,0)))</f>
        <v>0.6</v>
      </c>
      <c r="S777" s="10" t="n">
        <f aca="false">IF($H777="숙박",0,IF($H777=MID(S$1,3,20),IF($I777="",1,0.6),IF($I777=MID(S$1,3,20),0.4,0)))</f>
        <v>0</v>
      </c>
      <c r="T777" s="10" t="n">
        <f aca="false">IF($H777="숙박",0,IF($H777=MID(T$1,3,20),IF($I777="",1,0.6),IF($I777=MID(T$1,3,20),0.4,0)))</f>
        <v>0</v>
      </c>
      <c r="U777" s="10" t="n">
        <f aca="false">IF($H777="숙박",0,IF(ISNUMBER(SEARCH("야경",$J777)),1,0))</f>
        <v>0</v>
      </c>
      <c r="V777" s="10" t="n">
        <f aca="false">IF($H777="숙박",0,1)</f>
        <v>1</v>
      </c>
    </row>
    <row r="778" customFormat="false" ht="15" hidden="false" customHeight="false" outlineLevel="0" collapsed="false">
      <c r="A778" s="8" t="n">
        <v>777</v>
      </c>
      <c r="B778" s="8" t="s">
        <v>45</v>
      </c>
      <c r="C778" s="8" t="s">
        <v>380</v>
      </c>
      <c r="D778" s="8" t="s">
        <v>2436</v>
      </c>
      <c r="E778" s="7" t="s">
        <v>2437</v>
      </c>
      <c r="F778" s="8"/>
      <c r="G778" s="8" t="s">
        <v>184</v>
      </c>
      <c r="H778" s="9" t="s">
        <v>184</v>
      </c>
      <c r="I778" s="9" t="s">
        <v>49</v>
      </c>
      <c r="J778" s="9"/>
      <c r="K778" s="9" t="s">
        <v>52</v>
      </c>
      <c r="L778" s="8"/>
      <c r="M778" s="8"/>
      <c r="N778" s="8" t="s">
        <v>483</v>
      </c>
      <c r="O778" s="8" t="s">
        <v>2438</v>
      </c>
      <c r="P778" s="10" t="n">
        <f aca="false">IF($H778="숙박",0,IF($H778=MID(P$1,3,20),IF($I778="",1,0.6),IF($I778=MID(P$1,3,20),0.4,0)))</f>
        <v>0</v>
      </c>
      <c r="Q778" s="10" t="n">
        <f aca="false">IF($H778="숙박",0,IF($H778=MID(Q$1,3,20),IF($I778="",1,0.6),IF($I778=MID(Q$1,3,20),0.4,0)))</f>
        <v>0.4</v>
      </c>
      <c r="R778" s="10" t="n">
        <f aca="false">IF($H778="숙박",0,IF($H778=MID(R$1,3,20),IF($I778="",1,0.6),IF($I778=MID(R$1,3,20),0.4,0)))</f>
        <v>0.6</v>
      </c>
      <c r="S778" s="10" t="n">
        <f aca="false">IF($H778="숙박",0,IF($H778=MID(S$1,3,20),IF($I778="",1,0.6),IF($I778=MID(S$1,3,20),0.4,0)))</f>
        <v>0</v>
      </c>
      <c r="T778" s="10" t="n">
        <f aca="false">IF($H778="숙박",0,IF($H778=MID(T$1,3,20),IF($I778="",1,0.6),IF($I778=MID(T$1,3,20),0.4,0)))</f>
        <v>0</v>
      </c>
      <c r="U778" s="10" t="n">
        <f aca="false">IF($H778="숙박",0,IF(ISNUMBER(SEARCH("야경",$J778)),1,0))</f>
        <v>0</v>
      </c>
      <c r="V778" s="10" t="n">
        <f aca="false">IF($H778="숙박",0,1)</f>
        <v>1</v>
      </c>
    </row>
    <row r="779" customFormat="false" ht="15" hidden="false" customHeight="false" outlineLevel="0" collapsed="false">
      <c r="A779" s="8" t="n">
        <v>778</v>
      </c>
      <c r="B779" s="8" t="s">
        <v>45</v>
      </c>
      <c r="C779" s="8"/>
      <c r="D779" s="8" t="s">
        <v>2439</v>
      </c>
      <c r="E779" s="7" t="s">
        <v>2440</v>
      </c>
      <c r="F779" s="8"/>
      <c r="G779" s="8" t="s">
        <v>49</v>
      </c>
      <c r="H779" s="9" t="s">
        <v>49</v>
      </c>
      <c r="I779" s="9" t="s">
        <v>184</v>
      </c>
      <c r="J779" s="9"/>
      <c r="K779" s="9" t="s">
        <v>52</v>
      </c>
      <c r="L779" s="8"/>
      <c r="M779" s="8"/>
      <c r="N779" s="8" t="s">
        <v>483</v>
      </c>
      <c r="O779" s="8" t="s">
        <v>2441</v>
      </c>
      <c r="P779" s="10" t="n">
        <f aca="false">IF($H779="숙박",0,IF($H779=MID(P$1,3,20),IF($I779="",1,0.6),IF($I779=MID(P$1,3,20),0.4,0)))</f>
        <v>0</v>
      </c>
      <c r="Q779" s="10" t="n">
        <f aca="false">IF($H779="숙박",0,IF($H779=MID(Q$1,3,20),IF($I779="",1,0.6),IF($I779=MID(Q$1,3,20),0.4,0)))</f>
        <v>0.6</v>
      </c>
      <c r="R779" s="10" t="n">
        <f aca="false">IF($H779="숙박",0,IF($H779=MID(R$1,3,20),IF($I779="",1,0.6),IF($I779=MID(R$1,3,20),0.4,0)))</f>
        <v>0.4</v>
      </c>
      <c r="S779" s="10" t="n">
        <f aca="false">IF($H779="숙박",0,IF($H779=MID(S$1,3,20),IF($I779="",1,0.6),IF($I779=MID(S$1,3,20),0.4,0)))</f>
        <v>0</v>
      </c>
      <c r="T779" s="10" t="n">
        <f aca="false">IF($H779="숙박",0,IF($H779=MID(T$1,3,20),IF($I779="",1,0.6),IF($I779=MID(T$1,3,20),0.4,0)))</f>
        <v>0</v>
      </c>
      <c r="U779" s="10" t="n">
        <f aca="false">IF($H779="숙박",0,IF(ISNUMBER(SEARCH("야경",$J779)),1,0))</f>
        <v>0</v>
      </c>
      <c r="V779" s="10" t="n">
        <f aca="false">IF($H779="숙박",0,1)</f>
        <v>1</v>
      </c>
    </row>
    <row r="780" customFormat="false" ht="15" hidden="false" customHeight="false" outlineLevel="0" collapsed="false">
      <c r="A780" s="8" t="n">
        <v>779</v>
      </c>
      <c r="B780" s="8" t="s">
        <v>45</v>
      </c>
      <c r="C780" s="8" t="s">
        <v>428</v>
      </c>
      <c r="D780" s="8" t="s">
        <v>2442</v>
      </c>
      <c r="E780" s="7" t="s">
        <v>2443</v>
      </c>
      <c r="F780" s="8"/>
      <c r="G780" s="8" t="s">
        <v>50</v>
      </c>
      <c r="H780" s="9" t="s">
        <v>50</v>
      </c>
      <c r="I780" s="9"/>
      <c r="J780" s="9" t="s">
        <v>168</v>
      </c>
      <c r="K780" s="9" t="s">
        <v>52</v>
      </c>
      <c r="L780" s="8"/>
      <c r="M780" s="8"/>
      <c r="N780" s="8"/>
      <c r="O780" s="8" t="s">
        <v>2444</v>
      </c>
      <c r="P780" s="10" t="n">
        <f aca="false">IF($H780="숙박",0,IF($H780=MID(P$1,3,20),IF($I780="",1,0.6),IF($I780=MID(P$1,3,20),0.4,0)))</f>
        <v>0</v>
      </c>
      <c r="Q780" s="10" t="n">
        <f aca="false">IF($H780="숙박",0,IF($H780=MID(Q$1,3,20),IF($I780="",1,0.6),IF($I780=MID(Q$1,3,20),0.4,0)))</f>
        <v>0</v>
      </c>
      <c r="R780" s="10" t="n">
        <f aca="false">IF($H780="숙박",0,IF($H780=MID(R$1,3,20),IF($I780="",1,0.6),IF($I780=MID(R$1,3,20),0.4,0)))</f>
        <v>0</v>
      </c>
      <c r="S780" s="10" t="n">
        <f aca="false">IF($H780="숙박",0,IF($H780=MID(S$1,3,20),IF($I780="",1,0.6),IF($I780=MID(S$1,3,20),0.4,0)))</f>
        <v>0</v>
      </c>
      <c r="T780" s="10" t="n">
        <f aca="false">IF($H780="숙박",0,IF($H780=MID(T$1,3,20),IF($I780="",1,0.6),IF($I780=MID(T$1,3,20),0.4,0)))</f>
        <v>1</v>
      </c>
      <c r="U780" s="10" t="n">
        <f aca="false">IF($H780="숙박",0,IF(ISNUMBER(SEARCH("야경",$J780)),1,0))</f>
        <v>0</v>
      </c>
      <c r="V780" s="10" t="n">
        <f aca="false">IF($H780="숙박",0,1)</f>
        <v>1</v>
      </c>
    </row>
    <row r="781" customFormat="false" ht="15" hidden="false" customHeight="false" outlineLevel="0" collapsed="false">
      <c r="A781" s="8" t="n">
        <v>780</v>
      </c>
      <c r="B781" s="8" t="s">
        <v>45</v>
      </c>
      <c r="C781" s="8" t="s">
        <v>178</v>
      </c>
      <c r="D781" s="8" t="s">
        <v>2445</v>
      </c>
      <c r="E781" s="7" t="s">
        <v>2446</v>
      </c>
      <c r="F781" s="8"/>
      <c r="G781" s="8" t="s">
        <v>184</v>
      </c>
      <c r="H781" s="9" t="s">
        <v>184</v>
      </c>
      <c r="I781" s="9" t="s">
        <v>190</v>
      </c>
      <c r="J781" s="9"/>
      <c r="K781" s="9" t="s">
        <v>52</v>
      </c>
      <c r="L781" s="8"/>
      <c r="M781" s="8"/>
      <c r="N781" s="8" t="s">
        <v>483</v>
      </c>
      <c r="O781" s="7" t="s">
        <v>2447</v>
      </c>
      <c r="P781" s="10" t="n">
        <f aca="false">IF($H781="숙박",0,IF($H781=MID(P$1,3,20),IF($I781="",1,0.6),IF($I781=MID(P$1,3,20),0.4,0)))</f>
        <v>0.4</v>
      </c>
      <c r="Q781" s="10" t="n">
        <f aca="false">IF($H781="숙박",0,IF($H781=MID(Q$1,3,20),IF($I781="",1,0.6),IF($I781=MID(Q$1,3,20),0.4,0)))</f>
        <v>0</v>
      </c>
      <c r="R781" s="10" t="n">
        <f aca="false">IF($H781="숙박",0,IF($H781=MID(R$1,3,20),IF($I781="",1,0.6),IF($I781=MID(R$1,3,20),0.4,0)))</f>
        <v>0.6</v>
      </c>
      <c r="S781" s="10" t="n">
        <f aca="false">IF($H781="숙박",0,IF($H781=MID(S$1,3,20),IF($I781="",1,0.6),IF($I781=MID(S$1,3,20),0.4,0)))</f>
        <v>0</v>
      </c>
      <c r="T781" s="10" t="n">
        <f aca="false">IF($H781="숙박",0,IF($H781=MID(T$1,3,20),IF($I781="",1,0.6),IF($I781=MID(T$1,3,20),0.4,0)))</f>
        <v>0</v>
      </c>
      <c r="U781" s="10" t="n">
        <f aca="false">IF($H781="숙박",0,IF(ISNUMBER(SEARCH("야경",$J781)),1,0))</f>
        <v>0</v>
      </c>
      <c r="V781" s="10" t="n">
        <f aca="false">IF($H781="숙박",0,1)</f>
        <v>1</v>
      </c>
    </row>
    <row r="782" customFormat="false" ht="15" hidden="false" customHeight="false" outlineLevel="0" collapsed="false">
      <c r="A782" s="8" t="n">
        <v>781</v>
      </c>
      <c r="B782" s="8" t="s">
        <v>45</v>
      </c>
      <c r="C782" s="8" t="s">
        <v>1736</v>
      </c>
      <c r="D782" s="8" t="s">
        <v>2448</v>
      </c>
      <c r="E782" s="7" t="s">
        <v>2449</v>
      </c>
      <c r="F782" s="8"/>
      <c r="G782" s="8" t="s">
        <v>184</v>
      </c>
      <c r="H782" s="9" t="s">
        <v>184</v>
      </c>
      <c r="I782" s="9" t="s">
        <v>50</v>
      </c>
      <c r="J782" s="9" t="s">
        <v>168</v>
      </c>
      <c r="K782" s="9" t="s">
        <v>191</v>
      </c>
      <c r="L782" s="8"/>
      <c r="M782" s="8"/>
      <c r="N782" s="8" t="s">
        <v>185</v>
      </c>
      <c r="O782" s="8" t="s">
        <v>2450</v>
      </c>
      <c r="P782" s="10" t="n">
        <f aca="false">IF($H782="숙박",0,IF($H782=MID(P$1,3,20),IF($I782="",1,0.6),IF($I782=MID(P$1,3,20),0.4,0)))</f>
        <v>0</v>
      </c>
      <c r="Q782" s="10" t="n">
        <f aca="false">IF($H782="숙박",0,IF($H782=MID(Q$1,3,20),IF($I782="",1,0.6),IF($I782=MID(Q$1,3,20),0.4,0)))</f>
        <v>0</v>
      </c>
      <c r="R782" s="10" t="n">
        <f aca="false">IF($H782="숙박",0,IF($H782=MID(R$1,3,20),IF($I782="",1,0.6),IF($I782=MID(R$1,3,20),0.4,0)))</f>
        <v>0.6</v>
      </c>
      <c r="S782" s="10" t="n">
        <f aca="false">IF($H782="숙박",0,IF($H782=MID(S$1,3,20),IF($I782="",1,0.6),IF($I782=MID(S$1,3,20),0.4,0)))</f>
        <v>0</v>
      </c>
      <c r="T782" s="10" t="n">
        <f aca="false">IF($H782="숙박",0,IF($H782=MID(T$1,3,20),IF($I782="",1,0.6),IF($I782=MID(T$1,3,20),0.4,0)))</f>
        <v>0.4</v>
      </c>
      <c r="U782" s="10" t="n">
        <f aca="false">IF($H782="숙박",0,IF(ISNUMBER(SEARCH("야경",$J782)),1,0))</f>
        <v>0</v>
      </c>
      <c r="V782" s="10" t="n">
        <f aca="false">IF($H782="숙박",0,1)</f>
        <v>1</v>
      </c>
    </row>
    <row r="783" customFormat="false" ht="15" hidden="false" customHeight="false" outlineLevel="0" collapsed="false">
      <c r="A783" s="8" t="n">
        <v>782</v>
      </c>
      <c r="B783" s="8" t="s">
        <v>45</v>
      </c>
      <c r="C783" s="8"/>
      <c r="D783" s="8" t="s">
        <v>2451</v>
      </c>
      <c r="E783" s="7" t="s">
        <v>2452</v>
      </c>
      <c r="F783" s="8"/>
      <c r="G783" s="8"/>
      <c r="H783" s="9" t="s">
        <v>594</v>
      </c>
      <c r="I783" s="9"/>
      <c r="J783" s="9"/>
      <c r="K783" s="9"/>
      <c r="L783" s="8"/>
      <c r="M783" s="8"/>
      <c r="N783" s="8" t="s">
        <v>595</v>
      </c>
      <c r="O783" s="8"/>
      <c r="P783" s="10" t="n">
        <f aca="false">IF($H783="숙박",0,IF($H783=MID(P$1,3,20),IF($I783="",1,0.6),IF($I783=MID(P$1,3,20),0.4,0)))</f>
        <v>0</v>
      </c>
      <c r="Q783" s="10" t="n">
        <f aca="false">IF($H783="숙박",0,IF($H783=MID(Q$1,3,20),IF($I783="",1,0.6),IF($I783=MID(Q$1,3,20),0.4,0)))</f>
        <v>0</v>
      </c>
      <c r="R783" s="10" t="n">
        <f aca="false">IF($H783="숙박",0,IF($H783=MID(R$1,3,20),IF($I783="",1,0.6),IF($I783=MID(R$1,3,20),0.4,0)))</f>
        <v>0</v>
      </c>
      <c r="S783" s="10" t="n">
        <f aca="false">IF($H783="숙박",0,IF($H783=MID(S$1,3,20),IF($I783="",1,0.6),IF($I783=MID(S$1,3,20),0.4,0)))</f>
        <v>0</v>
      </c>
      <c r="T783" s="10" t="n">
        <f aca="false">IF($H783="숙박",0,IF($H783=MID(T$1,3,20),IF($I783="",1,0.6),IF($I783=MID(T$1,3,20),0.4,0)))</f>
        <v>0</v>
      </c>
      <c r="U783" s="10" t="n">
        <f aca="false">IF($H783="숙박",0,IF(ISNUMBER(SEARCH("야경",$J783)),1,0))</f>
        <v>0</v>
      </c>
      <c r="V783" s="10" t="n">
        <f aca="false">IF($H783="숙박",0,1)</f>
        <v>0</v>
      </c>
    </row>
    <row r="784" customFormat="false" ht="15" hidden="false" customHeight="false" outlineLevel="0" collapsed="false">
      <c r="A784" s="8" t="n">
        <v>783</v>
      </c>
      <c r="B784" s="8" t="s">
        <v>45</v>
      </c>
      <c r="C784" s="8" t="s">
        <v>369</v>
      </c>
      <c r="D784" s="8" t="s">
        <v>2453</v>
      </c>
      <c r="E784" s="7" t="s">
        <v>2454</v>
      </c>
      <c r="F784" s="8"/>
      <c r="G784" s="8" t="s">
        <v>190</v>
      </c>
      <c r="H784" s="9" t="s">
        <v>190</v>
      </c>
      <c r="I784" s="9"/>
      <c r="J784" s="9"/>
      <c r="K784" s="9" t="s">
        <v>191</v>
      </c>
      <c r="L784" s="8"/>
      <c r="M784" s="8"/>
      <c r="N784" s="8"/>
      <c r="O784" s="8" t="s">
        <v>2455</v>
      </c>
      <c r="P784" s="10" t="n">
        <f aca="false">IF($H784="숙박",0,IF($H784=MID(P$1,3,20),IF($I784="",1,0.6),IF($I784=MID(P$1,3,20),0.4,0)))</f>
        <v>1</v>
      </c>
      <c r="Q784" s="10" t="n">
        <f aca="false">IF($H784="숙박",0,IF($H784=MID(Q$1,3,20),IF($I784="",1,0.6),IF($I784=MID(Q$1,3,20),0.4,0)))</f>
        <v>0</v>
      </c>
      <c r="R784" s="10" t="n">
        <f aca="false">IF($H784="숙박",0,IF($H784=MID(R$1,3,20),IF($I784="",1,0.6),IF($I784=MID(R$1,3,20),0.4,0)))</f>
        <v>0</v>
      </c>
      <c r="S784" s="10" t="n">
        <f aca="false">IF($H784="숙박",0,IF($H784=MID(S$1,3,20),IF($I784="",1,0.6),IF($I784=MID(S$1,3,20),0.4,0)))</f>
        <v>0</v>
      </c>
      <c r="T784" s="10" t="n">
        <f aca="false">IF($H784="숙박",0,IF($H784=MID(T$1,3,20),IF($I784="",1,0.6),IF($I784=MID(T$1,3,20),0.4,0)))</f>
        <v>0</v>
      </c>
      <c r="U784" s="10" t="n">
        <f aca="false">IF($H784="숙박",0,IF(ISNUMBER(SEARCH("야경",$J784)),1,0))</f>
        <v>0</v>
      </c>
      <c r="V784" s="10" t="n">
        <f aca="false">IF($H784="숙박",0,1)</f>
        <v>1</v>
      </c>
    </row>
    <row r="785" customFormat="false" ht="15" hidden="false" customHeight="false" outlineLevel="0" collapsed="false">
      <c r="A785" s="8" t="n">
        <v>784</v>
      </c>
      <c r="B785" s="8" t="s">
        <v>45</v>
      </c>
      <c r="C785" s="8" t="s">
        <v>301</v>
      </c>
      <c r="D785" s="8" t="s">
        <v>2456</v>
      </c>
      <c r="E785" s="7" t="s">
        <v>2457</v>
      </c>
      <c r="F785" s="8"/>
      <c r="G785" s="8" t="s">
        <v>190</v>
      </c>
      <c r="H785" s="9" t="s">
        <v>190</v>
      </c>
      <c r="I785" s="9"/>
      <c r="J785" s="9"/>
      <c r="K785" s="9" t="s">
        <v>191</v>
      </c>
      <c r="L785" s="8"/>
      <c r="M785" s="8"/>
      <c r="N785" s="8"/>
      <c r="O785" s="7" t="s">
        <v>2458</v>
      </c>
      <c r="P785" s="10" t="n">
        <f aca="false">IF($H785="숙박",0,IF($H785=MID(P$1,3,20),IF($I785="",1,0.6),IF($I785=MID(P$1,3,20),0.4,0)))</f>
        <v>1</v>
      </c>
      <c r="Q785" s="10" t="n">
        <f aca="false">IF($H785="숙박",0,IF($H785=MID(Q$1,3,20),IF($I785="",1,0.6),IF($I785=MID(Q$1,3,20),0.4,0)))</f>
        <v>0</v>
      </c>
      <c r="R785" s="10" t="n">
        <f aca="false">IF($H785="숙박",0,IF($H785=MID(R$1,3,20),IF($I785="",1,0.6),IF($I785=MID(R$1,3,20),0.4,0)))</f>
        <v>0</v>
      </c>
      <c r="S785" s="10" t="n">
        <f aca="false">IF($H785="숙박",0,IF($H785=MID(S$1,3,20),IF($I785="",1,0.6),IF($I785=MID(S$1,3,20),0.4,0)))</f>
        <v>0</v>
      </c>
      <c r="T785" s="10" t="n">
        <f aca="false">IF($H785="숙박",0,IF($H785=MID(T$1,3,20),IF($I785="",1,0.6),IF($I785=MID(T$1,3,20),0.4,0)))</f>
        <v>0</v>
      </c>
      <c r="U785" s="10" t="n">
        <f aca="false">IF($H785="숙박",0,IF(ISNUMBER(SEARCH("야경",$J785)),1,0))</f>
        <v>0</v>
      </c>
      <c r="V785" s="10" t="n">
        <f aca="false">IF($H785="숙박",0,1)</f>
        <v>1</v>
      </c>
    </row>
    <row r="786" customFormat="false" ht="15" hidden="false" customHeight="false" outlineLevel="0" collapsed="false">
      <c r="A786" s="8" t="n">
        <v>785</v>
      </c>
      <c r="B786" s="8" t="s">
        <v>45</v>
      </c>
      <c r="C786" s="8" t="s">
        <v>2084</v>
      </c>
      <c r="D786" s="8" t="s">
        <v>2459</v>
      </c>
      <c r="E786" s="7" t="s">
        <v>2460</v>
      </c>
      <c r="F786" s="8"/>
      <c r="G786" s="8" t="s">
        <v>190</v>
      </c>
      <c r="H786" s="9" t="s">
        <v>190</v>
      </c>
      <c r="I786" s="9"/>
      <c r="J786" s="9"/>
      <c r="K786" s="9" t="s">
        <v>52</v>
      </c>
      <c r="L786" s="8"/>
      <c r="M786" s="8"/>
      <c r="N786" s="8"/>
      <c r="O786" s="8" t="s">
        <v>2461</v>
      </c>
      <c r="P786" s="10" t="n">
        <f aca="false">IF($H786="숙박",0,IF($H786=MID(P$1,3,20),IF($I786="",1,0.6),IF($I786=MID(P$1,3,20),0.4,0)))</f>
        <v>1</v>
      </c>
      <c r="Q786" s="10" t="n">
        <f aca="false">IF($H786="숙박",0,IF($H786=MID(Q$1,3,20),IF($I786="",1,0.6),IF($I786=MID(Q$1,3,20),0.4,0)))</f>
        <v>0</v>
      </c>
      <c r="R786" s="10" t="n">
        <f aca="false">IF($H786="숙박",0,IF($H786=MID(R$1,3,20),IF($I786="",1,0.6),IF($I786=MID(R$1,3,20),0.4,0)))</f>
        <v>0</v>
      </c>
      <c r="S786" s="10" t="n">
        <f aca="false">IF($H786="숙박",0,IF($H786=MID(S$1,3,20),IF($I786="",1,0.6),IF($I786=MID(S$1,3,20),0.4,0)))</f>
        <v>0</v>
      </c>
      <c r="T786" s="10" t="n">
        <f aca="false">IF($H786="숙박",0,IF($H786=MID(T$1,3,20),IF($I786="",1,0.6),IF($I786=MID(T$1,3,20),0.4,0)))</f>
        <v>0</v>
      </c>
      <c r="U786" s="10" t="n">
        <f aca="false">IF($H786="숙박",0,IF(ISNUMBER(SEARCH("야경",$J786)),1,0))</f>
        <v>0</v>
      </c>
      <c r="V786" s="10" t="n">
        <f aca="false">IF($H786="숙박",0,1)</f>
        <v>1</v>
      </c>
    </row>
    <row r="787" customFormat="false" ht="15" hidden="false" customHeight="false" outlineLevel="0" collapsed="false">
      <c r="A787" s="8" t="n">
        <v>786</v>
      </c>
      <c r="B787" s="8" t="s">
        <v>45</v>
      </c>
      <c r="C787" s="8"/>
      <c r="D787" s="8" t="s">
        <v>2462</v>
      </c>
      <c r="E787" s="7" t="s">
        <v>2463</v>
      </c>
      <c r="F787" s="8"/>
      <c r="G787" s="8"/>
      <c r="H787" s="9" t="s">
        <v>594</v>
      </c>
      <c r="I787" s="9"/>
      <c r="J787" s="9"/>
      <c r="K787" s="9"/>
      <c r="L787" s="8"/>
      <c r="M787" s="8"/>
      <c r="N787" s="8" t="s">
        <v>595</v>
      </c>
      <c r="O787" s="8"/>
      <c r="P787" s="10" t="n">
        <f aca="false">IF($H787="숙박",0,IF($H787=MID(P$1,3,20),IF($I787="",1,0.6),IF($I787=MID(P$1,3,20),0.4,0)))</f>
        <v>0</v>
      </c>
      <c r="Q787" s="10" t="n">
        <f aca="false">IF($H787="숙박",0,IF($H787=MID(Q$1,3,20),IF($I787="",1,0.6),IF($I787=MID(Q$1,3,20),0.4,0)))</f>
        <v>0</v>
      </c>
      <c r="R787" s="10" t="n">
        <f aca="false">IF($H787="숙박",0,IF($H787=MID(R$1,3,20),IF($I787="",1,0.6),IF($I787=MID(R$1,3,20),0.4,0)))</f>
        <v>0</v>
      </c>
      <c r="S787" s="10" t="n">
        <f aca="false">IF($H787="숙박",0,IF($H787=MID(S$1,3,20),IF($I787="",1,0.6),IF($I787=MID(S$1,3,20),0.4,0)))</f>
        <v>0</v>
      </c>
      <c r="T787" s="10" t="n">
        <f aca="false">IF($H787="숙박",0,IF($H787=MID(T$1,3,20),IF($I787="",1,0.6),IF($I787=MID(T$1,3,20),0.4,0)))</f>
        <v>0</v>
      </c>
      <c r="U787" s="10" t="n">
        <f aca="false">IF($H787="숙박",0,IF(ISNUMBER(SEARCH("야경",$J787)),1,0))</f>
        <v>0</v>
      </c>
      <c r="V787" s="10" t="n">
        <f aca="false">IF($H787="숙박",0,1)</f>
        <v>0</v>
      </c>
    </row>
    <row r="788" customFormat="false" ht="15" hidden="false" customHeight="false" outlineLevel="0" collapsed="false">
      <c r="A788" s="8" t="n">
        <v>787</v>
      </c>
      <c r="B788" s="8" t="s">
        <v>45</v>
      </c>
      <c r="C788" s="8" t="s">
        <v>1740</v>
      </c>
      <c r="D788" s="8" t="s">
        <v>2464</v>
      </c>
      <c r="E788" s="7" t="s">
        <v>2465</v>
      </c>
      <c r="F788" s="8"/>
      <c r="G788" s="8" t="s">
        <v>190</v>
      </c>
      <c r="H788" s="9" t="s">
        <v>190</v>
      </c>
      <c r="I788" s="9"/>
      <c r="J788" s="9"/>
      <c r="K788" s="9" t="s">
        <v>191</v>
      </c>
      <c r="L788" s="8"/>
      <c r="M788" s="8"/>
      <c r="N788" s="8"/>
      <c r="O788" s="8" t="s">
        <v>2466</v>
      </c>
      <c r="P788" s="10" t="n">
        <f aca="false">IF($H788="숙박",0,IF($H788=MID(P$1,3,20),IF($I788="",1,0.6),IF($I788=MID(P$1,3,20),0.4,0)))</f>
        <v>1</v>
      </c>
      <c r="Q788" s="10" t="n">
        <f aca="false">IF($H788="숙박",0,IF($H788=MID(Q$1,3,20),IF($I788="",1,0.6),IF($I788=MID(Q$1,3,20),0.4,0)))</f>
        <v>0</v>
      </c>
      <c r="R788" s="10" t="n">
        <f aca="false">IF($H788="숙박",0,IF($H788=MID(R$1,3,20),IF($I788="",1,0.6),IF($I788=MID(R$1,3,20),0.4,0)))</f>
        <v>0</v>
      </c>
      <c r="S788" s="10" t="n">
        <f aca="false">IF($H788="숙박",0,IF($H788=MID(S$1,3,20),IF($I788="",1,0.6),IF($I788=MID(S$1,3,20),0.4,0)))</f>
        <v>0</v>
      </c>
      <c r="T788" s="10" t="n">
        <f aca="false">IF($H788="숙박",0,IF($H788=MID(T$1,3,20),IF($I788="",1,0.6),IF($I788=MID(T$1,3,20),0.4,0)))</f>
        <v>0</v>
      </c>
      <c r="U788" s="10" t="n">
        <f aca="false">IF($H788="숙박",0,IF(ISNUMBER(SEARCH("야경",$J788)),1,0))</f>
        <v>0</v>
      </c>
      <c r="V788" s="10" t="n">
        <f aca="false">IF($H788="숙박",0,1)</f>
        <v>1</v>
      </c>
    </row>
    <row r="789" customFormat="false" ht="15" hidden="false" customHeight="false" outlineLevel="0" collapsed="false">
      <c r="A789" s="8" t="n">
        <v>788</v>
      </c>
      <c r="B789" s="8" t="s">
        <v>45</v>
      </c>
      <c r="C789" s="8" t="s">
        <v>1740</v>
      </c>
      <c r="D789" s="8" t="s">
        <v>2467</v>
      </c>
      <c r="E789" s="7" t="s">
        <v>2468</v>
      </c>
      <c r="F789" s="8"/>
      <c r="G789" s="8" t="s">
        <v>190</v>
      </c>
      <c r="H789" s="9" t="s">
        <v>190</v>
      </c>
      <c r="I789" s="9"/>
      <c r="J789" s="9"/>
      <c r="K789" s="9" t="s">
        <v>191</v>
      </c>
      <c r="L789" s="8"/>
      <c r="M789" s="8"/>
      <c r="N789" s="8"/>
      <c r="O789" s="8" t="s">
        <v>2469</v>
      </c>
      <c r="P789" s="10" t="n">
        <f aca="false">IF($H789="숙박",0,IF($H789=MID(P$1,3,20),IF($I789="",1,0.6),IF($I789=MID(P$1,3,20),0.4,0)))</f>
        <v>1</v>
      </c>
      <c r="Q789" s="10" t="n">
        <f aca="false">IF($H789="숙박",0,IF($H789=MID(Q$1,3,20),IF($I789="",1,0.6),IF($I789=MID(Q$1,3,20),0.4,0)))</f>
        <v>0</v>
      </c>
      <c r="R789" s="10" t="n">
        <f aca="false">IF($H789="숙박",0,IF($H789=MID(R$1,3,20),IF($I789="",1,0.6),IF($I789=MID(R$1,3,20),0.4,0)))</f>
        <v>0</v>
      </c>
      <c r="S789" s="10" t="n">
        <f aca="false">IF($H789="숙박",0,IF($H789=MID(S$1,3,20),IF($I789="",1,0.6),IF($I789=MID(S$1,3,20),0.4,0)))</f>
        <v>0</v>
      </c>
      <c r="T789" s="10" t="n">
        <f aca="false">IF($H789="숙박",0,IF($H789=MID(T$1,3,20),IF($I789="",1,0.6),IF($I789=MID(T$1,3,20),0.4,0)))</f>
        <v>0</v>
      </c>
      <c r="U789" s="10" t="n">
        <f aca="false">IF($H789="숙박",0,IF(ISNUMBER(SEARCH("야경",$J789)),1,0))</f>
        <v>0</v>
      </c>
      <c r="V789" s="10" t="n">
        <f aca="false">IF($H789="숙박",0,1)</f>
        <v>1</v>
      </c>
    </row>
    <row r="790" customFormat="false" ht="15" hidden="false" customHeight="false" outlineLevel="0" collapsed="false">
      <c r="A790" s="8" t="n">
        <v>789</v>
      </c>
      <c r="B790" s="8" t="s">
        <v>45</v>
      </c>
      <c r="C790" s="8" t="s">
        <v>1516</v>
      </c>
      <c r="D790" s="8" t="s">
        <v>2470</v>
      </c>
      <c r="E790" s="7" t="s">
        <v>2471</v>
      </c>
      <c r="F790" s="8"/>
      <c r="G790" s="8" t="s">
        <v>190</v>
      </c>
      <c r="H790" s="9" t="s">
        <v>190</v>
      </c>
      <c r="I790" s="9" t="s">
        <v>49</v>
      </c>
      <c r="J790" s="9"/>
      <c r="K790" s="9" t="s">
        <v>52</v>
      </c>
      <c r="L790" s="8"/>
      <c r="M790" s="8"/>
      <c r="N790" s="8" t="s">
        <v>483</v>
      </c>
      <c r="O790" s="8" t="s">
        <v>2472</v>
      </c>
      <c r="P790" s="10" t="n">
        <f aca="false">IF($H790="숙박",0,IF($H790=MID(P$1,3,20),IF($I790="",1,0.6),IF($I790=MID(P$1,3,20),0.4,0)))</f>
        <v>0.6</v>
      </c>
      <c r="Q790" s="10" t="n">
        <f aca="false">IF($H790="숙박",0,IF($H790=MID(Q$1,3,20),IF($I790="",1,0.6),IF($I790=MID(Q$1,3,20),0.4,0)))</f>
        <v>0.4</v>
      </c>
      <c r="R790" s="10" t="n">
        <f aca="false">IF($H790="숙박",0,IF($H790=MID(R$1,3,20),IF($I790="",1,0.6),IF($I790=MID(R$1,3,20),0.4,0)))</f>
        <v>0</v>
      </c>
      <c r="S790" s="10" t="n">
        <f aca="false">IF($H790="숙박",0,IF($H790=MID(S$1,3,20),IF($I790="",1,0.6),IF($I790=MID(S$1,3,20),0.4,0)))</f>
        <v>0</v>
      </c>
      <c r="T790" s="10" t="n">
        <f aca="false">IF($H790="숙박",0,IF($H790=MID(T$1,3,20),IF($I790="",1,0.6),IF($I790=MID(T$1,3,20),0.4,0)))</f>
        <v>0</v>
      </c>
      <c r="U790" s="10" t="n">
        <f aca="false">IF($H790="숙박",0,IF(ISNUMBER(SEARCH("야경",$J790)),1,0))</f>
        <v>0</v>
      </c>
      <c r="V790" s="10" t="n">
        <f aca="false">IF($H790="숙박",0,1)</f>
        <v>1</v>
      </c>
    </row>
    <row r="791" customFormat="false" ht="15" hidden="false" customHeight="false" outlineLevel="0" collapsed="false">
      <c r="A791" s="8" t="n">
        <v>790</v>
      </c>
      <c r="B791" s="8" t="s">
        <v>45</v>
      </c>
      <c r="C791" s="8"/>
      <c r="D791" s="8" t="s">
        <v>2473</v>
      </c>
      <c r="E791" s="7" t="s">
        <v>2474</v>
      </c>
      <c r="F791" s="8"/>
      <c r="G791" s="8"/>
      <c r="H791" s="9" t="s">
        <v>594</v>
      </c>
      <c r="I791" s="9"/>
      <c r="J791" s="9"/>
      <c r="K791" s="9"/>
      <c r="L791" s="8"/>
      <c r="M791" s="8"/>
      <c r="N791" s="8" t="s">
        <v>595</v>
      </c>
      <c r="O791" s="8"/>
      <c r="P791" s="10" t="n">
        <f aca="false">IF($H791="숙박",0,IF($H791=MID(P$1,3,20),IF($I791="",1,0.6),IF($I791=MID(P$1,3,20),0.4,0)))</f>
        <v>0</v>
      </c>
      <c r="Q791" s="10" t="n">
        <f aca="false">IF($H791="숙박",0,IF($H791=MID(Q$1,3,20),IF($I791="",1,0.6),IF($I791=MID(Q$1,3,20),0.4,0)))</f>
        <v>0</v>
      </c>
      <c r="R791" s="10" t="n">
        <f aca="false">IF($H791="숙박",0,IF($H791=MID(R$1,3,20),IF($I791="",1,0.6),IF($I791=MID(R$1,3,20),0.4,0)))</f>
        <v>0</v>
      </c>
      <c r="S791" s="10" t="n">
        <f aca="false">IF($H791="숙박",0,IF($H791=MID(S$1,3,20),IF($I791="",1,0.6),IF($I791=MID(S$1,3,20),0.4,0)))</f>
        <v>0</v>
      </c>
      <c r="T791" s="10" t="n">
        <f aca="false">IF($H791="숙박",0,IF($H791=MID(T$1,3,20),IF($I791="",1,0.6),IF($I791=MID(T$1,3,20),0.4,0)))</f>
        <v>0</v>
      </c>
      <c r="U791" s="10" t="n">
        <f aca="false">IF($H791="숙박",0,IF(ISNUMBER(SEARCH("야경",$J791)),1,0))</f>
        <v>0</v>
      </c>
      <c r="V791" s="10" t="n">
        <f aca="false">IF($H791="숙박",0,1)</f>
        <v>0</v>
      </c>
    </row>
    <row r="792" customFormat="false" ht="15" hidden="false" customHeight="false" outlineLevel="0" collapsed="false">
      <c r="A792" s="8" t="n">
        <v>791</v>
      </c>
      <c r="B792" s="8" t="s">
        <v>45</v>
      </c>
      <c r="C792" s="8"/>
      <c r="D792" s="8" t="s">
        <v>2475</v>
      </c>
      <c r="E792" s="7" t="s">
        <v>2476</v>
      </c>
      <c r="F792" s="8"/>
      <c r="G792" s="8"/>
      <c r="H792" s="9" t="s">
        <v>594</v>
      </c>
      <c r="I792" s="9"/>
      <c r="J792" s="9"/>
      <c r="K792" s="9"/>
      <c r="L792" s="8"/>
      <c r="M792" s="8"/>
      <c r="N792" s="8" t="s">
        <v>595</v>
      </c>
      <c r="O792" s="8"/>
      <c r="P792" s="10" t="n">
        <f aca="false">IF($H792="숙박",0,IF($H792=MID(P$1,3,20),IF($I792="",1,0.6),IF($I792=MID(P$1,3,20),0.4,0)))</f>
        <v>0</v>
      </c>
      <c r="Q792" s="10" t="n">
        <f aca="false">IF($H792="숙박",0,IF($H792=MID(Q$1,3,20),IF($I792="",1,0.6),IF($I792=MID(Q$1,3,20),0.4,0)))</f>
        <v>0</v>
      </c>
      <c r="R792" s="10" t="n">
        <f aca="false">IF($H792="숙박",0,IF($H792=MID(R$1,3,20),IF($I792="",1,0.6),IF($I792=MID(R$1,3,20),0.4,0)))</f>
        <v>0</v>
      </c>
      <c r="S792" s="10" t="n">
        <f aca="false">IF($H792="숙박",0,IF($H792=MID(S$1,3,20),IF($I792="",1,0.6),IF($I792=MID(S$1,3,20),0.4,0)))</f>
        <v>0</v>
      </c>
      <c r="T792" s="10" t="n">
        <f aca="false">IF($H792="숙박",0,IF($H792=MID(T$1,3,20),IF($I792="",1,0.6),IF($I792=MID(T$1,3,20),0.4,0)))</f>
        <v>0</v>
      </c>
      <c r="U792" s="10" t="n">
        <f aca="false">IF($H792="숙박",0,IF(ISNUMBER(SEARCH("야경",$J792)),1,0))</f>
        <v>0</v>
      </c>
      <c r="V792" s="10" t="n">
        <f aca="false">IF($H792="숙박",0,1)</f>
        <v>0</v>
      </c>
    </row>
    <row r="793" customFormat="false" ht="15" hidden="false" customHeight="false" outlineLevel="0" collapsed="false">
      <c r="A793" s="8" t="n">
        <v>792</v>
      </c>
      <c r="B793" s="8" t="s">
        <v>45</v>
      </c>
      <c r="C793" s="8" t="s">
        <v>438</v>
      </c>
      <c r="D793" s="8" t="s">
        <v>2477</v>
      </c>
      <c r="E793" s="7" t="s">
        <v>2478</v>
      </c>
      <c r="F793" s="8"/>
      <c r="G793" s="8" t="s">
        <v>50</v>
      </c>
      <c r="H793" s="9" t="s">
        <v>50</v>
      </c>
      <c r="I793" s="9"/>
      <c r="J793" s="9" t="s">
        <v>168</v>
      </c>
      <c r="K793" s="9" t="s">
        <v>52</v>
      </c>
      <c r="L793" s="8"/>
      <c r="M793" s="8"/>
      <c r="N793" s="8"/>
      <c r="O793" s="8" t="s">
        <v>2479</v>
      </c>
      <c r="P793" s="10" t="n">
        <f aca="false">IF($H793="숙박",0,IF($H793=MID(P$1,3,20),IF($I793="",1,0.6),IF($I793=MID(P$1,3,20),0.4,0)))</f>
        <v>0</v>
      </c>
      <c r="Q793" s="10" t="n">
        <f aca="false">IF($H793="숙박",0,IF($H793=MID(Q$1,3,20),IF($I793="",1,0.6),IF($I793=MID(Q$1,3,20),0.4,0)))</f>
        <v>0</v>
      </c>
      <c r="R793" s="10" t="n">
        <f aca="false">IF($H793="숙박",0,IF($H793=MID(R$1,3,20),IF($I793="",1,0.6),IF($I793=MID(R$1,3,20),0.4,0)))</f>
        <v>0</v>
      </c>
      <c r="S793" s="10" t="n">
        <f aca="false">IF($H793="숙박",0,IF($H793=MID(S$1,3,20),IF($I793="",1,0.6),IF($I793=MID(S$1,3,20),0.4,0)))</f>
        <v>0</v>
      </c>
      <c r="T793" s="10" t="n">
        <f aca="false">IF($H793="숙박",0,IF($H793=MID(T$1,3,20),IF($I793="",1,0.6),IF($I793=MID(T$1,3,20),0.4,0)))</f>
        <v>1</v>
      </c>
      <c r="U793" s="10" t="n">
        <f aca="false">IF($H793="숙박",0,IF(ISNUMBER(SEARCH("야경",$J793)),1,0))</f>
        <v>0</v>
      </c>
      <c r="V793" s="10" t="n">
        <f aca="false">IF($H793="숙박",0,1)</f>
        <v>1</v>
      </c>
    </row>
    <row r="794" customFormat="false" ht="15" hidden="false" customHeight="false" outlineLevel="0" collapsed="false">
      <c r="A794" s="8" t="n">
        <v>793</v>
      </c>
      <c r="B794" s="8" t="s">
        <v>45</v>
      </c>
      <c r="C794" s="8" t="s">
        <v>331</v>
      </c>
      <c r="D794" s="8" t="s">
        <v>2480</v>
      </c>
      <c r="E794" s="7" t="s">
        <v>2481</v>
      </c>
      <c r="F794" s="8"/>
      <c r="G794" s="8" t="s">
        <v>184</v>
      </c>
      <c r="H794" s="9" t="s">
        <v>184</v>
      </c>
      <c r="I794" s="9"/>
      <c r="J794" s="9"/>
      <c r="K794" s="9" t="s">
        <v>191</v>
      </c>
      <c r="L794" s="8"/>
      <c r="M794" s="8"/>
      <c r="N794" s="8"/>
      <c r="O794" s="8" t="s">
        <v>2482</v>
      </c>
      <c r="P794" s="10" t="n">
        <f aca="false">IF($H794="숙박",0,IF($H794=MID(P$1,3,20),IF($I794="",1,0.6),IF($I794=MID(P$1,3,20),0.4,0)))</f>
        <v>0</v>
      </c>
      <c r="Q794" s="10" t="n">
        <f aca="false">IF($H794="숙박",0,IF($H794=MID(Q$1,3,20),IF($I794="",1,0.6),IF($I794=MID(Q$1,3,20),0.4,0)))</f>
        <v>0</v>
      </c>
      <c r="R794" s="10" t="n">
        <f aca="false">IF($H794="숙박",0,IF($H794=MID(R$1,3,20),IF($I794="",1,0.6),IF($I794=MID(R$1,3,20),0.4,0)))</f>
        <v>1</v>
      </c>
      <c r="S794" s="10" t="n">
        <f aca="false">IF($H794="숙박",0,IF($H794=MID(S$1,3,20),IF($I794="",1,0.6),IF($I794=MID(S$1,3,20),0.4,0)))</f>
        <v>0</v>
      </c>
      <c r="T794" s="10" t="n">
        <f aca="false">IF($H794="숙박",0,IF($H794=MID(T$1,3,20),IF($I794="",1,0.6),IF($I794=MID(T$1,3,20),0.4,0)))</f>
        <v>0</v>
      </c>
      <c r="U794" s="10" t="n">
        <f aca="false">IF($H794="숙박",0,IF(ISNUMBER(SEARCH("야경",$J794)),1,0))</f>
        <v>0</v>
      </c>
      <c r="V794" s="10" t="n">
        <f aca="false">IF($H794="숙박",0,1)</f>
        <v>1</v>
      </c>
    </row>
    <row r="795" customFormat="false" ht="15" hidden="false" customHeight="false" outlineLevel="0" collapsed="false">
      <c r="A795" s="8" t="n">
        <v>794</v>
      </c>
      <c r="B795" s="8" t="s">
        <v>45</v>
      </c>
      <c r="C795" s="8" t="s">
        <v>2199</v>
      </c>
      <c r="D795" s="8" t="s">
        <v>2483</v>
      </c>
      <c r="E795" s="7" t="s">
        <v>2484</v>
      </c>
      <c r="F795" s="8"/>
      <c r="G795" s="8" t="s">
        <v>49</v>
      </c>
      <c r="H795" s="9" t="s">
        <v>49</v>
      </c>
      <c r="I795" s="9"/>
      <c r="J795" s="9"/>
      <c r="K795" s="9" t="s">
        <v>52</v>
      </c>
      <c r="L795" s="8"/>
      <c r="M795" s="8"/>
      <c r="N795" s="8"/>
      <c r="O795" s="8" t="s">
        <v>2485</v>
      </c>
      <c r="P795" s="10" t="n">
        <f aca="false">IF($H795="숙박",0,IF($H795=MID(P$1,3,20),IF($I795="",1,0.6),IF($I795=MID(P$1,3,20),0.4,0)))</f>
        <v>0</v>
      </c>
      <c r="Q795" s="10" t="n">
        <f aca="false">IF($H795="숙박",0,IF($H795=MID(Q$1,3,20),IF($I795="",1,0.6),IF($I795=MID(Q$1,3,20),0.4,0)))</f>
        <v>1</v>
      </c>
      <c r="R795" s="10" t="n">
        <f aca="false">IF($H795="숙박",0,IF($H795=MID(R$1,3,20),IF($I795="",1,0.6),IF($I795=MID(R$1,3,20),0.4,0)))</f>
        <v>0</v>
      </c>
      <c r="S795" s="10" t="n">
        <f aca="false">IF($H795="숙박",0,IF($H795=MID(S$1,3,20),IF($I795="",1,0.6),IF($I795=MID(S$1,3,20),0.4,0)))</f>
        <v>0</v>
      </c>
      <c r="T795" s="10" t="n">
        <f aca="false">IF($H795="숙박",0,IF($H795=MID(T$1,3,20),IF($I795="",1,0.6),IF($I795=MID(T$1,3,20),0.4,0)))</f>
        <v>0</v>
      </c>
      <c r="U795" s="10" t="n">
        <f aca="false">IF($H795="숙박",0,IF(ISNUMBER(SEARCH("야경",$J795)),1,0))</f>
        <v>0</v>
      </c>
      <c r="V795" s="10" t="n">
        <f aca="false">IF($H795="숙박",0,1)</f>
        <v>1</v>
      </c>
    </row>
    <row r="796" customFormat="false" ht="15" hidden="false" customHeight="false" outlineLevel="0" collapsed="false">
      <c r="A796" s="8" t="n">
        <v>795</v>
      </c>
      <c r="B796" s="8" t="s">
        <v>45</v>
      </c>
      <c r="C796" s="8"/>
      <c r="D796" s="8" t="s">
        <v>2486</v>
      </c>
      <c r="E796" s="7" t="s">
        <v>2487</v>
      </c>
      <c r="F796" s="8"/>
      <c r="G796" s="8"/>
      <c r="H796" s="9" t="s">
        <v>594</v>
      </c>
      <c r="I796" s="9"/>
      <c r="J796" s="9"/>
      <c r="K796" s="9"/>
      <c r="L796" s="8"/>
      <c r="M796" s="8"/>
      <c r="N796" s="8" t="s">
        <v>595</v>
      </c>
      <c r="O796" s="8"/>
      <c r="P796" s="10" t="n">
        <f aca="false">IF($H796="숙박",0,IF($H796=MID(P$1,3,20),IF($I796="",1,0.6),IF($I796=MID(P$1,3,20),0.4,0)))</f>
        <v>0</v>
      </c>
      <c r="Q796" s="10" t="n">
        <f aca="false">IF($H796="숙박",0,IF($H796=MID(Q$1,3,20),IF($I796="",1,0.6),IF($I796=MID(Q$1,3,20),0.4,0)))</f>
        <v>0</v>
      </c>
      <c r="R796" s="10" t="n">
        <f aca="false">IF($H796="숙박",0,IF($H796=MID(R$1,3,20),IF($I796="",1,0.6),IF($I796=MID(R$1,3,20),0.4,0)))</f>
        <v>0</v>
      </c>
      <c r="S796" s="10" t="n">
        <f aca="false">IF($H796="숙박",0,IF($H796=MID(S$1,3,20),IF($I796="",1,0.6),IF($I796=MID(S$1,3,20),0.4,0)))</f>
        <v>0</v>
      </c>
      <c r="T796" s="10" t="n">
        <f aca="false">IF($H796="숙박",0,IF($H796=MID(T$1,3,20),IF($I796="",1,0.6),IF($I796=MID(T$1,3,20),0.4,0)))</f>
        <v>0</v>
      </c>
      <c r="U796" s="10" t="n">
        <f aca="false">IF($H796="숙박",0,IF(ISNUMBER(SEARCH("야경",$J796)),1,0))</f>
        <v>0</v>
      </c>
      <c r="V796" s="10" t="n">
        <f aca="false">IF($H796="숙박",0,1)</f>
        <v>0</v>
      </c>
    </row>
    <row r="797" customFormat="false" ht="15" hidden="false" customHeight="false" outlineLevel="0" collapsed="false">
      <c r="A797" s="8" t="n">
        <v>796</v>
      </c>
      <c r="B797" s="8" t="s">
        <v>45</v>
      </c>
      <c r="C797" s="8" t="s">
        <v>1895</v>
      </c>
      <c r="D797" s="8" t="s">
        <v>2488</v>
      </c>
      <c r="E797" s="7" t="s">
        <v>2489</v>
      </c>
      <c r="F797" s="8"/>
      <c r="G797" s="8" t="s">
        <v>49</v>
      </c>
      <c r="H797" s="9" t="s">
        <v>49</v>
      </c>
      <c r="I797" s="9" t="s">
        <v>184</v>
      </c>
      <c r="J797" s="9"/>
      <c r="K797" s="9" t="s">
        <v>52</v>
      </c>
      <c r="L797" s="8"/>
      <c r="M797" s="8"/>
      <c r="N797" s="8" t="s">
        <v>483</v>
      </c>
      <c r="O797" s="8" t="s">
        <v>2490</v>
      </c>
      <c r="P797" s="10" t="n">
        <f aca="false">IF($H797="숙박",0,IF($H797=MID(P$1,3,20),IF($I797="",1,0.6),IF($I797=MID(P$1,3,20),0.4,0)))</f>
        <v>0</v>
      </c>
      <c r="Q797" s="10" t="n">
        <f aca="false">IF($H797="숙박",0,IF($H797=MID(Q$1,3,20),IF($I797="",1,0.6),IF($I797=MID(Q$1,3,20),0.4,0)))</f>
        <v>0.6</v>
      </c>
      <c r="R797" s="10" t="n">
        <f aca="false">IF($H797="숙박",0,IF($H797=MID(R$1,3,20),IF($I797="",1,0.6),IF($I797=MID(R$1,3,20),0.4,0)))</f>
        <v>0.4</v>
      </c>
      <c r="S797" s="10" t="n">
        <f aca="false">IF($H797="숙박",0,IF($H797=MID(S$1,3,20),IF($I797="",1,0.6),IF($I797=MID(S$1,3,20),0.4,0)))</f>
        <v>0</v>
      </c>
      <c r="T797" s="10" t="n">
        <f aca="false">IF($H797="숙박",0,IF($H797=MID(T$1,3,20),IF($I797="",1,0.6),IF($I797=MID(T$1,3,20),0.4,0)))</f>
        <v>0</v>
      </c>
      <c r="U797" s="10" t="n">
        <f aca="false">IF($H797="숙박",0,IF(ISNUMBER(SEARCH("야경",$J797)),1,0))</f>
        <v>0</v>
      </c>
      <c r="V797" s="10" t="n">
        <f aca="false">IF($H797="숙박",0,1)</f>
        <v>1</v>
      </c>
    </row>
    <row r="798" customFormat="false" ht="15" hidden="false" customHeight="false" outlineLevel="0" collapsed="false">
      <c r="A798" s="8" t="n">
        <v>797</v>
      </c>
      <c r="B798" s="8" t="s">
        <v>45</v>
      </c>
      <c r="C798" s="8" t="s">
        <v>1911</v>
      </c>
      <c r="D798" s="8" t="s">
        <v>2491</v>
      </c>
      <c r="E798" s="7" t="s">
        <v>2492</v>
      </c>
      <c r="F798" s="8"/>
      <c r="G798" s="8" t="s">
        <v>49</v>
      </c>
      <c r="H798" s="9" t="s">
        <v>49</v>
      </c>
      <c r="I798" s="9" t="s">
        <v>190</v>
      </c>
      <c r="J798" s="9"/>
      <c r="K798" s="9" t="s">
        <v>52</v>
      </c>
      <c r="L798" s="8"/>
      <c r="M798" s="8"/>
      <c r="N798" s="8" t="s">
        <v>483</v>
      </c>
      <c r="O798" s="8" t="s">
        <v>2493</v>
      </c>
      <c r="P798" s="10" t="n">
        <f aca="false">IF($H798="숙박",0,IF($H798=MID(P$1,3,20),IF($I798="",1,0.6),IF($I798=MID(P$1,3,20),0.4,0)))</f>
        <v>0.4</v>
      </c>
      <c r="Q798" s="10" t="n">
        <f aca="false">IF($H798="숙박",0,IF($H798=MID(Q$1,3,20),IF($I798="",1,0.6),IF($I798=MID(Q$1,3,20),0.4,0)))</f>
        <v>0.6</v>
      </c>
      <c r="R798" s="10" t="n">
        <f aca="false">IF($H798="숙박",0,IF($H798=MID(R$1,3,20),IF($I798="",1,0.6),IF($I798=MID(R$1,3,20),0.4,0)))</f>
        <v>0</v>
      </c>
      <c r="S798" s="10" t="n">
        <f aca="false">IF($H798="숙박",0,IF($H798=MID(S$1,3,20),IF($I798="",1,0.6),IF($I798=MID(S$1,3,20),0.4,0)))</f>
        <v>0</v>
      </c>
      <c r="T798" s="10" t="n">
        <f aca="false">IF($H798="숙박",0,IF($H798=MID(T$1,3,20),IF($I798="",1,0.6),IF($I798=MID(T$1,3,20),0.4,0)))</f>
        <v>0</v>
      </c>
      <c r="U798" s="10" t="n">
        <f aca="false">IF($H798="숙박",0,IF(ISNUMBER(SEARCH("야경",$J798)),1,0))</f>
        <v>0</v>
      </c>
      <c r="V798" s="10" t="n">
        <f aca="false">IF($H798="숙박",0,1)</f>
        <v>1</v>
      </c>
    </row>
    <row r="799" customFormat="false" ht="15" hidden="false" customHeight="false" outlineLevel="0" collapsed="false">
      <c r="A799" s="8" t="n">
        <v>798</v>
      </c>
      <c r="B799" s="8" t="s">
        <v>45</v>
      </c>
      <c r="C799" s="8"/>
      <c r="D799" s="8" t="s">
        <v>2494</v>
      </c>
      <c r="E799" s="7" t="s">
        <v>2495</v>
      </c>
      <c r="F799" s="8"/>
      <c r="G799" s="8"/>
      <c r="H799" s="9" t="s">
        <v>594</v>
      </c>
      <c r="I799" s="9"/>
      <c r="J799" s="9"/>
      <c r="K799" s="9"/>
      <c r="L799" s="8"/>
      <c r="M799" s="8"/>
      <c r="N799" s="8" t="s">
        <v>595</v>
      </c>
      <c r="O799" s="8"/>
      <c r="P799" s="10" t="n">
        <f aca="false">IF($H799="숙박",0,IF($H799=MID(P$1,3,20),IF($I799="",1,0.6),IF($I799=MID(P$1,3,20),0.4,0)))</f>
        <v>0</v>
      </c>
      <c r="Q799" s="10" t="n">
        <f aca="false">IF($H799="숙박",0,IF($H799=MID(Q$1,3,20),IF($I799="",1,0.6),IF($I799=MID(Q$1,3,20),0.4,0)))</f>
        <v>0</v>
      </c>
      <c r="R799" s="10" t="n">
        <f aca="false">IF($H799="숙박",0,IF($H799=MID(R$1,3,20),IF($I799="",1,0.6),IF($I799=MID(R$1,3,20),0.4,0)))</f>
        <v>0</v>
      </c>
      <c r="S799" s="10" t="n">
        <f aca="false">IF($H799="숙박",0,IF($H799=MID(S$1,3,20),IF($I799="",1,0.6),IF($I799=MID(S$1,3,20),0.4,0)))</f>
        <v>0</v>
      </c>
      <c r="T799" s="10" t="n">
        <f aca="false">IF($H799="숙박",0,IF($H799=MID(T$1,3,20),IF($I799="",1,0.6),IF($I799=MID(T$1,3,20),0.4,0)))</f>
        <v>0</v>
      </c>
      <c r="U799" s="10" t="n">
        <f aca="false">IF($H799="숙박",0,IF(ISNUMBER(SEARCH("야경",$J799)),1,0))</f>
        <v>0</v>
      </c>
      <c r="V799" s="10" t="n">
        <f aca="false">IF($H799="숙박",0,1)</f>
        <v>0</v>
      </c>
    </row>
    <row r="800" customFormat="false" ht="15" hidden="false" customHeight="false" outlineLevel="0" collapsed="false">
      <c r="A800" s="8" t="n">
        <v>799</v>
      </c>
      <c r="B800" s="8" t="s">
        <v>45</v>
      </c>
      <c r="C800" s="8"/>
      <c r="D800" s="8" t="s">
        <v>2496</v>
      </c>
      <c r="E800" s="7" t="s">
        <v>2497</v>
      </c>
      <c r="F800" s="8"/>
      <c r="G800" s="8"/>
      <c r="H800" s="9" t="s">
        <v>594</v>
      </c>
      <c r="I800" s="9"/>
      <c r="J800" s="9"/>
      <c r="K800" s="9"/>
      <c r="L800" s="8"/>
      <c r="M800" s="8"/>
      <c r="N800" s="8" t="s">
        <v>595</v>
      </c>
      <c r="O800" s="8"/>
      <c r="P800" s="10" t="n">
        <f aca="false">IF($H800="숙박",0,IF($H800=MID(P$1,3,20),IF($I800="",1,0.6),IF($I800=MID(P$1,3,20),0.4,0)))</f>
        <v>0</v>
      </c>
      <c r="Q800" s="10" t="n">
        <f aca="false">IF($H800="숙박",0,IF($H800=MID(Q$1,3,20),IF($I800="",1,0.6),IF($I800=MID(Q$1,3,20),0.4,0)))</f>
        <v>0</v>
      </c>
      <c r="R800" s="10" t="n">
        <f aca="false">IF($H800="숙박",0,IF($H800=MID(R$1,3,20),IF($I800="",1,0.6),IF($I800=MID(R$1,3,20),0.4,0)))</f>
        <v>0</v>
      </c>
      <c r="S800" s="10" t="n">
        <f aca="false">IF($H800="숙박",0,IF($H800=MID(S$1,3,20),IF($I800="",1,0.6),IF($I800=MID(S$1,3,20),0.4,0)))</f>
        <v>0</v>
      </c>
      <c r="T800" s="10" t="n">
        <f aca="false">IF($H800="숙박",0,IF($H800=MID(T$1,3,20),IF($I800="",1,0.6),IF($I800=MID(T$1,3,20),0.4,0)))</f>
        <v>0</v>
      </c>
      <c r="U800" s="10" t="n">
        <f aca="false">IF($H800="숙박",0,IF(ISNUMBER(SEARCH("야경",$J800)),1,0))</f>
        <v>0</v>
      </c>
      <c r="V800" s="10" t="n">
        <f aca="false">IF($H800="숙박",0,1)</f>
        <v>0</v>
      </c>
    </row>
    <row r="801" customFormat="false" ht="15" hidden="false" customHeight="false" outlineLevel="0" collapsed="false">
      <c r="A801" s="8" t="n">
        <v>800</v>
      </c>
      <c r="B801" s="8" t="s">
        <v>45</v>
      </c>
      <c r="C801" s="8" t="s">
        <v>342</v>
      </c>
      <c r="D801" s="8" t="s">
        <v>2498</v>
      </c>
      <c r="E801" s="7" t="s">
        <v>2499</v>
      </c>
      <c r="F801" s="8"/>
      <c r="G801" s="8" t="s">
        <v>190</v>
      </c>
      <c r="H801" s="9" t="s">
        <v>190</v>
      </c>
      <c r="I801" s="9"/>
      <c r="J801" s="9"/>
      <c r="K801" s="9" t="s">
        <v>191</v>
      </c>
      <c r="L801" s="8"/>
      <c r="M801" s="8"/>
      <c r="N801" s="8"/>
      <c r="O801" s="8" t="s">
        <v>2500</v>
      </c>
      <c r="P801" s="10" t="n">
        <f aca="false">IF($H801="숙박",0,IF($H801=MID(P$1,3,20),IF($I801="",1,0.6),IF($I801=MID(P$1,3,20),0.4,0)))</f>
        <v>1</v>
      </c>
      <c r="Q801" s="10" t="n">
        <f aca="false">IF($H801="숙박",0,IF($H801=MID(Q$1,3,20),IF($I801="",1,0.6),IF($I801=MID(Q$1,3,20),0.4,0)))</f>
        <v>0</v>
      </c>
      <c r="R801" s="10" t="n">
        <f aca="false">IF($H801="숙박",0,IF($H801=MID(R$1,3,20),IF($I801="",1,0.6),IF($I801=MID(R$1,3,20),0.4,0)))</f>
        <v>0</v>
      </c>
      <c r="S801" s="10" t="n">
        <f aca="false">IF($H801="숙박",0,IF($H801=MID(S$1,3,20),IF($I801="",1,0.6),IF($I801=MID(S$1,3,20),0.4,0)))</f>
        <v>0</v>
      </c>
      <c r="T801" s="10" t="n">
        <f aca="false">IF($H801="숙박",0,IF($H801=MID(T$1,3,20),IF($I801="",1,0.6),IF($I801=MID(T$1,3,20),0.4,0)))</f>
        <v>0</v>
      </c>
      <c r="U801" s="10" t="n">
        <f aca="false">IF($H801="숙박",0,IF(ISNUMBER(SEARCH("야경",$J801)),1,0))</f>
        <v>0</v>
      </c>
      <c r="V801" s="10" t="n">
        <f aca="false">IF($H801="숙박",0,1)</f>
        <v>1</v>
      </c>
    </row>
    <row r="802" customFormat="false" ht="15" hidden="false" customHeight="false" outlineLevel="0" collapsed="false">
      <c r="A802" s="8" t="n">
        <v>801</v>
      </c>
      <c r="B802" s="8" t="s">
        <v>45</v>
      </c>
      <c r="C802" s="8"/>
      <c r="D802" s="8" t="s">
        <v>2501</v>
      </c>
      <c r="E802" s="7" t="s">
        <v>2502</v>
      </c>
      <c r="F802" s="8"/>
      <c r="G802" s="8" t="s">
        <v>49</v>
      </c>
      <c r="H802" s="9" t="s">
        <v>49</v>
      </c>
      <c r="I802" s="9" t="s">
        <v>190</v>
      </c>
      <c r="J802" s="9"/>
      <c r="K802" s="9" t="s">
        <v>52</v>
      </c>
      <c r="L802" s="8"/>
      <c r="M802" s="8"/>
      <c r="N802" s="8" t="s">
        <v>483</v>
      </c>
      <c r="O802" s="8" t="s">
        <v>2503</v>
      </c>
      <c r="P802" s="10" t="n">
        <f aca="false">IF($H802="숙박",0,IF($H802=MID(P$1,3,20),IF($I802="",1,0.6),IF($I802=MID(P$1,3,20),0.4,0)))</f>
        <v>0.4</v>
      </c>
      <c r="Q802" s="10" t="n">
        <f aca="false">IF($H802="숙박",0,IF($H802=MID(Q$1,3,20),IF($I802="",1,0.6),IF($I802=MID(Q$1,3,20),0.4,0)))</f>
        <v>0.6</v>
      </c>
      <c r="R802" s="10" t="n">
        <f aca="false">IF($H802="숙박",0,IF($H802=MID(R$1,3,20),IF($I802="",1,0.6),IF($I802=MID(R$1,3,20),0.4,0)))</f>
        <v>0</v>
      </c>
      <c r="S802" s="10" t="n">
        <f aca="false">IF($H802="숙박",0,IF($H802=MID(S$1,3,20),IF($I802="",1,0.6),IF($I802=MID(S$1,3,20),0.4,0)))</f>
        <v>0</v>
      </c>
      <c r="T802" s="10" t="n">
        <f aca="false">IF($H802="숙박",0,IF($H802=MID(T$1,3,20),IF($I802="",1,0.6),IF($I802=MID(T$1,3,20),0.4,0)))</f>
        <v>0</v>
      </c>
      <c r="U802" s="10" t="n">
        <f aca="false">IF($H802="숙박",0,IF(ISNUMBER(SEARCH("야경",$J802)),1,0))</f>
        <v>0</v>
      </c>
      <c r="V802" s="10" t="n">
        <f aca="false">IF($H802="숙박",0,1)</f>
        <v>1</v>
      </c>
    </row>
    <row r="803" customFormat="false" ht="15" hidden="false" customHeight="false" outlineLevel="0" collapsed="false">
      <c r="A803" s="8" t="n">
        <v>802</v>
      </c>
      <c r="B803" s="8" t="s">
        <v>45</v>
      </c>
      <c r="C803" s="8" t="s">
        <v>1640</v>
      </c>
      <c r="D803" s="8" t="s">
        <v>2504</v>
      </c>
      <c r="E803" s="7" t="s">
        <v>2505</v>
      </c>
      <c r="F803" s="8"/>
      <c r="G803" s="8" t="s">
        <v>49</v>
      </c>
      <c r="H803" s="9" t="s">
        <v>49</v>
      </c>
      <c r="I803" s="9" t="s">
        <v>190</v>
      </c>
      <c r="J803" s="9" t="s">
        <v>479</v>
      </c>
      <c r="K803" s="9" t="s">
        <v>52</v>
      </c>
      <c r="L803" s="8"/>
      <c r="M803" s="8"/>
      <c r="N803" s="8" t="s">
        <v>483</v>
      </c>
      <c r="O803" s="8" t="s">
        <v>2506</v>
      </c>
      <c r="P803" s="10" t="n">
        <f aca="false">IF($H803="숙박",0,IF($H803=MID(P$1,3,20),IF($I803="",1,0.6),IF($I803=MID(P$1,3,20),0.4,0)))</f>
        <v>0.4</v>
      </c>
      <c r="Q803" s="10" t="n">
        <f aca="false">IF($H803="숙박",0,IF($H803=MID(Q$1,3,20),IF($I803="",1,0.6),IF($I803=MID(Q$1,3,20),0.4,0)))</f>
        <v>0.6</v>
      </c>
      <c r="R803" s="10" t="n">
        <f aca="false">IF($H803="숙박",0,IF($H803=MID(R$1,3,20),IF($I803="",1,0.6),IF($I803=MID(R$1,3,20),0.4,0)))</f>
        <v>0</v>
      </c>
      <c r="S803" s="10" t="n">
        <f aca="false">IF($H803="숙박",0,IF($H803=MID(S$1,3,20),IF($I803="",1,0.6),IF($I803=MID(S$1,3,20),0.4,0)))</f>
        <v>0</v>
      </c>
      <c r="T803" s="10" t="n">
        <f aca="false">IF($H803="숙박",0,IF($H803=MID(T$1,3,20),IF($I803="",1,0.6),IF($I803=MID(T$1,3,20),0.4,0)))</f>
        <v>0</v>
      </c>
      <c r="U803" s="10" t="n">
        <f aca="false">IF($H803="숙박",0,IF(ISNUMBER(SEARCH("야경",$J803)),1,0))</f>
        <v>0</v>
      </c>
      <c r="V803" s="10" t="n">
        <f aca="false">IF($H803="숙박",0,1)</f>
        <v>1</v>
      </c>
    </row>
    <row r="804" customFormat="false" ht="15" hidden="false" customHeight="false" outlineLevel="0" collapsed="false">
      <c r="A804" s="8" t="n">
        <v>803</v>
      </c>
      <c r="B804" s="8" t="s">
        <v>45</v>
      </c>
      <c r="C804" s="8" t="s">
        <v>2507</v>
      </c>
      <c r="D804" s="8" t="s">
        <v>2508</v>
      </c>
      <c r="E804" s="7" t="s">
        <v>2509</v>
      </c>
      <c r="F804" s="8"/>
      <c r="G804" s="8" t="s">
        <v>49</v>
      </c>
      <c r="H804" s="9" t="s">
        <v>49</v>
      </c>
      <c r="I804" s="9"/>
      <c r="J804" s="9"/>
      <c r="K804" s="9" t="s">
        <v>52</v>
      </c>
      <c r="L804" s="8"/>
      <c r="M804" s="8"/>
      <c r="N804" s="8"/>
      <c r="O804" s="8" t="s">
        <v>2510</v>
      </c>
      <c r="P804" s="10" t="n">
        <f aca="false">IF($H804="숙박",0,IF($H804=MID(P$1,3,20),IF($I804="",1,0.6),IF($I804=MID(P$1,3,20),0.4,0)))</f>
        <v>0</v>
      </c>
      <c r="Q804" s="10" t="n">
        <f aca="false">IF($H804="숙박",0,IF($H804=MID(Q$1,3,20),IF($I804="",1,0.6),IF($I804=MID(Q$1,3,20),0.4,0)))</f>
        <v>1</v>
      </c>
      <c r="R804" s="10" t="n">
        <f aca="false">IF($H804="숙박",0,IF($H804=MID(R$1,3,20),IF($I804="",1,0.6),IF($I804=MID(R$1,3,20),0.4,0)))</f>
        <v>0</v>
      </c>
      <c r="S804" s="10" t="n">
        <f aca="false">IF($H804="숙박",0,IF($H804=MID(S$1,3,20),IF($I804="",1,0.6),IF($I804=MID(S$1,3,20),0.4,0)))</f>
        <v>0</v>
      </c>
      <c r="T804" s="10" t="n">
        <f aca="false">IF($H804="숙박",0,IF($H804=MID(T$1,3,20),IF($I804="",1,0.6),IF($I804=MID(T$1,3,20),0.4,0)))</f>
        <v>0</v>
      </c>
      <c r="U804" s="10" t="n">
        <f aca="false">IF($H804="숙박",0,IF(ISNUMBER(SEARCH("야경",$J804)),1,0))</f>
        <v>0</v>
      </c>
      <c r="V804" s="10" t="n">
        <f aca="false">IF($H804="숙박",0,1)</f>
        <v>1</v>
      </c>
    </row>
    <row r="805" customFormat="false" ht="15" hidden="false" customHeight="false" outlineLevel="0" collapsed="false">
      <c r="A805" s="8" t="n">
        <v>804</v>
      </c>
      <c r="B805" s="8" t="s">
        <v>45</v>
      </c>
      <c r="C805" s="8" t="s">
        <v>1986</v>
      </c>
      <c r="D805" s="8" t="s">
        <v>2511</v>
      </c>
      <c r="E805" s="7" t="s">
        <v>2512</v>
      </c>
      <c r="F805" s="8"/>
      <c r="G805" s="8" t="s">
        <v>49</v>
      </c>
      <c r="H805" s="9" t="s">
        <v>49</v>
      </c>
      <c r="I805" s="9"/>
      <c r="J805" s="9"/>
      <c r="K805" s="9" t="s">
        <v>52</v>
      </c>
      <c r="L805" s="8"/>
      <c r="M805" s="8"/>
      <c r="N805" s="8"/>
      <c r="O805" s="8" t="s">
        <v>2513</v>
      </c>
      <c r="P805" s="10" t="n">
        <f aca="false">IF($H805="숙박",0,IF($H805=MID(P$1,3,20),IF($I805="",1,0.6),IF($I805=MID(P$1,3,20),0.4,0)))</f>
        <v>0</v>
      </c>
      <c r="Q805" s="10" t="n">
        <f aca="false">IF($H805="숙박",0,IF($H805=MID(Q$1,3,20),IF($I805="",1,0.6),IF($I805=MID(Q$1,3,20),0.4,0)))</f>
        <v>1</v>
      </c>
      <c r="R805" s="10" t="n">
        <f aca="false">IF($H805="숙박",0,IF($H805=MID(R$1,3,20),IF($I805="",1,0.6),IF($I805=MID(R$1,3,20),0.4,0)))</f>
        <v>0</v>
      </c>
      <c r="S805" s="10" t="n">
        <f aca="false">IF($H805="숙박",0,IF($H805=MID(S$1,3,20),IF($I805="",1,0.6),IF($I805=MID(S$1,3,20),0.4,0)))</f>
        <v>0</v>
      </c>
      <c r="T805" s="10" t="n">
        <f aca="false">IF($H805="숙박",0,IF($H805=MID(T$1,3,20),IF($I805="",1,0.6),IF($I805=MID(T$1,3,20),0.4,0)))</f>
        <v>0</v>
      </c>
      <c r="U805" s="10" t="n">
        <f aca="false">IF($H805="숙박",0,IF(ISNUMBER(SEARCH("야경",$J805)),1,0))</f>
        <v>0</v>
      </c>
      <c r="V805" s="10" t="n">
        <f aca="false">IF($H805="숙박",0,1)</f>
        <v>1</v>
      </c>
    </row>
    <row r="806" customFormat="false" ht="15" hidden="false" customHeight="false" outlineLevel="0" collapsed="false">
      <c r="A806" s="8" t="n">
        <v>805</v>
      </c>
      <c r="B806" s="8" t="s">
        <v>45</v>
      </c>
      <c r="C806" s="8" t="s">
        <v>2061</v>
      </c>
      <c r="D806" s="8" t="s">
        <v>2514</v>
      </c>
      <c r="E806" s="7" t="s">
        <v>2515</v>
      </c>
      <c r="F806" s="8"/>
      <c r="G806" s="8" t="s">
        <v>190</v>
      </c>
      <c r="H806" s="9" t="s">
        <v>190</v>
      </c>
      <c r="I806" s="9"/>
      <c r="J806" s="9"/>
      <c r="K806" s="9" t="s">
        <v>191</v>
      </c>
      <c r="L806" s="8"/>
      <c r="M806" s="8"/>
      <c r="N806" s="8"/>
      <c r="O806" s="8" t="s">
        <v>2516</v>
      </c>
      <c r="P806" s="10" t="n">
        <f aca="false">IF($H806="숙박",0,IF($H806=MID(P$1,3,20),IF($I806="",1,0.6),IF($I806=MID(P$1,3,20),0.4,0)))</f>
        <v>1</v>
      </c>
      <c r="Q806" s="10" t="n">
        <f aca="false">IF($H806="숙박",0,IF($H806=MID(Q$1,3,20),IF($I806="",1,0.6),IF($I806=MID(Q$1,3,20),0.4,0)))</f>
        <v>0</v>
      </c>
      <c r="R806" s="10" t="n">
        <f aca="false">IF($H806="숙박",0,IF($H806=MID(R$1,3,20),IF($I806="",1,0.6),IF($I806=MID(R$1,3,20),0.4,0)))</f>
        <v>0</v>
      </c>
      <c r="S806" s="10" t="n">
        <f aca="false">IF($H806="숙박",0,IF($H806=MID(S$1,3,20),IF($I806="",1,0.6),IF($I806=MID(S$1,3,20),0.4,0)))</f>
        <v>0</v>
      </c>
      <c r="T806" s="10" t="n">
        <f aca="false">IF($H806="숙박",0,IF($H806=MID(T$1,3,20),IF($I806="",1,0.6),IF($I806=MID(T$1,3,20),0.4,0)))</f>
        <v>0</v>
      </c>
      <c r="U806" s="10" t="n">
        <f aca="false">IF($H806="숙박",0,IF(ISNUMBER(SEARCH("야경",$J806)),1,0))</f>
        <v>0</v>
      </c>
      <c r="V806" s="10" t="n">
        <f aca="false">IF($H806="숙박",0,1)</f>
        <v>1</v>
      </c>
    </row>
    <row r="807" customFormat="false" ht="15" hidden="false" customHeight="false" outlineLevel="0" collapsed="false">
      <c r="A807" s="8" t="n">
        <v>806</v>
      </c>
      <c r="B807" s="8" t="s">
        <v>45</v>
      </c>
      <c r="C807" s="8"/>
      <c r="D807" s="8" t="s">
        <v>2517</v>
      </c>
      <c r="E807" s="7" t="s">
        <v>2518</v>
      </c>
      <c r="F807" s="8"/>
      <c r="G807" s="8"/>
      <c r="H807" s="9" t="s">
        <v>594</v>
      </c>
      <c r="I807" s="9"/>
      <c r="J807" s="9"/>
      <c r="K807" s="9"/>
      <c r="L807" s="8"/>
      <c r="M807" s="8"/>
      <c r="N807" s="8" t="s">
        <v>595</v>
      </c>
      <c r="O807" s="8"/>
      <c r="P807" s="10" t="n">
        <f aca="false">IF($H807="숙박",0,IF($H807=MID(P$1,3,20),IF($I807="",1,0.6),IF($I807=MID(P$1,3,20),0.4,0)))</f>
        <v>0</v>
      </c>
      <c r="Q807" s="10" t="n">
        <f aca="false">IF($H807="숙박",0,IF($H807=MID(Q$1,3,20),IF($I807="",1,0.6),IF($I807=MID(Q$1,3,20),0.4,0)))</f>
        <v>0</v>
      </c>
      <c r="R807" s="10" t="n">
        <f aca="false">IF($H807="숙박",0,IF($H807=MID(R$1,3,20),IF($I807="",1,0.6),IF($I807=MID(R$1,3,20),0.4,0)))</f>
        <v>0</v>
      </c>
      <c r="S807" s="10" t="n">
        <f aca="false">IF($H807="숙박",0,IF($H807=MID(S$1,3,20),IF($I807="",1,0.6),IF($I807=MID(S$1,3,20),0.4,0)))</f>
        <v>0</v>
      </c>
      <c r="T807" s="10" t="n">
        <f aca="false">IF($H807="숙박",0,IF($H807=MID(T$1,3,20),IF($I807="",1,0.6),IF($I807=MID(T$1,3,20),0.4,0)))</f>
        <v>0</v>
      </c>
      <c r="U807" s="10" t="n">
        <f aca="false">IF($H807="숙박",0,IF(ISNUMBER(SEARCH("야경",$J807)),1,0))</f>
        <v>0</v>
      </c>
      <c r="V807" s="10" t="n">
        <f aca="false">IF($H807="숙박",0,1)</f>
        <v>0</v>
      </c>
    </row>
    <row r="808" customFormat="false" ht="15" hidden="false" customHeight="false" outlineLevel="0" collapsed="false">
      <c r="A808" s="8" t="n">
        <v>807</v>
      </c>
      <c r="B808" s="8" t="s">
        <v>45</v>
      </c>
      <c r="C808" s="8"/>
      <c r="D808" s="8" t="s">
        <v>2519</v>
      </c>
      <c r="E808" s="7" t="s">
        <v>2520</v>
      </c>
      <c r="F808" s="8"/>
      <c r="G808" s="8"/>
      <c r="H808" s="9" t="s">
        <v>594</v>
      </c>
      <c r="I808" s="9"/>
      <c r="J808" s="9"/>
      <c r="K808" s="9"/>
      <c r="L808" s="8"/>
      <c r="M808" s="8"/>
      <c r="N808" s="8" t="s">
        <v>595</v>
      </c>
      <c r="O808" s="8"/>
      <c r="P808" s="10" t="n">
        <f aca="false">IF($H808="숙박",0,IF($H808=MID(P$1,3,20),IF($I808="",1,0.6),IF($I808=MID(P$1,3,20),0.4,0)))</f>
        <v>0</v>
      </c>
      <c r="Q808" s="10" t="n">
        <f aca="false">IF($H808="숙박",0,IF($H808=MID(Q$1,3,20),IF($I808="",1,0.6),IF($I808=MID(Q$1,3,20),0.4,0)))</f>
        <v>0</v>
      </c>
      <c r="R808" s="10" t="n">
        <f aca="false">IF($H808="숙박",0,IF($H808=MID(R$1,3,20),IF($I808="",1,0.6),IF($I808=MID(R$1,3,20),0.4,0)))</f>
        <v>0</v>
      </c>
      <c r="S808" s="10" t="n">
        <f aca="false">IF($H808="숙박",0,IF($H808=MID(S$1,3,20),IF($I808="",1,0.6),IF($I808=MID(S$1,3,20),0.4,0)))</f>
        <v>0</v>
      </c>
      <c r="T808" s="10" t="n">
        <f aca="false">IF($H808="숙박",0,IF($H808=MID(T$1,3,20),IF($I808="",1,0.6),IF($I808=MID(T$1,3,20),0.4,0)))</f>
        <v>0</v>
      </c>
      <c r="U808" s="10" t="n">
        <f aca="false">IF($H808="숙박",0,IF(ISNUMBER(SEARCH("야경",$J808)),1,0))</f>
        <v>0</v>
      </c>
      <c r="V808" s="10" t="n">
        <f aca="false">IF($H808="숙박",0,1)</f>
        <v>0</v>
      </c>
    </row>
    <row r="809" customFormat="false" ht="15" hidden="false" customHeight="false" outlineLevel="0" collapsed="false">
      <c r="A809" s="8" t="n">
        <v>808</v>
      </c>
      <c r="B809" s="8" t="s">
        <v>45</v>
      </c>
      <c r="C809" s="8" t="s">
        <v>2133</v>
      </c>
      <c r="D809" s="8" t="s">
        <v>2521</v>
      </c>
      <c r="E809" s="7" t="s">
        <v>2522</v>
      </c>
      <c r="F809" s="8"/>
      <c r="G809" s="8" t="s">
        <v>184</v>
      </c>
      <c r="H809" s="9" t="s">
        <v>184</v>
      </c>
      <c r="I809" s="9" t="s">
        <v>49</v>
      </c>
      <c r="J809" s="9"/>
      <c r="K809" s="9" t="s">
        <v>191</v>
      </c>
      <c r="L809" s="8"/>
      <c r="M809" s="8"/>
      <c r="N809" s="8" t="s">
        <v>483</v>
      </c>
      <c r="O809" s="8" t="s">
        <v>2523</v>
      </c>
      <c r="P809" s="10" t="n">
        <f aca="false">IF($H809="숙박",0,IF($H809=MID(P$1,3,20),IF($I809="",1,0.6),IF($I809=MID(P$1,3,20),0.4,0)))</f>
        <v>0</v>
      </c>
      <c r="Q809" s="10" t="n">
        <f aca="false">IF($H809="숙박",0,IF($H809=MID(Q$1,3,20),IF($I809="",1,0.6),IF($I809=MID(Q$1,3,20),0.4,0)))</f>
        <v>0.4</v>
      </c>
      <c r="R809" s="10" t="n">
        <f aca="false">IF($H809="숙박",0,IF($H809=MID(R$1,3,20),IF($I809="",1,0.6),IF($I809=MID(R$1,3,20),0.4,0)))</f>
        <v>0.6</v>
      </c>
      <c r="S809" s="10" t="n">
        <f aca="false">IF($H809="숙박",0,IF($H809=MID(S$1,3,20),IF($I809="",1,0.6),IF($I809=MID(S$1,3,20),0.4,0)))</f>
        <v>0</v>
      </c>
      <c r="T809" s="10" t="n">
        <f aca="false">IF($H809="숙박",0,IF($H809=MID(T$1,3,20),IF($I809="",1,0.6),IF($I809=MID(T$1,3,20),0.4,0)))</f>
        <v>0</v>
      </c>
      <c r="U809" s="10" t="n">
        <f aca="false">IF($H809="숙박",0,IF(ISNUMBER(SEARCH("야경",$J809)),1,0))</f>
        <v>0</v>
      </c>
      <c r="V809" s="10" t="n">
        <f aca="false">IF($H809="숙박",0,1)</f>
        <v>1</v>
      </c>
    </row>
    <row r="810" customFormat="false" ht="15" hidden="false" customHeight="false" outlineLevel="0" collapsed="false">
      <c r="A810" s="8" t="n">
        <v>809</v>
      </c>
      <c r="B810" s="8" t="s">
        <v>45</v>
      </c>
      <c r="C810" s="8" t="s">
        <v>297</v>
      </c>
      <c r="D810" s="8" t="s">
        <v>2524</v>
      </c>
      <c r="E810" s="7" t="s">
        <v>2525</v>
      </c>
      <c r="F810" s="8"/>
      <c r="G810" s="8" t="s">
        <v>216</v>
      </c>
      <c r="H810" s="9" t="s">
        <v>216</v>
      </c>
      <c r="I810" s="9" t="s">
        <v>50</v>
      </c>
      <c r="J810" s="9" t="s">
        <v>168</v>
      </c>
      <c r="K810" s="9" t="s">
        <v>191</v>
      </c>
      <c r="L810" s="8"/>
      <c r="M810" s="8"/>
      <c r="N810" s="8" t="s">
        <v>185</v>
      </c>
      <c r="O810" s="8" t="s">
        <v>2526</v>
      </c>
      <c r="P810" s="10" t="n">
        <f aca="false">IF($H810="숙박",0,IF($H810=MID(P$1,3,20),IF($I810="",1,0.6),IF($I810=MID(P$1,3,20),0.4,0)))</f>
        <v>0</v>
      </c>
      <c r="Q810" s="10" t="n">
        <f aca="false">IF($H810="숙박",0,IF($H810=MID(Q$1,3,20),IF($I810="",1,0.6),IF($I810=MID(Q$1,3,20),0.4,0)))</f>
        <v>0</v>
      </c>
      <c r="R810" s="10" t="n">
        <f aca="false">IF($H810="숙박",0,IF($H810=MID(R$1,3,20),IF($I810="",1,0.6),IF($I810=MID(R$1,3,20),0.4,0)))</f>
        <v>0</v>
      </c>
      <c r="S810" s="10" t="n">
        <f aca="false">IF($H810="숙박",0,IF($H810=MID(S$1,3,20),IF($I810="",1,0.6),IF($I810=MID(S$1,3,20),0.4,0)))</f>
        <v>0.6</v>
      </c>
      <c r="T810" s="10" t="n">
        <f aca="false">IF($H810="숙박",0,IF($H810=MID(T$1,3,20),IF($I810="",1,0.6),IF($I810=MID(T$1,3,20),0.4,0)))</f>
        <v>0.4</v>
      </c>
      <c r="U810" s="10" t="n">
        <f aca="false">IF($H810="숙박",0,IF(ISNUMBER(SEARCH("야경",$J810)),1,0))</f>
        <v>0</v>
      </c>
      <c r="V810" s="10" t="n">
        <f aca="false">IF($H810="숙박",0,1)</f>
        <v>1</v>
      </c>
    </row>
    <row r="811" customFormat="false" ht="15" hidden="false" customHeight="false" outlineLevel="0" collapsed="false">
      <c r="A811" s="8" t="n">
        <v>810</v>
      </c>
      <c r="B811" s="8" t="s">
        <v>45</v>
      </c>
      <c r="C811" s="8" t="s">
        <v>178</v>
      </c>
      <c r="D811" s="8" t="s">
        <v>2527</v>
      </c>
      <c r="E811" s="7" t="s">
        <v>2528</v>
      </c>
      <c r="F811" s="8"/>
      <c r="G811" s="8" t="s">
        <v>50</v>
      </c>
      <c r="H811" s="9" t="s">
        <v>50</v>
      </c>
      <c r="I811" s="9"/>
      <c r="J811" s="9" t="s">
        <v>168</v>
      </c>
      <c r="K811" s="9" t="s">
        <v>52</v>
      </c>
      <c r="L811" s="8"/>
      <c r="M811" s="8"/>
      <c r="N811" s="8"/>
      <c r="O811" s="8" t="s">
        <v>2529</v>
      </c>
      <c r="P811" s="10" t="n">
        <f aca="false">IF($H811="숙박",0,IF($H811=MID(P$1,3,20),IF($I811="",1,0.6),IF($I811=MID(P$1,3,20),0.4,0)))</f>
        <v>0</v>
      </c>
      <c r="Q811" s="10" t="n">
        <f aca="false">IF($H811="숙박",0,IF($H811=MID(Q$1,3,20),IF($I811="",1,0.6),IF($I811=MID(Q$1,3,20),0.4,0)))</f>
        <v>0</v>
      </c>
      <c r="R811" s="10" t="n">
        <f aca="false">IF($H811="숙박",0,IF($H811=MID(R$1,3,20),IF($I811="",1,0.6),IF($I811=MID(R$1,3,20),0.4,0)))</f>
        <v>0</v>
      </c>
      <c r="S811" s="10" t="n">
        <f aca="false">IF($H811="숙박",0,IF($H811=MID(S$1,3,20),IF($I811="",1,0.6),IF($I811=MID(S$1,3,20),0.4,0)))</f>
        <v>0</v>
      </c>
      <c r="T811" s="10" t="n">
        <f aca="false">IF($H811="숙박",0,IF($H811=MID(T$1,3,20),IF($I811="",1,0.6),IF($I811=MID(T$1,3,20),0.4,0)))</f>
        <v>1</v>
      </c>
      <c r="U811" s="10" t="n">
        <f aca="false">IF($H811="숙박",0,IF(ISNUMBER(SEARCH("야경",$J811)),1,0))</f>
        <v>0</v>
      </c>
      <c r="V811" s="10" t="n">
        <f aca="false">IF($H811="숙박",0,1)</f>
        <v>1</v>
      </c>
    </row>
    <row r="812" customFormat="false" ht="15" hidden="false" customHeight="false" outlineLevel="0" collapsed="false">
      <c r="A812" s="8" t="n">
        <v>811</v>
      </c>
      <c r="B812" s="8" t="s">
        <v>45</v>
      </c>
      <c r="C812" s="8" t="s">
        <v>2084</v>
      </c>
      <c r="D812" s="8" t="s">
        <v>2530</v>
      </c>
      <c r="E812" s="7" t="s">
        <v>2531</v>
      </c>
      <c r="F812" s="8"/>
      <c r="G812" s="8" t="s">
        <v>49</v>
      </c>
      <c r="H812" s="9" t="s">
        <v>49</v>
      </c>
      <c r="I812" s="9"/>
      <c r="J812" s="9"/>
      <c r="K812" s="9" t="s">
        <v>52</v>
      </c>
      <c r="L812" s="8"/>
      <c r="M812" s="8"/>
      <c r="N812" s="8"/>
      <c r="O812" s="8" t="s">
        <v>2532</v>
      </c>
      <c r="P812" s="10" t="n">
        <f aca="false">IF($H812="숙박",0,IF($H812=MID(P$1,3,20),IF($I812="",1,0.6),IF($I812=MID(P$1,3,20),0.4,0)))</f>
        <v>0</v>
      </c>
      <c r="Q812" s="10" t="n">
        <f aca="false">IF($H812="숙박",0,IF($H812=MID(Q$1,3,20),IF($I812="",1,0.6),IF($I812=MID(Q$1,3,20),0.4,0)))</f>
        <v>1</v>
      </c>
      <c r="R812" s="10" t="n">
        <f aca="false">IF($H812="숙박",0,IF($H812=MID(R$1,3,20),IF($I812="",1,0.6),IF($I812=MID(R$1,3,20),0.4,0)))</f>
        <v>0</v>
      </c>
      <c r="S812" s="10" t="n">
        <f aca="false">IF($H812="숙박",0,IF($H812=MID(S$1,3,20),IF($I812="",1,0.6),IF($I812=MID(S$1,3,20),0.4,0)))</f>
        <v>0</v>
      </c>
      <c r="T812" s="10" t="n">
        <f aca="false">IF($H812="숙박",0,IF($H812=MID(T$1,3,20),IF($I812="",1,0.6),IF($I812=MID(T$1,3,20),0.4,0)))</f>
        <v>0</v>
      </c>
      <c r="U812" s="10" t="n">
        <f aca="false">IF($H812="숙박",0,IF(ISNUMBER(SEARCH("야경",$J812)),1,0))</f>
        <v>0</v>
      </c>
      <c r="V812" s="10" t="n">
        <f aca="false">IF($H812="숙박",0,1)</f>
        <v>1</v>
      </c>
    </row>
    <row r="813" customFormat="false" ht="15" hidden="false" customHeight="false" outlineLevel="0" collapsed="false">
      <c r="A813" s="8" t="n">
        <v>812</v>
      </c>
      <c r="B813" s="8" t="s">
        <v>45</v>
      </c>
      <c r="C813" s="8" t="s">
        <v>1567</v>
      </c>
      <c r="D813" s="8" t="s">
        <v>2533</v>
      </c>
      <c r="E813" s="7" t="s">
        <v>2534</v>
      </c>
      <c r="F813" s="8"/>
      <c r="G813" s="8" t="s">
        <v>190</v>
      </c>
      <c r="H813" s="9" t="s">
        <v>190</v>
      </c>
      <c r="I813" s="9" t="s">
        <v>49</v>
      </c>
      <c r="J813" s="9"/>
      <c r="K813" s="9" t="s">
        <v>191</v>
      </c>
      <c r="L813" s="8"/>
      <c r="M813" s="8"/>
      <c r="N813" s="8" t="s">
        <v>483</v>
      </c>
      <c r="O813" s="8" t="s">
        <v>2535</v>
      </c>
      <c r="P813" s="10" t="n">
        <f aca="false">IF($H813="숙박",0,IF($H813=MID(P$1,3,20),IF($I813="",1,0.6),IF($I813=MID(P$1,3,20),0.4,0)))</f>
        <v>0.6</v>
      </c>
      <c r="Q813" s="10" t="n">
        <f aca="false">IF($H813="숙박",0,IF($H813=MID(Q$1,3,20),IF($I813="",1,0.6),IF($I813=MID(Q$1,3,20),0.4,0)))</f>
        <v>0.4</v>
      </c>
      <c r="R813" s="10" t="n">
        <f aca="false">IF($H813="숙박",0,IF($H813=MID(R$1,3,20),IF($I813="",1,0.6),IF($I813=MID(R$1,3,20),0.4,0)))</f>
        <v>0</v>
      </c>
      <c r="S813" s="10" t="n">
        <f aca="false">IF($H813="숙박",0,IF($H813=MID(S$1,3,20),IF($I813="",1,0.6),IF($I813=MID(S$1,3,20),0.4,0)))</f>
        <v>0</v>
      </c>
      <c r="T813" s="10" t="n">
        <f aca="false">IF($H813="숙박",0,IF($H813=MID(T$1,3,20),IF($I813="",1,0.6),IF($I813=MID(T$1,3,20),0.4,0)))</f>
        <v>0</v>
      </c>
      <c r="U813" s="10" t="n">
        <f aca="false">IF($H813="숙박",0,IF(ISNUMBER(SEARCH("야경",$J813)),1,0))</f>
        <v>0</v>
      </c>
      <c r="V813" s="10" t="n">
        <f aca="false">IF($H813="숙박",0,1)</f>
        <v>1</v>
      </c>
    </row>
    <row r="814" customFormat="false" ht="15" hidden="false" customHeight="false" outlineLevel="0" collapsed="false">
      <c r="A814" s="8" t="n">
        <v>813</v>
      </c>
      <c r="B814" s="8" t="s">
        <v>45</v>
      </c>
      <c r="C814" s="8" t="s">
        <v>2084</v>
      </c>
      <c r="D814" s="8" t="s">
        <v>2536</v>
      </c>
      <c r="E814" s="7" t="s">
        <v>2537</v>
      </c>
      <c r="F814" s="8"/>
      <c r="G814" s="8" t="s">
        <v>190</v>
      </c>
      <c r="H814" s="9" t="s">
        <v>190</v>
      </c>
      <c r="I814" s="9"/>
      <c r="J814" s="9"/>
      <c r="K814" s="9" t="s">
        <v>191</v>
      </c>
      <c r="L814" s="8"/>
      <c r="M814" s="8"/>
      <c r="N814" s="8"/>
      <c r="O814" s="8" t="s">
        <v>2538</v>
      </c>
      <c r="P814" s="10" t="n">
        <f aca="false">IF($H814="숙박",0,IF($H814=MID(P$1,3,20),IF($I814="",1,0.6),IF($I814=MID(P$1,3,20),0.4,0)))</f>
        <v>1</v>
      </c>
      <c r="Q814" s="10" t="n">
        <f aca="false">IF($H814="숙박",0,IF($H814=MID(Q$1,3,20),IF($I814="",1,0.6),IF($I814=MID(Q$1,3,20),0.4,0)))</f>
        <v>0</v>
      </c>
      <c r="R814" s="10" t="n">
        <f aca="false">IF($H814="숙박",0,IF($H814=MID(R$1,3,20),IF($I814="",1,0.6),IF($I814=MID(R$1,3,20),0.4,0)))</f>
        <v>0</v>
      </c>
      <c r="S814" s="10" t="n">
        <f aca="false">IF($H814="숙박",0,IF($H814=MID(S$1,3,20),IF($I814="",1,0.6),IF($I814=MID(S$1,3,20),0.4,0)))</f>
        <v>0</v>
      </c>
      <c r="T814" s="10" t="n">
        <f aca="false">IF($H814="숙박",0,IF($H814=MID(T$1,3,20),IF($I814="",1,0.6),IF($I814=MID(T$1,3,20),0.4,0)))</f>
        <v>0</v>
      </c>
      <c r="U814" s="10" t="n">
        <f aca="false">IF($H814="숙박",0,IF(ISNUMBER(SEARCH("야경",$J814)),1,0))</f>
        <v>0</v>
      </c>
      <c r="V814" s="10" t="n">
        <f aca="false">IF($H814="숙박",0,1)</f>
        <v>1</v>
      </c>
    </row>
    <row r="815" customFormat="false" ht="15" hidden="false" customHeight="false" outlineLevel="0" collapsed="false">
      <c r="A815" s="8" t="n">
        <v>814</v>
      </c>
      <c r="B815" s="8" t="s">
        <v>45</v>
      </c>
      <c r="C815" s="8" t="s">
        <v>327</v>
      </c>
      <c r="D815" s="8" t="s">
        <v>2539</v>
      </c>
      <c r="E815" s="7" t="s">
        <v>2540</v>
      </c>
      <c r="F815" s="8"/>
      <c r="G815" s="8" t="s">
        <v>184</v>
      </c>
      <c r="H815" s="9" t="s">
        <v>184</v>
      </c>
      <c r="I815" s="9"/>
      <c r="J815" s="9"/>
      <c r="K815" s="9" t="s">
        <v>191</v>
      </c>
      <c r="L815" s="8"/>
      <c r="M815" s="8"/>
      <c r="N815" s="8"/>
      <c r="O815" s="8" t="s">
        <v>2541</v>
      </c>
      <c r="P815" s="10" t="n">
        <f aca="false">IF($H815="숙박",0,IF($H815=MID(P$1,3,20),IF($I815="",1,0.6),IF($I815=MID(P$1,3,20),0.4,0)))</f>
        <v>0</v>
      </c>
      <c r="Q815" s="10" t="n">
        <f aca="false">IF($H815="숙박",0,IF($H815=MID(Q$1,3,20),IF($I815="",1,0.6),IF($I815=MID(Q$1,3,20),0.4,0)))</f>
        <v>0</v>
      </c>
      <c r="R815" s="10" t="n">
        <f aca="false">IF($H815="숙박",0,IF($H815=MID(R$1,3,20),IF($I815="",1,0.6),IF($I815=MID(R$1,3,20),0.4,0)))</f>
        <v>1</v>
      </c>
      <c r="S815" s="10" t="n">
        <f aca="false">IF($H815="숙박",0,IF($H815=MID(S$1,3,20),IF($I815="",1,0.6),IF($I815=MID(S$1,3,20),0.4,0)))</f>
        <v>0</v>
      </c>
      <c r="T815" s="10" t="n">
        <f aca="false">IF($H815="숙박",0,IF($H815=MID(T$1,3,20),IF($I815="",1,0.6),IF($I815=MID(T$1,3,20),0.4,0)))</f>
        <v>0</v>
      </c>
      <c r="U815" s="10" t="n">
        <f aca="false">IF($H815="숙박",0,IF(ISNUMBER(SEARCH("야경",$J815)),1,0))</f>
        <v>0</v>
      </c>
      <c r="V815" s="10" t="n">
        <f aca="false">IF($H815="숙박",0,1)</f>
        <v>1</v>
      </c>
    </row>
    <row r="816" customFormat="false" ht="15" hidden="false" customHeight="false" outlineLevel="0" collapsed="false">
      <c r="A816" s="8" t="n">
        <v>815</v>
      </c>
      <c r="B816" s="8" t="s">
        <v>45</v>
      </c>
      <c r="C816" s="8" t="s">
        <v>1493</v>
      </c>
      <c r="D816" s="8" t="s">
        <v>2542</v>
      </c>
      <c r="E816" s="7" t="s">
        <v>2543</v>
      </c>
      <c r="F816" s="8"/>
      <c r="G816" s="8" t="s">
        <v>49</v>
      </c>
      <c r="H816" s="9" t="s">
        <v>49</v>
      </c>
      <c r="I816" s="9" t="s">
        <v>184</v>
      </c>
      <c r="J816" s="9"/>
      <c r="K816" s="9" t="s">
        <v>52</v>
      </c>
      <c r="L816" s="8"/>
      <c r="M816" s="8"/>
      <c r="N816" s="8" t="s">
        <v>483</v>
      </c>
      <c r="O816" s="8" t="s">
        <v>2544</v>
      </c>
      <c r="P816" s="10" t="n">
        <f aca="false">IF($H816="숙박",0,IF($H816=MID(P$1,3,20),IF($I816="",1,0.6),IF($I816=MID(P$1,3,20),0.4,0)))</f>
        <v>0</v>
      </c>
      <c r="Q816" s="10" t="n">
        <f aca="false">IF($H816="숙박",0,IF($H816=MID(Q$1,3,20),IF($I816="",1,0.6),IF($I816=MID(Q$1,3,20),0.4,0)))</f>
        <v>0.6</v>
      </c>
      <c r="R816" s="10" t="n">
        <f aca="false">IF($H816="숙박",0,IF($H816=MID(R$1,3,20),IF($I816="",1,0.6),IF($I816=MID(R$1,3,20),0.4,0)))</f>
        <v>0.4</v>
      </c>
      <c r="S816" s="10" t="n">
        <f aca="false">IF($H816="숙박",0,IF($H816=MID(S$1,3,20),IF($I816="",1,0.6),IF($I816=MID(S$1,3,20),0.4,0)))</f>
        <v>0</v>
      </c>
      <c r="T816" s="10" t="n">
        <f aca="false">IF($H816="숙박",0,IF($H816=MID(T$1,3,20),IF($I816="",1,0.6),IF($I816=MID(T$1,3,20),0.4,0)))</f>
        <v>0</v>
      </c>
      <c r="U816" s="10" t="n">
        <f aca="false">IF($H816="숙박",0,IF(ISNUMBER(SEARCH("야경",$J816)),1,0))</f>
        <v>0</v>
      </c>
      <c r="V816" s="10" t="n">
        <f aca="false">IF($H816="숙박",0,1)</f>
        <v>1</v>
      </c>
    </row>
    <row r="817" customFormat="false" ht="15" hidden="false" customHeight="false" outlineLevel="0" collapsed="false">
      <c r="A817" s="8" t="n">
        <v>816</v>
      </c>
      <c r="B817" s="8" t="s">
        <v>45</v>
      </c>
      <c r="C817" s="8" t="s">
        <v>467</v>
      </c>
      <c r="D817" s="8" t="s">
        <v>2545</v>
      </c>
      <c r="E817" s="7" t="s">
        <v>2546</v>
      </c>
      <c r="F817" s="8"/>
      <c r="G817" s="8" t="s">
        <v>50</v>
      </c>
      <c r="H817" s="9" t="s">
        <v>50</v>
      </c>
      <c r="I817" s="9" t="s">
        <v>49</v>
      </c>
      <c r="J817" s="9" t="s">
        <v>168</v>
      </c>
      <c r="K817" s="9" t="s">
        <v>52</v>
      </c>
      <c r="L817" s="8"/>
      <c r="M817" s="8"/>
      <c r="N817" s="8" t="s">
        <v>483</v>
      </c>
      <c r="O817" s="8" t="s">
        <v>2547</v>
      </c>
      <c r="P817" s="10" t="n">
        <f aca="false">IF($H817="숙박",0,IF($H817=MID(P$1,3,20),IF($I817="",1,0.6),IF($I817=MID(P$1,3,20),0.4,0)))</f>
        <v>0</v>
      </c>
      <c r="Q817" s="10" t="n">
        <f aca="false">IF($H817="숙박",0,IF($H817=MID(Q$1,3,20),IF($I817="",1,0.6),IF($I817=MID(Q$1,3,20),0.4,0)))</f>
        <v>0.4</v>
      </c>
      <c r="R817" s="10" t="n">
        <f aca="false">IF($H817="숙박",0,IF($H817=MID(R$1,3,20),IF($I817="",1,0.6),IF($I817=MID(R$1,3,20),0.4,0)))</f>
        <v>0</v>
      </c>
      <c r="S817" s="10" t="n">
        <f aca="false">IF($H817="숙박",0,IF($H817=MID(S$1,3,20),IF($I817="",1,0.6),IF($I817=MID(S$1,3,20),0.4,0)))</f>
        <v>0</v>
      </c>
      <c r="T817" s="10" t="n">
        <f aca="false">IF($H817="숙박",0,IF($H817=MID(T$1,3,20),IF($I817="",1,0.6),IF($I817=MID(T$1,3,20),0.4,0)))</f>
        <v>0.6</v>
      </c>
      <c r="U817" s="10" t="n">
        <f aca="false">IF($H817="숙박",0,IF(ISNUMBER(SEARCH("야경",$J817)),1,0))</f>
        <v>0</v>
      </c>
      <c r="V817" s="10" t="n">
        <f aca="false">IF($H817="숙박",0,1)</f>
        <v>1</v>
      </c>
    </row>
    <row r="818" customFormat="false" ht="15" hidden="false" customHeight="false" outlineLevel="0" collapsed="false">
      <c r="A818" s="8" t="n">
        <v>817</v>
      </c>
      <c r="B818" s="8" t="s">
        <v>45</v>
      </c>
      <c r="C818" s="8"/>
      <c r="D818" s="8" t="s">
        <v>2548</v>
      </c>
      <c r="E818" s="7" t="s">
        <v>2549</v>
      </c>
      <c r="F818" s="8"/>
      <c r="G818" s="8"/>
      <c r="H818" s="9" t="s">
        <v>594</v>
      </c>
      <c r="I818" s="9"/>
      <c r="J818" s="9"/>
      <c r="K818" s="9"/>
      <c r="L818" s="8"/>
      <c r="M818" s="8"/>
      <c r="N818" s="8" t="s">
        <v>595</v>
      </c>
      <c r="O818" s="8"/>
      <c r="P818" s="10" t="n">
        <f aca="false">IF($H818="숙박",0,IF($H818=MID(P$1,3,20),IF($I818="",1,0.6),IF($I818=MID(P$1,3,20),0.4,0)))</f>
        <v>0</v>
      </c>
      <c r="Q818" s="10" t="n">
        <f aca="false">IF($H818="숙박",0,IF($H818=MID(Q$1,3,20),IF($I818="",1,0.6),IF($I818=MID(Q$1,3,20),0.4,0)))</f>
        <v>0</v>
      </c>
      <c r="R818" s="10" t="n">
        <f aca="false">IF($H818="숙박",0,IF($H818=MID(R$1,3,20),IF($I818="",1,0.6),IF($I818=MID(R$1,3,20),0.4,0)))</f>
        <v>0</v>
      </c>
      <c r="S818" s="10" t="n">
        <f aca="false">IF($H818="숙박",0,IF($H818=MID(S$1,3,20),IF($I818="",1,0.6),IF($I818=MID(S$1,3,20),0.4,0)))</f>
        <v>0</v>
      </c>
      <c r="T818" s="10" t="n">
        <f aca="false">IF($H818="숙박",0,IF($H818=MID(T$1,3,20),IF($I818="",1,0.6),IF($I818=MID(T$1,3,20),0.4,0)))</f>
        <v>0</v>
      </c>
      <c r="U818" s="10" t="n">
        <f aca="false">IF($H818="숙박",0,IF(ISNUMBER(SEARCH("야경",$J818)),1,0))</f>
        <v>0</v>
      </c>
      <c r="V818" s="10" t="n">
        <f aca="false">IF($H818="숙박",0,1)</f>
        <v>0</v>
      </c>
    </row>
    <row r="819" customFormat="false" ht="15" hidden="false" customHeight="false" outlineLevel="0" collapsed="false">
      <c r="A819" s="8" t="n">
        <v>818</v>
      </c>
      <c r="B819" s="8" t="s">
        <v>45</v>
      </c>
      <c r="C819" s="8" t="s">
        <v>2214</v>
      </c>
      <c r="D819" s="8" t="s">
        <v>2550</v>
      </c>
      <c r="E819" s="7" t="s">
        <v>2551</v>
      </c>
      <c r="F819" s="8"/>
      <c r="G819" s="8" t="s">
        <v>49</v>
      </c>
      <c r="H819" s="9" t="s">
        <v>49</v>
      </c>
      <c r="I819" s="9"/>
      <c r="J819" s="9"/>
      <c r="K819" s="9" t="s">
        <v>52</v>
      </c>
      <c r="L819" s="8"/>
      <c r="M819" s="8"/>
      <c r="N819" s="8"/>
      <c r="O819" s="8" t="s">
        <v>2552</v>
      </c>
      <c r="P819" s="10" t="n">
        <f aca="false">IF($H819="숙박",0,IF($H819=MID(P$1,3,20),IF($I819="",1,0.6),IF($I819=MID(P$1,3,20),0.4,0)))</f>
        <v>0</v>
      </c>
      <c r="Q819" s="10" t="n">
        <f aca="false">IF($H819="숙박",0,IF($H819=MID(Q$1,3,20),IF($I819="",1,0.6),IF($I819=MID(Q$1,3,20),0.4,0)))</f>
        <v>1</v>
      </c>
      <c r="R819" s="10" t="n">
        <f aca="false">IF($H819="숙박",0,IF($H819=MID(R$1,3,20),IF($I819="",1,0.6),IF($I819=MID(R$1,3,20),0.4,0)))</f>
        <v>0</v>
      </c>
      <c r="S819" s="10" t="n">
        <f aca="false">IF($H819="숙박",0,IF($H819=MID(S$1,3,20),IF($I819="",1,0.6),IF($I819=MID(S$1,3,20),0.4,0)))</f>
        <v>0</v>
      </c>
      <c r="T819" s="10" t="n">
        <f aca="false">IF($H819="숙박",0,IF($H819=MID(T$1,3,20),IF($I819="",1,0.6),IF($I819=MID(T$1,3,20),0.4,0)))</f>
        <v>0</v>
      </c>
      <c r="U819" s="10" t="n">
        <f aca="false">IF($H819="숙박",0,IF(ISNUMBER(SEARCH("야경",$J819)),1,0))</f>
        <v>0</v>
      </c>
      <c r="V819" s="10" t="n">
        <f aca="false">IF($H819="숙박",0,1)</f>
        <v>1</v>
      </c>
    </row>
    <row r="820" customFormat="false" ht="15" hidden="false" customHeight="false" outlineLevel="0" collapsed="false">
      <c r="A820" s="8" t="n">
        <v>819</v>
      </c>
      <c r="B820" s="8" t="s">
        <v>45</v>
      </c>
      <c r="C820" s="8" t="s">
        <v>1895</v>
      </c>
      <c r="D820" s="8" t="s">
        <v>2553</v>
      </c>
      <c r="E820" s="7" t="s">
        <v>2554</v>
      </c>
      <c r="F820" s="8"/>
      <c r="G820" s="8" t="s">
        <v>216</v>
      </c>
      <c r="H820" s="9" t="s">
        <v>216</v>
      </c>
      <c r="I820" s="9"/>
      <c r="J820" s="9"/>
      <c r="K820" s="9" t="s">
        <v>191</v>
      </c>
      <c r="L820" s="8"/>
      <c r="M820" s="8"/>
      <c r="N820" s="8"/>
      <c r="O820" s="8" t="s">
        <v>2555</v>
      </c>
      <c r="P820" s="10" t="n">
        <f aca="false">IF($H820="숙박",0,IF($H820=MID(P$1,3,20),IF($I820="",1,0.6),IF($I820=MID(P$1,3,20),0.4,0)))</f>
        <v>0</v>
      </c>
      <c r="Q820" s="10" t="n">
        <f aca="false">IF($H820="숙박",0,IF($H820=MID(Q$1,3,20),IF($I820="",1,0.6),IF($I820=MID(Q$1,3,20),0.4,0)))</f>
        <v>0</v>
      </c>
      <c r="R820" s="10" t="n">
        <f aca="false">IF($H820="숙박",0,IF($H820=MID(R$1,3,20),IF($I820="",1,0.6),IF($I820=MID(R$1,3,20),0.4,0)))</f>
        <v>0</v>
      </c>
      <c r="S820" s="10" t="n">
        <f aca="false">IF($H820="숙박",0,IF($H820=MID(S$1,3,20),IF($I820="",1,0.6),IF($I820=MID(S$1,3,20),0.4,0)))</f>
        <v>1</v>
      </c>
      <c r="T820" s="10" t="n">
        <f aca="false">IF($H820="숙박",0,IF($H820=MID(T$1,3,20),IF($I820="",1,0.6),IF($I820=MID(T$1,3,20),0.4,0)))</f>
        <v>0</v>
      </c>
      <c r="U820" s="10" t="n">
        <f aca="false">IF($H820="숙박",0,IF(ISNUMBER(SEARCH("야경",$J820)),1,0))</f>
        <v>0</v>
      </c>
      <c r="V820" s="10" t="n">
        <f aca="false">IF($H820="숙박",0,1)</f>
        <v>1</v>
      </c>
    </row>
    <row r="821" customFormat="false" ht="15" hidden="false" customHeight="false" outlineLevel="0" collapsed="false">
      <c r="A821" s="8" t="n">
        <v>820</v>
      </c>
      <c r="B821" s="8" t="s">
        <v>45</v>
      </c>
      <c r="C821" s="8"/>
      <c r="D821" s="8" t="s">
        <v>2556</v>
      </c>
      <c r="E821" s="7" t="s">
        <v>2557</v>
      </c>
      <c r="F821" s="8"/>
      <c r="G821" s="8"/>
      <c r="H821" s="9" t="s">
        <v>594</v>
      </c>
      <c r="I821" s="9"/>
      <c r="J821" s="9"/>
      <c r="K821" s="9"/>
      <c r="L821" s="8"/>
      <c r="M821" s="8"/>
      <c r="N821" s="8" t="s">
        <v>595</v>
      </c>
      <c r="O821" s="8"/>
      <c r="P821" s="10" t="n">
        <f aca="false">IF($H821="숙박",0,IF($H821=MID(P$1,3,20),IF($I821="",1,0.6),IF($I821=MID(P$1,3,20),0.4,0)))</f>
        <v>0</v>
      </c>
      <c r="Q821" s="10" t="n">
        <f aca="false">IF($H821="숙박",0,IF($H821=MID(Q$1,3,20),IF($I821="",1,0.6),IF($I821=MID(Q$1,3,20),0.4,0)))</f>
        <v>0</v>
      </c>
      <c r="R821" s="10" t="n">
        <f aca="false">IF($H821="숙박",0,IF($H821=MID(R$1,3,20),IF($I821="",1,0.6),IF($I821=MID(R$1,3,20),0.4,0)))</f>
        <v>0</v>
      </c>
      <c r="S821" s="10" t="n">
        <f aca="false">IF($H821="숙박",0,IF($H821=MID(S$1,3,20),IF($I821="",1,0.6),IF($I821=MID(S$1,3,20),0.4,0)))</f>
        <v>0</v>
      </c>
      <c r="T821" s="10" t="n">
        <f aca="false">IF($H821="숙박",0,IF($H821=MID(T$1,3,20),IF($I821="",1,0.6),IF($I821=MID(T$1,3,20),0.4,0)))</f>
        <v>0</v>
      </c>
      <c r="U821" s="10" t="n">
        <f aca="false">IF($H821="숙박",0,IF(ISNUMBER(SEARCH("야경",$J821)),1,0))</f>
        <v>0</v>
      </c>
      <c r="V821" s="10" t="n">
        <f aca="false">IF($H821="숙박",0,1)</f>
        <v>0</v>
      </c>
    </row>
    <row r="822" customFormat="false" ht="15" hidden="false" customHeight="false" outlineLevel="0" collapsed="false">
      <c r="A822" s="8" t="n">
        <v>821</v>
      </c>
      <c r="B822" s="8" t="s">
        <v>45</v>
      </c>
      <c r="C822" s="8" t="s">
        <v>1895</v>
      </c>
      <c r="D822" s="8" t="s">
        <v>2558</v>
      </c>
      <c r="E822" s="7" t="s">
        <v>2559</v>
      </c>
      <c r="F822" s="8"/>
      <c r="G822" s="8" t="s">
        <v>50</v>
      </c>
      <c r="H822" s="9" t="s">
        <v>50</v>
      </c>
      <c r="I822" s="9"/>
      <c r="J822" s="9" t="s">
        <v>168</v>
      </c>
      <c r="K822" s="9" t="s">
        <v>52</v>
      </c>
      <c r="L822" s="8"/>
      <c r="M822" s="8"/>
      <c r="N822" s="8"/>
      <c r="O822" s="8" t="s">
        <v>2560</v>
      </c>
      <c r="P822" s="10" t="n">
        <f aca="false">IF($H822="숙박",0,IF($H822=MID(P$1,3,20),IF($I822="",1,0.6),IF($I822=MID(P$1,3,20),0.4,0)))</f>
        <v>0</v>
      </c>
      <c r="Q822" s="10" t="n">
        <f aca="false">IF($H822="숙박",0,IF($H822=MID(Q$1,3,20),IF($I822="",1,0.6),IF($I822=MID(Q$1,3,20),0.4,0)))</f>
        <v>0</v>
      </c>
      <c r="R822" s="10" t="n">
        <f aca="false">IF($H822="숙박",0,IF($H822=MID(R$1,3,20),IF($I822="",1,0.6),IF($I822=MID(R$1,3,20),0.4,0)))</f>
        <v>0</v>
      </c>
      <c r="S822" s="10" t="n">
        <f aca="false">IF($H822="숙박",0,IF($H822=MID(S$1,3,20),IF($I822="",1,0.6),IF($I822=MID(S$1,3,20),0.4,0)))</f>
        <v>0</v>
      </c>
      <c r="T822" s="10" t="n">
        <f aca="false">IF($H822="숙박",0,IF($H822=MID(T$1,3,20),IF($I822="",1,0.6),IF($I822=MID(T$1,3,20),0.4,0)))</f>
        <v>1</v>
      </c>
      <c r="U822" s="10" t="n">
        <f aca="false">IF($H822="숙박",0,IF(ISNUMBER(SEARCH("야경",$J822)),1,0))</f>
        <v>0</v>
      </c>
      <c r="V822" s="10" t="n">
        <f aca="false">IF($H822="숙박",0,1)</f>
        <v>1</v>
      </c>
    </row>
    <row r="823" customFormat="false" ht="15" hidden="false" customHeight="false" outlineLevel="0" collapsed="false">
      <c r="A823" s="8" t="n">
        <v>822</v>
      </c>
      <c r="B823" s="8" t="s">
        <v>45</v>
      </c>
      <c r="C823" s="8" t="s">
        <v>2375</v>
      </c>
      <c r="D823" s="8" t="s">
        <v>2561</v>
      </c>
      <c r="E823" s="7" t="s">
        <v>2562</v>
      </c>
      <c r="F823" s="8"/>
      <c r="G823" s="8" t="s">
        <v>190</v>
      </c>
      <c r="H823" s="9" t="s">
        <v>190</v>
      </c>
      <c r="I823" s="9" t="s">
        <v>49</v>
      </c>
      <c r="J823" s="9"/>
      <c r="K823" s="9" t="s">
        <v>52</v>
      </c>
      <c r="L823" s="8"/>
      <c r="M823" s="8"/>
      <c r="N823" s="8" t="s">
        <v>483</v>
      </c>
      <c r="O823" s="8" t="s">
        <v>2563</v>
      </c>
      <c r="P823" s="10" t="n">
        <f aca="false">IF($H823="숙박",0,IF($H823=MID(P$1,3,20),IF($I823="",1,0.6),IF($I823=MID(P$1,3,20),0.4,0)))</f>
        <v>0.6</v>
      </c>
      <c r="Q823" s="10" t="n">
        <f aca="false">IF($H823="숙박",0,IF($H823=MID(Q$1,3,20),IF($I823="",1,0.6),IF($I823=MID(Q$1,3,20),0.4,0)))</f>
        <v>0.4</v>
      </c>
      <c r="R823" s="10" t="n">
        <f aca="false">IF($H823="숙박",0,IF($H823=MID(R$1,3,20),IF($I823="",1,0.6),IF($I823=MID(R$1,3,20),0.4,0)))</f>
        <v>0</v>
      </c>
      <c r="S823" s="10" t="n">
        <f aca="false">IF($H823="숙박",0,IF($H823=MID(S$1,3,20),IF($I823="",1,0.6),IF($I823=MID(S$1,3,20),0.4,0)))</f>
        <v>0</v>
      </c>
      <c r="T823" s="10" t="n">
        <f aca="false">IF($H823="숙박",0,IF($H823=MID(T$1,3,20),IF($I823="",1,0.6),IF($I823=MID(T$1,3,20),0.4,0)))</f>
        <v>0</v>
      </c>
      <c r="U823" s="10" t="n">
        <f aca="false">IF($H823="숙박",0,IF(ISNUMBER(SEARCH("야경",$J823)),1,0))</f>
        <v>0</v>
      </c>
      <c r="V823" s="10" t="n">
        <f aca="false">IF($H823="숙박",0,1)</f>
        <v>1</v>
      </c>
    </row>
    <row r="824" customFormat="false" ht="15" hidden="false" customHeight="false" outlineLevel="0" collapsed="false">
      <c r="A824" s="8" t="n">
        <v>823</v>
      </c>
      <c r="B824" s="8" t="s">
        <v>45</v>
      </c>
      <c r="C824" s="8" t="s">
        <v>301</v>
      </c>
      <c r="D824" s="8" t="s">
        <v>2564</v>
      </c>
      <c r="E824" s="7" t="s">
        <v>2565</v>
      </c>
      <c r="F824" s="8"/>
      <c r="G824" s="8" t="s">
        <v>49</v>
      </c>
      <c r="H824" s="9" t="s">
        <v>49</v>
      </c>
      <c r="I824" s="9"/>
      <c r="J824" s="9"/>
      <c r="K824" s="9" t="s">
        <v>52</v>
      </c>
      <c r="L824" s="8"/>
      <c r="M824" s="8"/>
      <c r="N824" s="8"/>
      <c r="O824" s="8" t="s">
        <v>2566</v>
      </c>
      <c r="P824" s="10" t="n">
        <f aca="false">IF($H824="숙박",0,IF($H824=MID(P$1,3,20),IF($I824="",1,0.6),IF($I824=MID(P$1,3,20),0.4,0)))</f>
        <v>0</v>
      </c>
      <c r="Q824" s="10" t="n">
        <f aca="false">IF($H824="숙박",0,IF($H824=MID(Q$1,3,20),IF($I824="",1,0.6),IF($I824=MID(Q$1,3,20),0.4,0)))</f>
        <v>1</v>
      </c>
      <c r="R824" s="10" t="n">
        <f aca="false">IF($H824="숙박",0,IF($H824=MID(R$1,3,20),IF($I824="",1,0.6),IF($I824=MID(R$1,3,20),0.4,0)))</f>
        <v>0</v>
      </c>
      <c r="S824" s="10" t="n">
        <f aca="false">IF($H824="숙박",0,IF($H824=MID(S$1,3,20),IF($I824="",1,0.6),IF($I824=MID(S$1,3,20),0.4,0)))</f>
        <v>0</v>
      </c>
      <c r="T824" s="10" t="n">
        <f aca="false">IF($H824="숙박",0,IF($H824=MID(T$1,3,20),IF($I824="",1,0.6),IF($I824=MID(T$1,3,20),0.4,0)))</f>
        <v>0</v>
      </c>
      <c r="U824" s="10" t="n">
        <f aca="false">IF($H824="숙박",0,IF(ISNUMBER(SEARCH("야경",$J824)),1,0))</f>
        <v>0</v>
      </c>
      <c r="V824" s="10" t="n">
        <f aca="false">IF($H824="숙박",0,1)</f>
        <v>1</v>
      </c>
    </row>
    <row r="825" customFormat="false" ht="15" hidden="false" customHeight="false" outlineLevel="0" collapsed="false">
      <c r="A825" s="8" t="n">
        <v>824</v>
      </c>
      <c r="B825" s="8" t="s">
        <v>45</v>
      </c>
      <c r="C825" s="8" t="s">
        <v>1740</v>
      </c>
      <c r="D825" s="8" t="s">
        <v>2567</v>
      </c>
      <c r="E825" s="7" t="s">
        <v>2568</v>
      </c>
      <c r="F825" s="8"/>
      <c r="G825" s="8" t="s">
        <v>190</v>
      </c>
      <c r="H825" s="9" t="s">
        <v>190</v>
      </c>
      <c r="I825" s="9"/>
      <c r="J825" s="9"/>
      <c r="K825" s="9" t="s">
        <v>191</v>
      </c>
      <c r="L825" s="8"/>
      <c r="M825" s="8"/>
      <c r="N825" s="8"/>
      <c r="O825" s="8" t="s">
        <v>2569</v>
      </c>
      <c r="P825" s="10" t="n">
        <f aca="false">IF($H825="숙박",0,IF($H825=MID(P$1,3,20),IF($I825="",1,0.6),IF($I825=MID(P$1,3,20),0.4,0)))</f>
        <v>1</v>
      </c>
      <c r="Q825" s="10" t="n">
        <f aca="false">IF($H825="숙박",0,IF($H825=MID(Q$1,3,20),IF($I825="",1,0.6),IF($I825=MID(Q$1,3,20),0.4,0)))</f>
        <v>0</v>
      </c>
      <c r="R825" s="10" t="n">
        <f aca="false">IF($H825="숙박",0,IF($H825=MID(R$1,3,20),IF($I825="",1,0.6),IF($I825=MID(R$1,3,20),0.4,0)))</f>
        <v>0</v>
      </c>
      <c r="S825" s="10" t="n">
        <f aca="false">IF($H825="숙박",0,IF($H825=MID(S$1,3,20),IF($I825="",1,0.6),IF($I825=MID(S$1,3,20),0.4,0)))</f>
        <v>0</v>
      </c>
      <c r="T825" s="10" t="n">
        <f aca="false">IF($H825="숙박",0,IF($H825=MID(T$1,3,20),IF($I825="",1,0.6),IF($I825=MID(T$1,3,20),0.4,0)))</f>
        <v>0</v>
      </c>
      <c r="U825" s="10" t="n">
        <f aca="false">IF($H825="숙박",0,IF(ISNUMBER(SEARCH("야경",$J825)),1,0))</f>
        <v>0</v>
      </c>
      <c r="V825" s="10" t="n">
        <f aca="false">IF($H825="숙박",0,1)</f>
        <v>1</v>
      </c>
    </row>
    <row r="826" customFormat="false" ht="15" hidden="false" customHeight="false" outlineLevel="0" collapsed="false">
      <c r="A826" s="8" t="n">
        <v>825</v>
      </c>
      <c r="B826" s="8" t="s">
        <v>45</v>
      </c>
      <c r="C826" s="8" t="s">
        <v>297</v>
      </c>
      <c r="D826" s="8" t="s">
        <v>2570</v>
      </c>
      <c r="E826" s="7" t="s">
        <v>2571</v>
      </c>
      <c r="F826" s="8"/>
      <c r="G826" s="8" t="s">
        <v>49</v>
      </c>
      <c r="H826" s="9" t="s">
        <v>49</v>
      </c>
      <c r="I826" s="9"/>
      <c r="J826" s="9"/>
      <c r="K826" s="9" t="s">
        <v>52</v>
      </c>
      <c r="L826" s="8"/>
      <c r="M826" s="8"/>
      <c r="N826" s="8"/>
      <c r="O826" s="8" t="s">
        <v>2572</v>
      </c>
      <c r="P826" s="10" t="n">
        <f aca="false">IF($H826="숙박",0,IF($H826=MID(P$1,3,20),IF($I826="",1,0.6),IF($I826=MID(P$1,3,20),0.4,0)))</f>
        <v>0</v>
      </c>
      <c r="Q826" s="10" t="n">
        <f aca="false">IF($H826="숙박",0,IF($H826=MID(Q$1,3,20),IF($I826="",1,0.6),IF($I826=MID(Q$1,3,20),0.4,0)))</f>
        <v>1</v>
      </c>
      <c r="R826" s="10" t="n">
        <f aca="false">IF($H826="숙박",0,IF($H826=MID(R$1,3,20),IF($I826="",1,0.6),IF($I826=MID(R$1,3,20),0.4,0)))</f>
        <v>0</v>
      </c>
      <c r="S826" s="10" t="n">
        <f aca="false">IF($H826="숙박",0,IF($H826=MID(S$1,3,20),IF($I826="",1,0.6),IF($I826=MID(S$1,3,20),0.4,0)))</f>
        <v>0</v>
      </c>
      <c r="T826" s="10" t="n">
        <f aca="false">IF($H826="숙박",0,IF($H826=MID(T$1,3,20),IF($I826="",1,0.6),IF($I826=MID(T$1,3,20),0.4,0)))</f>
        <v>0</v>
      </c>
      <c r="U826" s="10" t="n">
        <f aca="false">IF($H826="숙박",0,IF(ISNUMBER(SEARCH("야경",$J826)),1,0))</f>
        <v>0</v>
      </c>
      <c r="V826" s="10" t="n">
        <f aca="false">IF($H826="숙박",0,1)</f>
        <v>1</v>
      </c>
    </row>
    <row r="827" customFormat="false" ht="15" hidden="false" customHeight="false" outlineLevel="0" collapsed="false">
      <c r="A827" s="8" t="n">
        <v>826</v>
      </c>
      <c r="B827" s="8" t="s">
        <v>45</v>
      </c>
      <c r="C827" s="8"/>
      <c r="D827" s="8" t="s">
        <v>2573</v>
      </c>
      <c r="E827" s="7" t="s">
        <v>2574</v>
      </c>
      <c r="F827" s="8"/>
      <c r="G827" s="8"/>
      <c r="H827" s="9" t="s">
        <v>594</v>
      </c>
      <c r="I827" s="9"/>
      <c r="J827" s="9"/>
      <c r="K827" s="9"/>
      <c r="L827" s="8"/>
      <c r="M827" s="8"/>
      <c r="N827" s="8" t="s">
        <v>595</v>
      </c>
      <c r="O827" s="8"/>
      <c r="P827" s="10" t="n">
        <f aca="false">IF($H827="숙박",0,IF($H827=MID(P$1,3,20),IF($I827="",1,0.6),IF($I827=MID(P$1,3,20),0.4,0)))</f>
        <v>0</v>
      </c>
      <c r="Q827" s="10" t="n">
        <f aca="false">IF($H827="숙박",0,IF($H827=MID(Q$1,3,20),IF($I827="",1,0.6),IF($I827=MID(Q$1,3,20),0.4,0)))</f>
        <v>0</v>
      </c>
      <c r="R827" s="10" t="n">
        <f aca="false">IF($H827="숙박",0,IF($H827=MID(R$1,3,20),IF($I827="",1,0.6),IF($I827=MID(R$1,3,20),0.4,0)))</f>
        <v>0</v>
      </c>
      <c r="S827" s="10" t="n">
        <f aca="false">IF($H827="숙박",0,IF($H827=MID(S$1,3,20),IF($I827="",1,0.6),IF($I827=MID(S$1,3,20),0.4,0)))</f>
        <v>0</v>
      </c>
      <c r="T827" s="10" t="n">
        <f aca="false">IF($H827="숙박",0,IF($H827=MID(T$1,3,20),IF($I827="",1,0.6),IF($I827=MID(T$1,3,20),0.4,0)))</f>
        <v>0</v>
      </c>
      <c r="U827" s="10" t="n">
        <f aca="false">IF($H827="숙박",0,IF(ISNUMBER(SEARCH("야경",$J827)),1,0))</f>
        <v>0</v>
      </c>
      <c r="V827" s="10" t="n">
        <f aca="false">IF($H827="숙박",0,1)</f>
        <v>0</v>
      </c>
    </row>
    <row r="828" customFormat="false" ht="15" hidden="false" customHeight="false" outlineLevel="0" collapsed="false">
      <c r="A828" s="8" t="n">
        <v>827</v>
      </c>
      <c r="B828" s="8" t="s">
        <v>45</v>
      </c>
      <c r="C828" s="8" t="s">
        <v>297</v>
      </c>
      <c r="D828" s="8" t="s">
        <v>2575</v>
      </c>
      <c r="E828" s="7" t="s">
        <v>2576</v>
      </c>
      <c r="F828" s="8"/>
      <c r="G828" s="8" t="s">
        <v>216</v>
      </c>
      <c r="H828" s="9" t="s">
        <v>216</v>
      </c>
      <c r="I828" s="9"/>
      <c r="J828" s="9"/>
      <c r="K828" s="9" t="s">
        <v>191</v>
      </c>
      <c r="L828" s="8"/>
      <c r="M828" s="8"/>
      <c r="N828" s="8"/>
      <c r="O828" s="8" t="s">
        <v>2577</v>
      </c>
      <c r="P828" s="10" t="n">
        <f aca="false">IF($H828="숙박",0,IF($H828=MID(P$1,3,20),IF($I828="",1,0.6),IF($I828=MID(P$1,3,20),0.4,0)))</f>
        <v>0</v>
      </c>
      <c r="Q828" s="10" t="n">
        <f aca="false">IF($H828="숙박",0,IF($H828=MID(Q$1,3,20),IF($I828="",1,0.6),IF($I828=MID(Q$1,3,20),0.4,0)))</f>
        <v>0</v>
      </c>
      <c r="R828" s="10" t="n">
        <f aca="false">IF($H828="숙박",0,IF($H828=MID(R$1,3,20),IF($I828="",1,0.6),IF($I828=MID(R$1,3,20),0.4,0)))</f>
        <v>0</v>
      </c>
      <c r="S828" s="10" t="n">
        <f aca="false">IF($H828="숙박",0,IF($H828=MID(S$1,3,20),IF($I828="",1,0.6),IF($I828=MID(S$1,3,20),0.4,0)))</f>
        <v>1</v>
      </c>
      <c r="T828" s="10" t="n">
        <f aca="false">IF($H828="숙박",0,IF($H828=MID(T$1,3,20),IF($I828="",1,0.6),IF($I828=MID(T$1,3,20),0.4,0)))</f>
        <v>0</v>
      </c>
      <c r="U828" s="10" t="n">
        <f aca="false">IF($H828="숙박",0,IF(ISNUMBER(SEARCH("야경",$J828)),1,0))</f>
        <v>0</v>
      </c>
      <c r="V828" s="10" t="n">
        <f aca="false">IF($H828="숙박",0,1)</f>
        <v>1</v>
      </c>
    </row>
    <row r="829" customFormat="false" ht="15" hidden="false" customHeight="false" outlineLevel="0" collapsed="false">
      <c r="A829" s="8" t="n">
        <v>828</v>
      </c>
      <c r="B829" s="8" t="s">
        <v>45</v>
      </c>
      <c r="C829" s="8" t="s">
        <v>388</v>
      </c>
      <c r="D829" s="8" t="s">
        <v>2578</v>
      </c>
      <c r="E829" s="7" t="s">
        <v>2579</v>
      </c>
      <c r="F829" s="8"/>
      <c r="G829" s="8" t="s">
        <v>49</v>
      </c>
      <c r="H829" s="9" t="s">
        <v>49</v>
      </c>
      <c r="I829" s="9"/>
      <c r="J829" s="9"/>
      <c r="K829" s="9" t="s">
        <v>52</v>
      </c>
      <c r="L829" s="8"/>
      <c r="M829" s="8"/>
      <c r="N829" s="8"/>
      <c r="O829" s="8" t="s">
        <v>2580</v>
      </c>
      <c r="P829" s="10" t="n">
        <f aca="false">IF($H829="숙박",0,IF($H829=MID(P$1,3,20),IF($I829="",1,0.6),IF($I829=MID(P$1,3,20),0.4,0)))</f>
        <v>0</v>
      </c>
      <c r="Q829" s="10" t="n">
        <f aca="false">IF($H829="숙박",0,IF($H829=MID(Q$1,3,20),IF($I829="",1,0.6),IF($I829=MID(Q$1,3,20),0.4,0)))</f>
        <v>1</v>
      </c>
      <c r="R829" s="10" t="n">
        <f aca="false">IF($H829="숙박",0,IF($H829=MID(R$1,3,20),IF($I829="",1,0.6),IF($I829=MID(R$1,3,20),0.4,0)))</f>
        <v>0</v>
      </c>
      <c r="S829" s="10" t="n">
        <f aca="false">IF($H829="숙박",0,IF($H829=MID(S$1,3,20),IF($I829="",1,0.6),IF($I829=MID(S$1,3,20),0.4,0)))</f>
        <v>0</v>
      </c>
      <c r="T829" s="10" t="n">
        <f aca="false">IF($H829="숙박",0,IF($H829=MID(T$1,3,20),IF($I829="",1,0.6),IF($I829=MID(T$1,3,20),0.4,0)))</f>
        <v>0</v>
      </c>
      <c r="U829" s="10" t="n">
        <f aca="false">IF($H829="숙박",0,IF(ISNUMBER(SEARCH("야경",$J829)),1,0))</f>
        <v>0</v>
      </c>
      <c r="V829" s="10" t="n">
        <f aca="false">IF($H829="숙박",0,1)</f>
        <v>1</v>
      </c>
    </row>
    <row r="830" customFormat="false" ht="15" hidden="false" customHeight="false" outlineLevel="0" collapsed="false">
      <c r="A830" s="8" t="n">
        <v>829</v>
      </c>
      <c r="B830" s="8" t="s">
        <v>45</v>
      </c>
      <c r="C830" s="8" t="s">
        <v>2581</v>
      </c>
      <c r="D830" s="8" t="s">
        <v>2582</v>
      </c>
      <c r="E830" s="7" t="s">
        <v>2583</v>
      </c>
      <c r="F830" s="8"/>
      <c r="G830" s="8" t="s">
        <v>190</v>
      </c>
      <c r="H830" s="9" t="s">
        <v>190</v>
      </c>
      <c r="I830" s="9"/>
      <c r="J830" s="9"/>
      <c r="K830" s="9" t="s">
        <v>191</v>
      </c>
      <c r="L830" s="8"/>
      <c r="M830" s="8"/>
      <c r="N830" s="8"/>
      <c r="O830" s="8" t="s">
        <v>2584</v>
      </c>
      <c r="P830" s="10" t="n">
        <f aca="false">IF($H830="숙박",0,IF($H830=MID(P$1,3,20),IF($I830="",1,0.6),IF($I830=MID(P$1,3,20),0.4,0)))</f>
        <v>1</v>
      </c>
      <c r="Q830" s="10" t="n">
        <f aca="false">IF($H830="숙박",0,IF($H830=MID(Q$1,3,20),IF($I830="",1,0.6),IF($I830=MID(Q$1,3,20),0.4,0)))</f>
        <v>0</v>
      </c>
      <c r="R830" s="10" t="n">
        <f aca="false">IF($H830="숙박",0,IF($H830=MID(R$1,3,20),IF($I830="",1,0.6),IF($I830=MID(R$1,3,20),0.4,0)))</f>
        <v>0</v>
      </c>
      <c r="S830" s="10" t="n">
        <f aca="false">IF($H830="숙박",0,IF($H830=MID(S$1,3,20),IF($I830="",1,0.6),IF($I830=MID(S$1,3,20),0.4,0)))</f>
        <v>0</v>
      </c>
      <c r="T830" s="10" t="n">
        <f aca="false">IF($H830="숙박",0,IF($H830=MID(T$1,3,20),IF($I830="",1,0.6),IF($I830=MID(T$1,3,20),0.4,0)))</f>
        <v>0</v>
      </c>
      <c r="U830" s="10" t="n">
        <f aca="false">IF($H830="숙박",0,IF(ISNUMBER(SEARCH("야경",$J830)),1,0))</f>
        <v>0</v>
      </c>
      <c r="V830" s="10" t="n">
        <f aca="false">IF($H830="숙박",0,1)</f>
        <v>1</v>
      </c>
    </row>
    <row r="831" customFormat="false" ht="15" hidden="false" customHeight="false" outlineLevel="0" collapsed="false">
      <c r="A831" s="8" t="n">
        <v>830</v>
      </c>
      <c r="B831" s="8" t="s">
        <v>45</v>
      </c>
      <c r="C831" s="8" t="s">
        <v>2304</v>
      </c>
      <c r="D831" s="8" t="s">
        <v>2585</v>
      </c>
      <c r="E831" s="7" t="s">
        <v>2586</v>
      </c>
      <c r="F831" s="8"/>
      <c r="G831" s="8" t="s">
        <v>184</v>
      </c>
      <c r="H831" s="9" t="s">
        <v>184</v>
      </c>
      <c r="I831" s="9"/>
      <c r="J831" s="9"/>
      <c r="K831" s="9" t="s">
        <v>191</v>
      </c>
      <c r="L831" s="8"/>
      <c r="M831" s="8"/>
      <c r="N831" s="8"/>
      <c r="O831" s="8" t="s">
        <v>2587</v>
      </c>
      <c r="P831" s="10" t="n">
        <f aca="false">IF($H831="숙박",0,IF($H831=MID(P$1,3,20),IF($I831="",1,0.6),IF($I831=MID(P$1,3,20),0.4,0)))</f>
        <v>0</v>
      </c>
      <c r="Q831" s="10" t="n">
        <f aca="false">IF($H831="숙박",0,IF($H831=MID(Q$1,3,20),IF($I831="",1,0.6),IF($I831=MID(Q$1,3,20),0.4,0)))</f>
        <v>0</v>
      </c>
      <c r="R831" s="10" t="n">
        <f aca="false">IF($H831="숙박",0,IF($H831=MID(R$1,3,20),IF($I831="",1,0.6),IF($I831=MID(R$1,3,20),0.4,0)))</f>
        <v>1</v>
      </c>
      <c r="S831" s="10" t="n">
        <f aca="false">IF($H831="숙박",0,IF($H831=MID(S$1,3,20),IF($I831="",1,0.6),IF($I831=MID(S$1,3,20),0.4,0)))</f>
        <v>0</v>
      </c>
      <c r="T831" s="10" t="n">
        <f aca="false">IF($H831="숙박",0,IF($H831=MID(T$1,3,20),IF($I831="",1,0.6),IF($I831=MID(T$1,3,20),0.4,0)))</f>
        <v>0</v>
      </c>
      <c r="U831" s="10" t="n">
        <f aca="false">IF($H831="숙박",0,IF(ISNUMBER(SEARCH("야경",$J831)),1,0))</f>
        <v>0</v>
      </c>
      <c r="V831" s="10" t="n">
        <f aca="false">IF($H831="숙박",0,1)</f>
        <v>1</v>
      </c>
    </row>
    <row r="832" customFormat="false" ht="15" hidden="false" customHeight="false" outlineLevel="0" collapsed="false">
      <c r="A832" s="8" t="n">
        <v>831</v>
      </c>
      <c r="B832" s="8" t="s">
        <v>45</v>
      </c>
      <c r="C832" s="8" t="s">
        <v>297</v>
      </c>
      <c r="D832" s="8" t="s">
        <v>2588</v>
      </c>
      <c r="E832" s="7" t="s">
        <v>2589</v>
      </c>
      <c r="F832" s="8"/>
      <c r="G832" s="8" t="s">
        <v>184</v>
      </c>
      <c r="H832" s="9" t="s">
        <v>184</v>
      </c>
      <c r="I832" s="9" t="s">
        <v>190</v>
      </c>
      <c r="J832" s="9"/>
      <c r="K832" s="9" t="s">
        <v>52</v>
      </c>
      <c r="L832" s="8"/>
      <c r="M832" s="8"/>
      <c r="N832" s="8" t="s">
        <v>483</v>
      </c>
      <c r="O832" s="8" t="s">
        <v>2590</v>
      </c>
      <c r="P832" s="10" t="n">
        <f aca="false">IF($H832="숙박",0,IF($H832=MID(P$1,3,20),IF($I832="",1,0.6),IF($I832=MID(P$1,3,20),0.4,0)))</f>
        <v>0.4</v>
      </c>
      <c r="Q832" s="10" t="n">
        <f aca="false">IF($H832="숙박",0,IF($H832=MID(Q$1,3,20),IF($I832="",1,0.6),IF($I832=MID(Q$1,3,20),0.4,0)))</f>
        <v>0</v>
      </c>
      <c r="R832" s="10" t="n">
        <f aca="false">IF($H832="숙박",0,IF($H832=MID(R$1,3,20),IF($I832="",1,0.6),IF($I832=MID(R$1,3,20),0.4,0)))</f>
        <v>0.6</v>
      </c>
      <c r="S832" s="10" t="n">
        <f aca="false">IF($H832="숙박",0,IF($H832=MID(S$1,3,20),IF($I832="",1,0.6),IF($I832=MID(S$1,3,20),0.4,0)))</f>
        <v>0</v>
      </c>
      <c r="T832" s="10" t="n">
        <f aca="false">IF($H832="숙박",0,IF($H832=MID(T$1,3,20),IF($I832="",1,0.6),IF($I832=MID(T$1,3,20),0.4,0)))</f>
        <v>0</v>
      </c>
      <c r="U832" s="10" t="n">
        <f aca="false">IF($H832="숙박",0,IF(ISNUMBER(SEARCH("야경",$J832)),1,0))</f>
        <v>0</v>
      </c>
      <c r="V832" s="10" t="n">
        <f aca="false">IF($H832="숙박",0,1)</f>
        <v>1</v>
      </c>
    </row>
    <row r="833" customFormat="false" ht="15" hidden="false" customHeight="false" outlineLevel="0" collapsed="false">
      <c r="A833" s="8" t="n">
        <v>832</v>
      </c>
      <c r="B833" s="8" t="s">
        <v>45</v>
      </c>
      <c r="C833" s="8" t="s">
        <v>331</v>
      </c>
      <c r="D833" s="8" t="s">
        <v>2591</v>
      </c>
      <c r="E833" s="7" t="s">
        <v>2592</v>
      </c>
      <c r="F833" s="8"/>
      <c r="G833" s="8" t="s">
        <v>50</v>
      </c>
      <c r="H833" s="9" t="s">
        <v>50</v>
      </c>
      <c r="I833" s="9" t="s">
        <v>49</v>
      </c>
      <c r="J833" s="9" t="s">
        <v>168</v>
      </c>
      <c r="K833" s="9" t="s">
        <v>52</v>
      </c>
      <c r="L833" s="8"/>
      <c r="M833" s="8"/>
      <c r="N833" s="8" t="s">
        <v>483</v>
      </c>
      <c r="O833" s="8" t="s">
        <v>2593</v>
      </c>
      <c r="P833" s="10" t="n">
        <f aca="false">IF($H833="숙박",0,IF($H833=MID(P$1,3,20),IF($I833="",1,0.6),IF($I833=MID(P$1,3,20),0.4,0)))</f>
        <v>0</v>
      </c>
      <c r="Q833" s="10" t="n">
        <f aca="false">IF($H833="숙박",0,IF($H833=MID(Q$1,3,20),IF($I833="",1,0.6),IF($I833=MID(Q$1,3,20),0.4,0)))</f>
        <v>0.4</v>
      </c>
      <c r="R833" s="10" t="n">
        <f aca="false">IF($H833="숙박",0,IF($H833=MID(R$1,3,20),IF($I833="",1,0.6),IF($I833=MID(R$1,3,20),0.4,0)))</f>
        <v>0</v>
      </c>
      <c r="S833" s="10" t="n">
        <f aca="false">IF($H833="숙박",0,IF($H833=MID(S$1,3,20),IF($I833="",1,0.6),IF($I833=MID(S$1,3,20),0.4,0)))</f>
        <v>0</v>
      </c>
      <c r="T833" s="10" t="n">
        <f aca="false">IF($H833="숙박",0,IF($H833=MID(T$1,3,20),IF($I833="",1,0.6),IF($I833=MID(T$1,3,20),0.4,0)))</f>
        <v>0.6</v>
      </c>
      <c r="U833" s="10" t="n">
        <f aca="false">IF($H833="숙박",0,IF(ISNUMBER(SEARCH("야경",$J833)),1,0))</f>
        <v>0</v>
      </c>
      <c r="V833" s="10" t="n">
        <f aca="false">IF($H833="숙박",0,1)</f>
        <v>1</v>
      </c>
    </row>
    <row r="834" customFormat="false" ht="15" hidden="false" customHeight="false" outlineLevel="0" collapsed="false">
      <c r="A834" s="8" t="n">
        <v>833</v>
      </c>
      <c r="B834" s="8" t="s">
        <v>45</v>
      </c>
      <c r="C834" s="8" t="s">
        <v>1844</v>
      </c>
      <c r="D834" s="8" t="s">
        <v>2594</v>
      </c>
      <c r="E834" s="7" t="s">
        <v>2595</v>
      </c>
      <c r="F834" s="8"/>
      <c r="G834" s="8" t="s">
        <v>190</v>
      </c>
      <c r="H834" s="9" t="s">
        <v>190</v>
      </c>
      <c r="I834" s="9"/>
      <c r="J834" s="9"/>
      <c r="K834" s="9" t="s">
        <v>191</v>
      </c>
      <c r="L834" s="8"/>
      <c r="M834" s="8"/>
      <c r="N834" s="8"/>
      <c r="O834" s="8" t="s">
        <v>2596</v>
      </c>
      <c r="P834" s="10" t="n">
        <f aca="false">IF($H834="숙박",0,IF($H834=MID(P$1,3,20),IF($I834="",1,0.6),IF($I834=MID(P$1,3,20),0.4,0)))</f>
        <v>1</v>
      </c>
      <c r="Q834" s="10" t="n">
        <f aca="false">IF($H834="숙박",0,IF($H834=MID(Q$1,3,20),IF($I834="",1,0.6),IF($I834=MID(Q$1,3,20),0.4,0)))</f>
        <v>0</v>
      </c>
      <c r="R834" s="10" t="n">
        <f aca="false">IF($H834="숙박",0,IF($H834=MID(R$1,3,20),IF($I834="",1,0.6),IF($I834=MID(R$1,3,20),0.4,0)))</f>
        <v>0</v>
      </c>
      <c r="S834" s="10" t="n">
        <f aca="false">IF($H834="숙박",0,IF($H834=MID(S$1,3,20),IF($I834="",1,0.6),IF($I834=MID(S$1,3,20),0.4,0)))</f>
        <v>0</v>
      </c>
      <c r="T834" s="10" t="n">
        <f aca="false">IF($H834="숙박",0,IF($H834=MID(T$1,3,20),IF($I834="",1,0.6),IF($I834=MID(T$1,3,20),0.4,0)))</f>
        <v>0</v>
      </c>
      <c r="U834" s="10" t="n">
        <f aca="false">IF($H834="숙박",0,IF(ISNUMBER(SEARCH("야경",$J834)),1,0))</f>
        <v>0</v>
      </c>
      <c r="V834" s="10" t="n">
        <f aca="false">IF($H834="숙박",0,1)</f>
        <v>1</v>
      </c>
    </row>
    <row r="835" customFormat="false" ht="15" hidden="false" customHeight="false" outlineLevel="0" collapsed="false">
      <c r="A835" s="8" t="n">
        <v>834</v>
      </c>
      <c r="B835" s="8" t="s">
        <v>45</v>
      </c>
      <c r="C835" s="8" t="s">
        <v>2597</v>
      </c>
      <c r="D835" s="8" t="s">
        <v>2598</v>
      </c>
      <c r="E835" s="7" t="s">
        <v>2599</v>
      </c>
      <c r="F835" s="8"/>
      <c r="G835" s="8" t="s">
        <v>190</v>
      </c>
      <c r="H835" s="9" t="s">
        <v>190</v>
      </c>
      <c r="I835" s="9"/>
      <c r="J835" s="9"/>
      <c r="K835" s="9" t="s">
        <v>191</v>
      </c>
      <c r="L835" s="8"/>
      <c r="M835" s="8"/>
      <c r="N835" s="8"/>
      <c r="O835" s="8" t="s">
        <v>2600</v>
      </c>
      <c r="P835" s="10" t="n">
        <f aca="false">IF($H835="숙박",0,IF($H835=MID(P$1,3,20),IF($I835="",1,0.6),IF($I835=MID(P$1,3,20),0.4,0)))</f>
        <v>1</v>
      </c>
      <c r="Q835" s="10" t="n">
        <f aca="false">IF($H835="숙박",0,IF($H835=MID(Q$1,3,20),IF($I835="",1,0.6),IF($I835=MID(Q$1,3,20),0.4,0)))</f>
        <v>0</v>
      </c>
      <c r="R835" s="10" t="n">
        <f aca="false">IF($H835="숙박",0,IF($H835=MID(R$1,3,20),IF($I835="",1,0.6),IF($I835=MID(R$1,3,20),0.4,0)))</f>
        <v>0</v>
      </c>
      <c r="S835" s="10" t="n">
        <f aca="false">IF($H835="숙박",0,IF($H835=MID(S$1,3,20),IF($I835="",1,0.6),IF($I835=MID(S$1,3,20),0.4,0)))</f>
        <v>0</v>
      </c>
      <c r="T835" s="10" t="n">
        <f aca="false">IF($H835="숙박",0,IF($H835=MID(T$1,3,20),IF($I835="",1,0.6),IF($I835=MID(T$1,3,20),0.4,0)))</f>
        <v>0</v>
      </c>
      <c r="U835" s="10" t="n">
        <f aca="false">IF($H835="숙박",0,IF(ISNUMBER(SEARCH("야경",$J835)),1,0))</f>
        <v>0</v>
      </c>
      <c r="V835" s="10" t="n">
        <f aca="false">IF($H835="숙박",0,1)</f>
        <v>1</v>
      </c>
    </row>
    <row r="836" customFormat="false" ht="15" hidden="false" customHeight="false" outlineLevel="0" collapsed="false">
      <c r="A836" s="8" t="n">
        <v>835</v>
      </c>
      <c r="B836" s="8" t="s">
        <v>45</v>
      </c>
      <c r="C836" s="8"/>
      <c r="D836" s="8" t="s">
        <v>2601</v>
      </c>
      <c r="E836" s="7" t="s">
        <v>2602</v>
      </c>
      <c r="F836" s="8"/>
      <c r="G836" s="8"/>
      <c r="H836" s="9" t="s">
        <v>594</v>
      </c>
      <c r="I836" s="9"/>
      <c r="J836" s="9"/>
      <c r="K836" s="9"/>
      <c r="L836" s="8"/>
      <c r="M836" s="8"/>
      <c r="N836" s="8" t="s">
        <v>595</v>
      </c>
      <c r="O836" s="8"/>
      <c r="P836" s="10" t="n">
        <f aca="false">IF($H836="숙박",0,IF($H836=MID(P$1,3,20),IF($I836="",1,0.6),IF($I836=MID(P$1,3,20),0.4,0)))</f>
        <v>0</v>
      </c>
      <c r="Q836" s="10" t="n">
        <f aca="false">IF($H836="숙박",0,IF($H836=MID(Q$1,3,20),IF($I836="",1,0.6),IF($I836=MID(Q$1,3,20),0.4,0)))</f>
        <v>0</v>
      </c>
      <c r="R836" s="10" t="n">
        <f aca="false">IF($H836="숙박",0,IF($H836=MID(R$1,3,20),IF($I836="",1,0.6),IF($I836=MID(R$1,3,20),0.4,0)))</f>
        <v>0</v>
      </c>
      <c r="S836" s="10" t="n">
        <f aca="false">IF($H836="숙박",0,IF($H836=MID(S$1,3,20),IF($I836="",1,0.6),IF($I836=MID(S$1,3,20),0.4,0)))</f>
        <v>0</v>
      </c>
      <c r="T836" s="10" t="n">
        <f aca="false">IF($H836="숙박",0,IF($H836=MID(T$1,3,20),IF($I836="",1,0.6),IF($I836=MID(T$1,3,20),0.4,0)))</f>
        <v>0</v>
      </c>
      <c r="U836" s="10" t="n">
        <f aca="false">IF($H836="숙박",0,IF(ISNUMBER(SEARCH("야경",$J836)),1,0))</f>
        <v>0</v>
      </c>
      <c r="V836" s="10" t="n">
        <f aca="false">IF($H836="숙박",0,1)</f>
        <v>0</v>
      </c>
    </row>
    <row r="837" customFormat="false" ht="15" hidden="false" customHeight="false" outlineLevel="0" collapsed="false">
      <c r="A837" s="8" t="n">
        <v>836</v>
      </c>
      <c r="B837" s="8" t="s">
        <v>45</v>
      </c>
      <c r="C837" s="8" t="s">
        <v>297</v>
      </c>
      <c r="D837" s="8" t="s">
        <v>2603</v>
      </c>
      <c r="E837" s="7" t="s">
        <v>2604</v>
      </c>
      <c r="F837" s="8"/>
      <c r="G837" s="8" t="s">
        <v>190</v>
      </c>
      <c r="H837" s="9" t="s">
        <v>190</v>
      </c>
      <c r="I837" s="9"/>
      <c r="J837" s="9" t="s">
        <v>1361</v>
      </c>
      <c r="K837" s="9" t="s">
        <v>191</v>
      </c>
      <c r="L837" s="8"/>
      <c r="M837" s="8"/>
      <c r="N837" s="8"/>
      <c r="O837" s="7" t="s">
        <v>2605</v>
      </c>
      <c r="P837" s="10" t="n">
        <f aca="false">IF($H837="숙박",0,IF($H837=MID(P$1,3,20),IF($I837="",1,0.6),IF($I837=MID(P$1,3,20),0.4,0)))</f>
        <v>1</v>
      </c>
      <c r="Q837" s="10" t="n">
        <f aca="false">IF($H837="숙박",0,IF($H837=MID(Q$1,3,20),IF($I837="",1,0.6),IF($I837=MID(Q$1,3,20),0.4,0)))</f>
        <v>0</v>
      </c>
      <c r="R837" s="10" t="n">
        <f aca="false">IF($H837="숙박",0,IF($H837=MID(R$1,3,20),IF($I837="",1,0.6),IF($I837=MID(R$1,3,20),0.4,0)))</f>
        <v>0</v>
      </c>
      <c r="S837" s="10" t="n">
        <f aca="false">IF($H837="숙박",0,IF($H837=MID(S$1,3,20),IF($I837="",1,0.6),IF($I837=MID(S$1,3,20),0.4,0)))</f>
        <v>0</v>
      </c>
      <c r="T837" s="10" t="n">
        <f aca="false">IF($H837="숙박",0,IF($H837=MID(T$1,3,20),IF($I837="",1,0.6),IF($I837=MID(T$1,3,20),0.4,0)))</f>
        <v>0</v>
      </c>
      <c r="U837" s="10" t="n">
        <f aca="false">IF($H837="숙박",0,IF(ISNUMBER(SEARCH("야경",$J837)),1,0))</f>
        <v>0</v>
      </c>
      <c r="V837" s="10" t="n">
        <f aca="false">IF($H837="숙박",0,1)</f>
        <v>1</v>
      </c>
    </row>
    <row r="838" customFormat="false" ht="15" hidden="false" customHeight="false" outlineLevel="0" collapsed="false">
      <c r="A838" s="8" t="n">
        <v>837</v>
      </c>
      <c r="B838" s="8" t="s">
        <v>45</v>
      </c>
      <c r="C838" s="8" t="s">
        <v>1336</v>
      </c>
      <c r="D838" s="8" t="s">
        <v>2606</v>
      </c>
      <c r="E838" s="7" t="s">
        <v>2607</v>
      </c>
      <c r="F838" s="8"/>
      <c r="G838" s="8" t="s">
        <v>190</v>
      </c>
      <c r="H838" s="9" t="s">
        <v>190</v>
      </c>
      <c r="I838" s="9"/>
      <c r="J838" s="9"/>
      <c r="K838" s="9" t="s">
        <v>191</v>
      </c>
      <c r="L838" s="8"/>
      <c r="M838" s="8"/>
      <c r="N838" s="8"/>
      <c r="O838" s="8" t="s">
        <v>2608</v>
      </c>
      <c r="P838" s="10" t="n">
        <f aca="false">IF($H838="숙박",0,IF($H838=MID(P$1,3,20),IF($I838="",1,0.6),IF($I838=MID(P$1,3,20),0.4,0)))</f>
        <v>1</v>
      </c>
      <c r="Q838" s="10" t="n">
        <f aca="false">IF($H838="숙박",0,IF($H838=MID(Q$1,3,20),IF($I838="",1,0.6),IF($I838=MID(Q$1,3,20),0.4,0)))</f>
        <v>0</v>
      </c>
      <c r="R838" s="10" t="n">
        <f aca="false">IF($H838="숙박",0,IF($H838=MID(R$1,3,20),IF($I838="",1,0.6),IF($I838=MID(R$1,3,20),0.4,0)))</f>
        <v>0</v>
      </c>
      <c r="S838" s="10" t="n">
        <f aca="false">IF($H838="숙박",0,IF($H838=MID(S$1,3,20),IF($I838="",1,0.6),IF($I838=MID(S$1,3,20),0.4,0)))</f>
        <v>0</v>
      </c>
      <c r="T838" s="10" t="n">
        <f aca="false">IF($H838="숙박",0,IF($H838=MID(T$1,3,20),IF($I838="",1,0.6),IF($I838=MID(T$1,3,20),0.4,0)))</f>
        <v>0</v>
      </c>
      <c r="U838" s="10" t="n">
        <f aca="false">IF($H838="숙박",0,IF(ISNUMBER(SEARCH("야경",$J838)),1,0))</f>
        <v>0</v>
      </c>
      <c r="V838" s="10" t="n">
        <f aca="false">IF($H838="숙박",0,1)</f>
        <v>1</v>
      </c>
    </row>
    <row r="839" customFormat="false" ht="15" hidden="false" customHeight="false" outlineLevel="0" collapsed="false">
      <c r="A839" s="8" t="n">
        <v>838</v>
      </c>
      <c r="B839" s="8" t="s">
        <v>45</v>
      </c>
      <c r="C839" s="8" t="s">
        <v>1636</v>
      </c>
      <c r="D839" s="8" t="s">
        <v>2609</v>
      </c>
      <c r="E839" s="7" t="s">
        <v>2610</v>
      </c>
      <c r="F839" s="8"/>
      <c r="G839" s="8" t="s">
        <v>49</v>
      </c>
      <c r="H839" s="9" t="s">
        <v>49</v>
      </c>
      <c r="I839" s="9" t="s">
        <v>216</v>
      </c>
      <c r="J839" s="9"/>
      <c r="K839" s="9" t="s">
        <v>52</v>
      </c>
      <c r="L839" s="8"/>
      <c r="M839" s="8"/>
      <c r="N839" s="8" t="s">
        <v>483</v>
      </c>
      <c r="O839" s="8" t="s">
        <v>2611</v>
      </c>
      <c r="P839" s="10" t="n">
        <f aca="false">IF($H839="숙박",0,IF($H839=MID(P$1,3,20),IF($I839="",1,0.6),IF($I839=MID(P$1,3,20),0.4,0)))</f>
        <v>0</v>
      </c>
      <c r="Q839" s="10" t="n">
        <f aca="false">IF($H839="숙박",0,IF($H839=MID(Q$1,3,20),IF($I839="",1,0.6),IF($I839=MID(Q$1,3,20),0.4,0)))</f>
        <v>0.6</v>
      </c>
      <c r="R839" s="10" t="n">
        <f aca="false">IF($H839="숙박",0,IF($H839=MID(R$1,3,20),IF($I839="",1,0.6),IF($I839=MID(R$1,3,20),0.4,0)))</f>
        <v>0</v>
      </c>
      <c r="S839" s="10" t="n">
        <f aca="false">IF($H839="숙박",0,IF($H839=MID(S$1,3,20),IF($I839="",1,0.6),IF($I839=MID(S$1,3,20),0.4,0)))</f>
        <v>0.4</v>
      </c>
      <c r="T839" s="10" t="n">
        <f aca="false">IF($H839="숙박",0,IF($H839=MID(T$1,3,20),IF($I839="",1,0.6),IF($I839=MID(T$1,3,20),0.4,0)))</f>
        <v>0</v>
      </c>
      <c r="U839" s="10" t="n">
        <f aca="false">IF($H839="숙박",0,IF(ISNUMBER(SEARCH("야경",$J839)),1,0))</f>
        <v>0</v>
      </c>
      <c r="V839" s="10" t="n">
        <f aca="false">IF($H839="숙박",0,1)</f>
        <v>1</v>
      </c>
    </row>
    <row r="840" customFormat="false" ht="15" hidden="false" customHeight="false" outlineLevel="0" collapsed="false">
      <c r="A840" s="8" t="n">
        <v>839</v>
      </c>
      <c r="B840" s="8" t="s">
        <v>45</v>
      </c>
      <c r="C840" s="8" t="s">
        <v>1363</v>
      </c>
      <c r="D840" s="8" t="s">
        <v>2612</v>
      </c>
      <c r="E840" s="7" t="s">
        <v>2613</v>
      </c>
      <c r="F840" s="8"/>
      <c r="G840" s="8" t="s">
        <v>49</v>
      </c>
      <c r="H840" s="9" t="s">
        <v>49</v>
      </c>
      <c r="I840" s="9"/>
      <c r="J840" s="9"/>
      <c r="K840" s="9" t="s">
        <v>52</v>
      </c>
      <c r="L840" s="8"/>
      <c r="M840" s="8"/>
      <c r="N840" s="8"/>
      <c r="O840" s="8" t="s">
        <v>2614</v>
      </c>
      <c r="P840" s="10" t="n">
        <f aca="false">IF($H840="숙박",0,IF($H840=MID(P$1,3,20),IF($I840="",1,0.6),IF($I840=MID(P$1,3,20),0.4,0)))</f>
        <v>0</v>
      </c>
      <c r="Q840" s="10" t="n">
        <f aca="false">IF($H840="숙박",0,IF($H840=MID(Q$1,3,20),IF($I840="",1,0.6),IF($I840=MID(Q$1,3,20),0.4,0)))</f>
        <v>1</v>
      </c>
      <c r="R840" s="10" t="n">
        <f aca="false">IF($H840="숙박",0,IF($H840=MID(R$1,3,20),IF($I840="",1,0.6),IF($I840=MID(R$1,3,20),0.4,0)))</f>
        <v>0</v>
      </c>
      <c r="S840" s="10" t="n">
        <f aca="false">IF($H840="숙박",0,IF($H840=MID(S$1,3,20),IF($I840="",1,0.6),IF($I840=MID(S$1,3,20),0.4,0)))</f>
        <v>0</v>
      </c>
      <c r="T840" s="10" t="n">
        <f aca="false">IF($H840="숙박",0,IF($H840=MID(T$1,3,20),IF($I840="",1,0.6),IF($I840=MID(T$1,3,20),0.4,0)))</f>
        <v>0</v>
      </c>
      <c r="U840" s="10" t="n">
        <f aca="false">IF($H840="숙박",0,IF(ISNUMBER(SEARCH("야경",$J840)),1,0))</f>
        <v>0</v>
      </c>
      <c r="V840" s="10" t="n">
        <f aca="false">IF($H840="숙박",0,1)</f>
        <v>1</v>
      </c>
    </row>
    <row r="841" customFormat="false" ht="15" hidden="false" customHeight="false" outlineLevel="0" collapsed="false">
      <c r="A841" s="8" t="n">
        <v>840</v>
      </c>
      <c r="B841" s="8" t="s">
        <v>45</v>
      </c>
      <c r="C841" s="8"/>
      <c r="D841" s="8" t="s">
        <v>2615</v>
      </c>
      <c r="E841" s="7" t="s">
        <v>2616</v>
      </c>
      <c r="F841" s="8"/>
      <c r="G841" s="8"/>
      <c r="H841" s="9" t="s">
        <v>594</v>
      </c>
      <c r="I841" s="9"/>
      <c r="J841" s="9"/>
      <c r="K841" s="9"/>
      <c r="L841" s="8"/>
      <c r="M841" s="8"/>
      <c r="N841" s="8" t="s">
        <v>595</v>
      </c>
      <c r="O841" s="8"/>
      <c r="P841" s="10" t="n">
        <f aca="false">IF($H841="숙박",0,IF($H841=MID(P$1,3,20),IF($I841="",1,0.6),IF($I841=MID(P$1,3,20),0.4,0)))</f>
        <v>0</v>
      </c>
      <c r="Q841" s="10" t="n">
        <f aca="false">IF($H841="숙박",0,IF($H841=MID(Q$1,3,20),IF($I841="",1,0.6),IF($I841=MID(Q$1,3,20),0.4,0)))</f>
        <v>0</v>
      </c>
      <c r="R841" s="10" t="n">
        <f aca="false">IF($H841="숙박",0,IF($H841=MID(R$1,3,20),IF($I841="",1,0.6),IF($I841=MID(R$1,3,20),0.4,0)))</f>
        <v>0</v>
      </c>
      <c r="S841" s="10" t="n">
        <f aca="false">IF($H841="숙박",0,IF($H841=MID(S$1,3,20),IF($I841="",1,0.6),IF($I841=MID(S$1,3,20),0.4,0)))</f>
        <v>0</v>
      </c>
      <c r="T841" s="10" t="n">
        <f aca="false">IF($H841="숙박",0,IF($H841=MID(T$1,3,20),IF($I841="",1,0.6),IF($I841=MID(T$1,3,20),0.4,0)))</f>
        <v>0</v>
      </c>
      <c r="U841" s="10" t="n">
        <f aca="false">IF($H841="숙박",0,IF(ISNUMBER(SEARCH("야경",$J841)),1,0))</f>
        <v>0</v>
      </c>
      <c r="V841" s="10" t="n">
        <f aca="false">IF($H841="숙박",0,1)</f>
        <v>0</v>
      </c>
    </row>
    <row r="842" customFormat="false" ht="15" hidden="false" customHeight="false" outlineLevel="0" collapsed="false">
      <c r="A842" s="8" t="n">
        <v>841</v>
      </c>
      <c r="B842" s="8" t="s">
        <v>45</v>
      </c>
      <c r="C842" s="8"/>
      <c r="D842" s="8" t="s">
        <v>2617</v>
      </c>
      <c r="E842" s="7" t="s">
        <v>2618</v>
      </c>
      <c r="F842" s="8"/>
      <c r="G842" s="8"/>
      <c r="H842" s="9" t="s">
        <v>594</v>
      </c>
      <c r="I842" s="9"/>
      <c r="J842" s="9"/>
      <c r="K842" s="9"/>
      <c r="L842" s="8"/>
      <c r="M842" s="8"/>
      <c r="N842" s="8" t="s">
        <v>595</v>
      </c>
      <c r="O842" s="8"/>
      <c r="P842" s="10" t="n">
        <f aca="false">IF($H842="숙박",0,IF($H842=MID(P$1,3,20),IF($I842="",1,0.6),IF($I842=MID(P$1,3,20),0.4,0)))</f>
        <v>0</v>
      </c>
      <c r="Q842" s="10" t="n">
        <f aca="false">IF($H842="숙박",0,IF($H842=MID(Q$1,3,20),IF($I842="",1,0.6),IF($I842=MID(Q$1,3,20),0.4,0)))</f>
        <v>0</v>
      </c>
      <c r="R842" s="10" t="n">
        <f aca="false">IF($H842="숙박",0,IF($H842=MID(R$1,3,20),IF($I842="",1,0.6),IF($I842=MID(R$1,3,20),0.4,0)))</f>
        <v>0</v>
      </c>
      <c r="S842" s="10" t="n">
        <f aca="false">IF($H842="숙박",0,IF($H842=MID(S$1,3,20),IF($I842="",1,0.6),IF($I842=MID(S$1,3,20),0.4,0)))</f>
        <v>0</v>
      </c>
      <c r="T842" s="10" t="n">
        <f aca="false">IF($H842="숙박",0,IF($H842=MID(T$1,3,20),IF($I842="",1,0.6),IF($I842=MID(T$1,3,20),0.4,0)))</f>
        <v>0</v>
      </c>
      <c r="U842" s="10" t="n">
        <f aca="false">IF($H842="숙박",0,IF(ISNUMBER(SEARCH("야경",$J842)),1,0))</f>
        <v>0</v>
      </c>
      <c r="V842" s="10" t="n">
        <f aca="false">IF($H842="숙박",0,1)</f>
        <v>0</v>
      </c>
    </row>
    <row r="843" customFormat="false" ht="15" hidden="false" customHeight="false" outlineLevel="0" collapsed="false">
      <c r="A843" s="8" t="n">
        <v>842</v>
      </c>
      <c r="B843" s="8" t="s">
        <v>45</v>
      </c>
      <c r="C843" s="8" t="s">
        <v>1512</v>
      </c>
      <c r="D843" s="8" t="s">
        <v>2619</v>
      </c>
      <c r="E843" s="7" t="s">
        <v>2620</v>
      </c>
      <c r="F843" s="8"/>
      <c r="G843" s="8" t="s">
        <v>184</v>
      </c>
      <c r="H843" s="9" t="s">
        <v>184</v>
      </c>
      <c r="I843" s="9" t="s">
        <v>216</v>
      </c>
      <c r="J843" s="9" t="s">
        <v>479</v>
      </c>
      <c r="K843" s="9" t="s">
        <v>52</v>
      </c>
      <c r="L843" s="8"/>
      <c r="M843" s="8"/>
      <c r="N843" s="8" t="s">
        <v>483</v>
      </c>
      <c r="O843" s="8" t="s">
        <v>2621</v>
      </c>
      <c r="P843" s="10" t="n">
        <f aca="false">IF($H843="숙박",0,IF($H843=MID(P$1,3,20),IF($I843="",1,0.6),IF($I843=MID(P$1,3,20),0.4,0)))</f>
        <v>0</v>
      </c>
      <c r="Q843" s="10" t="n">
        <f aca="false">IF($H843="숙박",0,IF($H843=MID(Q$1,3,20),IF($I843="",1,0.6),IF($I843=MID(Q$1,3,20),0.4,0)))</f>
        <v>0</v>
      </c>
      <c r="R843" s="10" t="n">
        <f aca="false">IF($H843="숙박",0,IF($H843=MID(R$1,3,20),IF($I843="",1,0.6),IF($I843=MID(R$1,3,20),0.4,0)))</f>
        <v>0.6</v>
      </c>
      <c r="S843" s="10" t="n">
        <f aca="false">IF($H843="숙박",0,IF($H843=MID(S$1,3,20),IF($I843="",1,0.6),IF($I843=MID(S$1,3,20),0.4,0)))</f>
        <v>0.4</v>
      </c>
      <c r="T843" s="10" t="n">
        <f aca="false">IF($H843="숙박",0,IF($H843=MID(T$1,3,20),IF($I843="",1,0.6),IF($I843=MID(T$1,3,20),0.4,0)))</f>
        <v>0</v>
      </c>
      <c r="U843" s="10" t="n">
        <f aca="false">IF($H843="숙박",0,IF(ISNUMBER(SEARCH("야경",$J843)),1,0))</f>
        <v>0</v>
      </c>
      <c r="V843" s="10" t="n">
        <f aca="false">IF($H843="숙박",0,1)</f>
        <v>1</v>
      </c>
    </row>
    <row r="844" customFormat="false" ht="15" hidden="false" customHeight="false" outlineLevel="0" collapsed="false">
      <c r="A844" s="8" t="n">
        <v>843</v>
      </c>
      <c r="B844" s="8" t="s">
        <v>45</v>
      </c>
      <c r="C844" s="8" t="s">
        <v>579</v>
      </c>
      <c r="D844" s="8" t="s">
        <v>2622</v>
      </c>
      <c r="E844" s="7" t="s">
        <v>2623</v>
      </c>
      <c r="F844" s="8"/>
      <c r="G844" s="8" t="s">
        <v>184</v>
      </c>
      <c r="H844" s="9" t="s">
        <v>184</v>
      </c>
      <c r="I844" s="9"/>
      <c r="J844" s="9"/>
      <c r="K844" s="9" t="s">
        <v>191</v>
      </c>
      <c r="L844" s="8"/>
      <c r="M844" s="8"/>
      <c r="N844" s="8"/>
      <c r="O844" s="7" t="s">
        <v>2624</v>
      </c>
      <c r="P844" s="10" t="n">
        <f aca="false">IF($H844="숙박",0,IF($H844=MID(P$1,3,20),IF($I844="",1,0.6),IF($I844=MID(P$1,3,20),0.4,0)))</f>
        <v>0</v>
      </c>
      <c r="Q844" s="10" t="n">
        <f aca="false">IF($H844="숙박",0,IF($H844=MID(Q$1,3,20),IF($I844="",1,0.6),IF($I844=MID(Q$1,3,20),0.4,0)))</f>
        <v>0</v>
      </c>
      <c r="R844" s="10" t="n">
        <f aca="false">IF($H844="숙박",0,IF($H844=MID(R$1,3,20),IF($I844="",1,0.6),IF($I844=MID(R$1,3,20),0.4,0)))</f>
        <v>1</v>
      </c>
      <c r="S844" s="10" t="n">
        <f aca="false">IF($H844="숙박",0,IF($H844=MID(S$1,3,20),IF($I844="",1,0.6),IF($I844=MID(S$1,3,20),0.4,0)))</f>
        <v>0</v>
      </c>
      <c r="T844" s="10" t="n">
        <f aca="false">IF($H844="숙박",0,IF($H844=MID(T$1,3,20),IF($I844="",1,0.6),IF($I844=MID(T$1,3,20),0.4,0)))</f>
        <v>0</v>
      </c>
      <c r="U844" s="10" t="n">
        <f aca="false">IF($H844="숙박",0,IF(ISNUMBER(SEARCH("야경",$J844)),1,0))</f>
        <v>0</v>
      </c>
      <c r="V844" s="10" t="n">
        <f aca="false">IF($H844="숙박",0,1)</f>
        <v>1</v>
      </c>
    </row>
    <row r="845" customFormat="false" ht="15" hidden="false" customHeight="false" outlineLevel="0" collapsed="false">
      <c r="A845" s="8" t="n">
        <v>844</v>
      </c>
      <c r="B845" s="8" t="s">
        <v>45</v>
      </c>
      <c r="C845" s="8" t="s">
        <v>579</v>
      </c>
      <c r="D845" s="8" t="s">
        <v>2625</v>
      </c>
      <c r="E845" s="7" t="s">
        <v>2626</v>
      </c>
      <c r="F845" s="8"/>
      <c r="G845" s="8" t="s">
        <v>216</v>
      </c>
      <c r="H845" s="9" t="s">
        <v>216</v>
      </c>
      <c r="I845" s="9"/>
      <c r="J845" s="9"/>
      <c r="K845" s="9" t="s">
        <v>191</v>
      </c>
      <c r="L845" s="8"/>
      <c r="M845" s="8"/>
      <c r="N845" s="8"/>
      <c r="O845" s="8" t="s">
        <v>2627</v>
      </c>
      <c r="P845" s="10" t="n">
        <f aca="false">IF($H845="숙박",0,IF($H845=MID(P$1,3,20),IF($I845="",1,0.6),IF($I845=MID(P$1,3,20),0.4,0)))</f>
        <v>0</v>
      </c>
      <c r="Q845" s="10" t="n">
        <f aca="false">IF($H845="숙박",0,IF($H845=MID(Q$1,3,20),IF($I845="",1,0.6),IF($I845=MID(Q$1,3,20),0.4,0)))</f>
        <v>0</v>
      </c>
      <c r="R845" s="10" t="n">
        <f aca="false">IF($H845="숙박",0,IF($H845=MID(R$1,3,20),IF($I845="",1,0.6),IF($I845=MID(R$1,3,20),0.4,0)))</f>
        <v>0</v>
      </c>
      <c r="S845" s="10" t="n">
        <f aca="false">IF($H845="숙박",0,IF($H845=MID(S$1,3,20),IF($I845="",1,0.6),IF($I845=MID(S$1,3,20),0.4,0)))</f>
        <v>1</v>
      </c>
      <c r="T845" s="10" t="n">
        <f aca="false">IF($H845="숙박",0,IF($H845=MID(T$1,3,20),IF($I845="",1,0.6),IF($I845=MID(T$1,3,20),0.4,0)))</f>
        <v>0</v>
      </c>
      <c r="U845" s="10" t="n">
        <f aca="false">IF($H845="숙박",0,IF(ISNUMBER(SEARCH("야경",$J845)),1,0))</f>
        <v>0</v>
      </c>
      <c r="V845" s="10" t="n">
        <f aca="false">IF($H845="숙박",0,1)</f>
        <v>1</v>
      </c>
    </row>
    <row r="846" customFormat="false" ht="15" hidden="false" customHeight="false" outlineLevel="0" collapsed="false">
      <c r="A846" s="8" t="n">
        <v>845</v>
      </c>
      <c r="B846" s="8" t="s">
        <v>45</v>
      </c>
      <c r="C846" s="8" t="s">
        <v>579</v>
      </c>
      <c r="D846" s="8" t="s">
        <v>2628</v>
      </c>
      <c r="E846" s="7" t="s">
        <v>2629</v>
      </c>
      <c r="F846" s="8"/>
      <c r="G846" s="8" t="s">
        <v>216</v>
      </c>
      <c r="H846" s="9" t="s">
        <v>216</v>
      </c>
      <c r="I846" s="9"/>
      <c r="J846" s="9"/>
      <c r="K846" s="9" t="s">
        <v>191</v>
      </c>
      <c r="L846" s="8"/>
      <c r="M846" s="8"/>
      <c r="N846" s="8"/>
      <c r="O846" s="8" t="s">
        <v>2630</v>
      </c>
      <c r="P846" s="10" t="n">
        <f aca="false">IF($H846="숙박",0,IF($H846=MID(P$1,3,20),IF($I846="",1,0.6),IF($I846=MID(P$1,3,20),0.4,0)))</f>
        <v>0</v>
      </c>
      <c r="Q846" s="10" t="n">
        <f aca="false">IF($H846="숙박",0,IF($H846=MID(Q$1,3,20),IF($I846="",1,0.6),IF($I846=MID(Q$1,3,20),0.4,0)))</f>
        <v>0</v>
      </c>
      <c r="R846" s="10" t="n">
        <f aca="false">IF($H846="숙박",0,IF($H846=MID(R$1,3,20),IF($I846="",1,0.6),IF($I846=MID(R$1,3,20),0.4,0)))</f>
        <v>0</v>
      </c>
      <c r="S846" s="10" t="n">
        <f aca="false">IF($H846="숙박",0,IF($H846=MID(S$1,3,20),IF($I846="",1,0.6),IF($I846=MID(S$1,3,20),0.4,0)))</f>
        <v>1</v>
      </c>
      <c r="T846" s="10" t="n">
        <f aca="false">IF($H846="숙박",0,IF($H846=MID(T$1,3,20),IF($I846="",1,0.6),IF($I846=MID(T$1,3,20),0.4,0)))</f>
        <v>0</v>
      </c>
      <c r="U846" s="10" t="n">
        <f aca="false">IF($H846="숙박",0,IF(ISNUMBER(SEARCH("야경",$J846)),1,0))</f>
        <v>0</v>
      </c>
      <c r="V846" s="10" t="n">
        <f aca="false">IF($H846="숙박",0,1)</f>
        <v>1</v>
      </c>
    </row>
    <row r="847" customFormat="false" ht="15" hidden="false" customHeight="false" outlineLevel="0" collapsed="false">
      <c r="A847" s="8" t="n">
        <v>846</v>
      </c>
      <c r="B847" s="8" t="s">
        <v>45</v>
      </c>
      <c r="C847" s="8"/>
      <c r="D847" s="8" t="s">
        <v>2631</v>
      </c>
      <c r="E847" s="7" t="s">
        <v>2632</v>
      </c>
      <c r="F847" s="8"/>
      <c r="G847" s="8"/>
      <c r="H847" s="9" t="s">
        <v>594</v>
      </c>
      <c r="I847" s="9"/>
      <c r="J847" s="9"/>
      <c r="K847" s="9"/>
      <c r="L847" s="8"/>
      <c r="M847" s="8"/>
      <c r="N847" s="8" t="s">
        <v>595</v>
      </c>
      <c r="O847" s="8"/>
      <c r="P847" s="10" t="n">
        <f aca="false">IF($H847="숙박",0,IF($H847=MID(P$1,3,20),IF($I847="",1,0.6),IF($I847=MID(P$1,3,20),0.4,0)))</f>
        <v>0</v>
      </c>
      <c r="Q847" s="10" t="n">
        <f aca="false">IF($H847="숙박",0,IF($H847=MID(Q$1,3,20),IF($I847="",1,0.6),IF($I847=MID(Q$1,3,20),0.4,0)))</f>
        <v>0</v>
      </c>
      <c r="R847" s="10" t="n">
        <f aca="false">IF($H847="숙박",0,IF($H847=MID(R$1,3,20),IF($I847="",1,0.6),IF($I847=MID(R$1,3,20),0.4,0)))</f>
        <v>0</v>
      </c>
      <c r="S847" s="10" t="n">
        <f aca="false">IF($H847="숙박",0,IF($H847=MID(S$1,3,20),IF($I847="",1,0.6),IF($I847=MID(S$1,3,20),0.4,0)))</f>
        <v>0</v>
      </c>
      <c r="T847" s="10" t="n">
        <f aca="false">IF($H847="숙박",0,IF($H847=MID(T$1,3,20),IF($I847="",1,0.6),IF($I847=MID(T$1,3,20),0.4,0)))</f>
        <v>0</v>
      </c>
      <c r="U847" s="10" t="n">
        <f aca="false">IF($H847="숙박",0,IF(ISNUMBER(SEARCH("야경",$J847)),1,0))</f>
        <v>0</v>
      </c>
      <c r="V847" s="10" t="n">
        <f aca="false">IF($H847="숙박",0,1)</f>
        <v>0</v>
      </c>
    </row>
    <row r="848" customFormat="false" ht="15" hidden="false" customHeight="false" outlineLevel="0" collapsed="false">
      <c r="A848" s="8" t="n">
        <v>847</v>
      </c>
      <c r="B848" s="8" t="s">
        <v>45</v>
      </c>
      <c r="C848" s="8" t="s">
        <v>579</v>
      </c>
      <c r="D848" s="8" t="s">
        <v>2633</v>
      </c>
      <c r="E848" s="7" t="s">
        <v>2634</v>
      </c>
      <c r="F848" s="8"/>
      <c r="G848" s="8" t="s">
        <v>190</v>
      </c>
      <c r="H848" s="9" t="s">
        <v>190</v>
      </c>
      <c r="I848" s="9"/>
      <c r="J848" s="9" t="s">
        <v>1361</v>
      </c>
      <c r="K848" s="9" t="s">
        <v>191</v>
      </c>
      <c r="L848" s="8"/>
      <c r="M848" s="8"/>
      <c r="N848" s="8"/>
      <c r="O848" s="8" t="s">
        <v>2635</v>
      </c>
      <c r="P848" s="10" t="n">
        <f aca="false">IF($H848="숙박",0,IF($H848=MID(P$1,3,20),IF($I848="",1,0.6),IF($I848=MID(P$1,3,20),0.4,0)))</f>
        <v>1</v>
      </c>
      <c r="Q848" s="10" t="n">
        <f aca="false">IF($H848="숙박",0,IF($H848=MID(Q$1,3,20),IF($I848="",1,0.6),IF($I848=MID(Q$1,3,20),0.4,0)))</f>
        <v>0</v>
      </c>
      <c r="R848" s="10" t="n">
        <f aca="false">IF($H848="숙박",0,IF($H848=MID(R$1,3,20),IF($I848="",1,0.6),IF($I848=MID(R$1,3,20),0.4,0)))</f>
        <v>0</v>
      </c>
      <c r="S848" s="10" t="n">
        <f aca="false">IF($H848="숙박",0,IF($H848=MID(S$1,3,20),IF($I848="",1,0.6),IF($I848=MID(S$1,3,20),0.4,0)))</f>
        <v>0</v>
      </c>
      <c r="T848" s="10" t="n">
        <f aca="false">IF($H848="숙박",0,IF($H848=MID(T$1,3,20),IF($I848="",1,0.6),IF($I848=MID(T$1,3,20),0.4,0)))</f>
        <v>0</v>
      </c>
      <c r="U848" s="10" t="n">
        <f aca="false">IF($H848="숙박",0,IF(ISNUMBER(SEARCH("야경",$J848)),1,0))</f>
        <v>0</v>
      </c>
      <c r="V848" s="10" t="n">
        <f aca="false">IF($H848="숙박",0,1)</f>
        <v>1</v>
      </c>
    </row>
    <row r="849" customFormat="false" ht="15" hidden="false" customHeight="false" outlineLevel="0" collapsed="false">
      <c r="A849" s="8" t="n">
        <v>848</v>
      </c>
      <c r="B849" s="8" t="s">
        <v>45</v>
      </c>
      <c r="C849" s="8" t="s">
        <v>1822</v>
      </c>
      <c r="D849" s="8" t="s">
        <v>2636</v>
      </c>
      <c r="E849" s="7" t="s">
        <v>2637</v>
      </c>
      <c r="F849" s="8"/>
      <c r="G849" s="8" t="s">
        <v>49</v>
      </c>
      <c r="H849" s="9" t="s">
        <v>49</v>
      </c>
      <c r="I849" s="9"/>
      <c r="J849" s="9"/>
      <c r="K849" s="9" t="s">
        <v>52</v>
      </c>
      <c r="L849" s="8"/>
      <c r="M849" s="8"/>
      <c r="N849" s="8"/>
      <c r="O849" s="8" t="s">
        <v>2638</v>
      </c>
      <c r="P849" s="10" t="n">
        <f aca="false">IF($H849="숙박",0,IF($H849=MID(P$1,3,20),IF($I849="",1,0.6),IF($I849=MID(P$1,3,20),0.4,0)))</f>
        <v>0</v>
      </c>
      <c r="Q849" s="10" t="n">
        <f aca="false">IF($H849="숙박",0,IF($H849=MID(Q$1,3,20),IF($I849="",1,0.6),IF($I849=MID(Q$1,3,20),0.4,0)))</f>
        <v>1</v>
      </c>
      <c r="R849" s="10" t="n">
        <f aca="false">IF($H849="숙박",0,IF($H849=MID(R$1,3,20),IF($I849="",1,0.6),IF($I849=MID(R$1,3,20),0.4,0)))</f>
        <v>0</v>
      </c>
      <c r="S849" s="10" t="n">
        <f aca="false">IF($H849="숙박",0,IF($H849=MID(S$1,3,20),IF($I849="",1,0.6),IF($I849=MID(S$1,3,20),0.4,0)))</f>
        <v>0</v>
      </c>
      <c r="T849" s="10" t="n">
        <f aca="false">IF($H849="숙박",0,IF($H849=MID(T$1,3,20),IF($I849="",1,0.6),IF($I849=MID(T$1,3,20),0.4,0)))</f>
        <v>0</v>
      </c>
      <c r="U849" s="10" t="n">
        <f aca="false">IF($H849="숙박",0,IF(ISNUMBER(SEARCH("야경",$J849)),1,0))</f>
        <v>0</v>
      </c>
      <c r="V849" s="10" t="n">
        <f aca="false">IF($H849="숙박",0,1)</f>
        <v>1</v>
      </c>
    </row>
    <row r="850" customFormat="false" ht="15" hidden="false" customHeight="false" outlineLevel="0" collapsed="false">
      <c r="A850" s="8" t="n">
        <v>849</v>
      </c>
      <c r="B850" s="8" t="s">
        <v>45</v>
      </c>
      <c r="C850" s="8" t="s">
        <v>678</v>
      </c>
      <c r="D850" s="8" t="s">
        <v>2639</v>
      </c>
      <c r="E850" s="7" t="s">
        <v>2640</v>
      </c>
      <c r="F850" s="8"/>
      <c r="G850" s="8" t="s">
        <v>49</v>
      </c>
      <c r="H850" s="9" t="s">
        <v>49</v>
      </c>
      <c r="I850" s="9"/>
      <c r="J850" s="9"/>
      <c r="K850" s="9" t="s">
        <v>52</v>
      </c>
      <c r="L850" s="8"/>
      <c r="M850" s="8"/>
      <c r="N850" s="8"/>
      <c r="O850" s="8" t="s">
        <v>2641</v>
      </c>
      <c r="P850" s="10" t="n">
        <f aca="false">IF($H850="숙박",0,IF($H850=MID(P$1,3,20),IF($I850="",1,0.6),IF($I850=MID(P$1,3,20),0.4,0)))</f>
        <v>0</v>
      </c>
      <c r="Q850" s="10" t="n">
        <f aca="false">IF($H850="숙박",0,IF($H850=MID(Q$1,3,20),IF($I850="",1,0.6),IF($I850=MID(Q$1,3,20),0.4,0)))</f>
        <v>1</v>
      </c>
      <c r="R850" s="10" t="n">
        <f aca="false">IF($H850="숙박",0,IF($H850=MID(R$1,3,20),IF($I850="",1,0.6),IF($I850=MID(R$1,3,20),0.4,0)))</f>
        <v>0</v>
      </c>
      <c r="S850" s="10" t="n">
        <f aca="false">IF($H850="숙박",0,IF($H850=MID(S$1,3,20),IF($I850="",1,0.6),IF($I850=MID(S$1,3,20),0.4,0)))</f>
        <v>0</v>
      </c>
      <c r="T850" s="10" t="n">
        <f aca="false">IF($H850="숙박",0,IF($H850=MID(T$1,3,20),IF($I850="",1,0.6),IF($I850=MID(T$1,3,20),0.4,0)))</f>
        <v>0</v>
      </c>
      <c r="U850" s="10" t="n">
        <f aca="false">IF($H850="숙박",0,IF(ISNUMBER(SEARCH("야경",$J850)),1,0))</f>
        <v>0</v>
      </c>
      <c r="V850" s="10" t="n">
        <f aca="false">IF($H850="숙박",0,1)</f>
        <v>1</v>
      </c>
    </row>
    <row r="851" customFormat="false" ht="15" hidden="false" customHeight="false" outlineLevel="0" collapsed="false">
      <c r="A851" s="8" t="n">
        <v>850</v>
      </c>
      <c r="B851" s="8" t="s">
        <v>45</v>
      </c>
      <c r="C851" s="8" t="s">
        <v>1740</v>
      </c>
      <c r="D851" s="8" t="s">
        <v>2642</v>
      </c>
      <c r="E851" s="7" t="s">
        <v>2643</v>
      </c>
      <c r="F851" s="8"/>
      <c r="G851" s="8" t="s">
        <v>184</v>
      </c>
      <c r="H851" s="9" t="s">
        <v>184</v>
      </c>
      <c r="I851" s="9"/>
      <c r="J851" s="9"/>
      <c r="K851" s="9" t="s">
        <v>191</v>
      </c>
      <c r="L851" s="8"/>
      <c r="M851" s="8"/>
      <c r="N851" s="8"/>
      <c r="O851" s="7" t="s">
        <v>2644</v>
      </c>
      <c r="P851" s="10" t="n">
        <f aca="false">IF($H851="숙박",0,IF($H851=MID(P$1,3,20),IF($I851="",1,0.6),IF($I851=MID(P$1,3,20),0.4,0)))</f>
        <v>0</v>
      </c>
      <c r="Q851" s="10" t="n">
        <f aca="false">IF($H851="숙박",0,IF($H851=MID(Q$1,3,20),IF($I851="",1,0.6),IF($I851=MID(Q$1,3,20),0.4,0)))</f>
        <v>0</v>
      </c>
      <c r="R851" s="10" t="n">
        <f aca="false">IF($H851="숙박",0,IF($H851=MID(R$1,3,20),IF($I851="",1,0.6),IF($I851=MID(R$1,3,20),0.4,0)))</f>
        <v>1</v>
      </c>
      <c r="S851" s="10" t="n">
        <f aca="false">IF($H851="숙박",0,IF($H851=MID(S$1,3,20),IF($I851="",1,0.6),IF($I851=MID(S$1,3,20),0.4,0)))</f>
        <v>0</v>
      </c>
      <c r="T851" s="10" t="n">
        <f aca="false">IF($H851="숙박",0,IF($H851=MID(T$1,3,20),IF($I851="",1,0.6),IF($I851=MID(T$1,3,20),0.4,0)))</f>
        <v>0</v>
      </c>
      <c r="U851" s="10" t="n">
        <f aca="false">IF($H851="숙박",0,IF(ISNUMBER(SEARCH("야경",$J851)),1,0))</f>
        <v>0</v>
      </c>
      <c r="V851" s="10" t="n">
        <f aca="false">IF($H851="숙박",0,1)</f>
        <v>1</v>
      </c>
    </row>
    <row r="852" customFormat="false" ht="15" hidden="false" customHeight="false" outlineLevel="0" collapsed="false">
      <c r="A852" s="8" t="n">
        <v>851</v>
      </c>
      <c r="B852" s="8" t="s">
        <v>45</v>
      </c>
      <c r="C852" s="8" t="s">
        <v>1740</v>
      </c>
      <c r="D852" s="8" t="s">
        <v>2645</v>
      </c>
      <c r="E852" s="7" t="s">
        <v>2646</v>
      </c>
      <c r="F852" s="8"/>
      <c r="G852" s="8" t="s">
        <v>49</v>
      </c>
      <c r="H852" s="9" t="s">
        <v>49</v>
      </c>
      <c r="I852" s="9"/>
      <c r="J852" s="9"/>
      <c r="K852" s="9" t="s">
        <v>52</v>
      </c>
      <c r="L852" s="8"/>
      <c r="M852" s="8"/>
      <c r="N852" s="8"/>
      <c r="O852" s="8" t="s">
        <v>2647</v>
      </c>
      <c r="P852" s="10" t="n">
        <f aca="false">IF($H852="숙박",0,IF($H852=MID(P$1,3,20),IF($I852="",1,0.6),IF($I852=MID(P$1,3,20),0.4,0)))</f>
        <v>0</v>
      </c>
      <c r="Q852" s="10" t="n">
        <f aca="false">IF($H852="숙박",0,IF($H852=MID(Q$1,3,20),IF($I852="",1,0.6),IF($I852=MID(Q$1,3,20),0.4,0)))</f>
        <v>1</v>
      </c>
      <c r="R852" s="10" t="n">
        <f aca="false">IF($H852="숙박",0,IF($H852=MID(R$1,3,20),IF($I852="",1,0.6),IF($I852=MID(R$1,3,20),0.4,0)))</f>
        <v>0</v>
      </c>
      <c r="S852" s="10" t="n">
        <f aca="false">IF($H852="숙박",0,IF($H852=MID(S$1,3,20),IF($I852="",1,0.6),IF($I852=MID(S$1,3,20),0.4,0)))</f>
        <v>0</v>
      </c>
      <c r="T852" s="10" t="n">
        <f aca="false">IF($H852="숙박",0,IF($H852=MID(T$1,3,20),IF($I852="",1,0.6),IF($I852=MID(T$1,3,20),0.4,0)))</f>
        <v>0</v>
      </c>
      <c r="U852" s="10" t="n">
        <f aca="false">IF($H852="숙박",0,IF(ISNUMBER(SEARCH("야경",$J852)),1,0))</f>
        <v>0</v>
      </c>
      <c r="V852" s="10" t="n">
        <f aca="false">IF($H852="숙박",0,1)</f>
        <v>1</v>
      </c>
    </row>
    <row r="853" customFormat="false" ht="15" hidden="false" customHeight="false" outlineLevel="0" collapsed="false">
      <c r="A853" s="8" t="n">
        <v>852</v>
      </c>
      <c r="B853" s="8" t="s">
        <v>45</v>
      </c>
      <c r="C853" s="8" t="s">
        <v>1740</v>
      </c>
      <c r="D853" s="8" t="s">
        <v>2648</v>
      </c>
      <c r="E853" s="7" t="s">
        <v>2649</v>
      </c>
      <c r="F853" s="8"/>
      <c r="G853" s="8" t="s">
        <v>49</v>
      </c>
      <c r="H853" s="9" t="s">
        <v>49</v>
      </c>
      <c r="I853" s="9"/>
      <c r="J853" s="9"/>
      <c r="K853" s="9" t="s">
        <v>52</v>
      </c>
      <c r="L853" s="8"/>
      <c r="M853" s="8"/>
      <c r="N853" s="8"/>
      <c r="O853" s="8" t="s">
        <v>2650</v>
      </c>
      <c r="P853" s="10" t="n">
        <f aca="false">IF($H853="숙박",0,IF($H853=MID(P$1,3,20),IF($I853="",1,0.6),IF($I853=MID(P$1,3,20),0.4,0)))</f>
        <v>0</v>
      </c>
      <c r="Q853" s="10" t="n">
        <f aca="false">IF($H853="숙박",0,IF($H853=MID(Q$1,3,20),IF($I853="",1,0.6),IF($I853=MID(Q$1,3,20),0.4,0)))</f>
        <v>1</v>
      </c>
      <c r="R853" s="10" t="n">
        <f aca="false">IF($H853="숙박",0,IF($H853=MID(R$1,3,20),IF($I853="",1,0.6),IF($I853=MID(R$1,3,20),0.4,0)))</f>
        <v>0</v>
      </c>
      <c r="S853" s="10" t="n">
        <f aca="false">IF($H853="숙박",0,IF($H853=MID(S$1,3,20),IF($I853="",1,0.6),IF($I853=MID(S$1,3,20),0.4,0)))</f>
        <v>0</v>
      </c>
      <c r="T853" s="10" t="n">
        <f aca="false">IF($H853="숙박",0,IF($H853=MID(T$1,3,20),IF($I853="",1,0.6),IF($I853=MID(T$1,3,20),0.4,0)))</f>
        <v>0</v>
      </c>
      <c r="U853" s="10" t="n">
        <f aca="false">IF($H853="숙박",0,IF(ISNUMBER(SEARCH("야경",$J853)),1,0))</f>
        <v>0</v>
      </c>
      <c r="V853" s="10" t="n">
        <f aca="false">IF($H853="숙박",0,1)</f>
        <v>1</v>
      </c>
    </row>
    <row r="854" customFormat="false" ht="15" hidden="false" customHeight="false" outlineLevel="0" collapsed="false">
      <c r="A854" s="8" t="n">
        <v>853</v>
      </c>
      <c r="B854" s="8" t="s">
        <v>45</v>
      </c>
      <c r="C854" s="8"/>
      <c r="D854" s="8" t="s">
        <v>2651</v>
      </c>
      <c r="E854" s="7" t="s">
        <v>2652</v>
      </c>
      <c r="F854" s="8"/>
      <c r="G854" s="8"/>
      <c r="H854" s="9" t="s">
        <v>594</v>
      </c>
      <c r="I854" s="9"/>
      <c r="J854" s="9"/>
      <c r="K854" s="9"/>
      <c r="L854" s="8"/>
      <c r="M854" s="8"/>
      <c r="N854" s="8" t="s">
        <v>595</v>
      </c>
      <c r="O854" s="8"/>
      <c r="P854" s="10" t="n">
        <f aca="false">IF($H854="숙박",0,IF($H854=MID(P$1,3,20),IF($I854="",1,0.6),IF($I854=MID(P$1,3,20),0.4,0)))</f>
        <v>0</v>
      </c>
      <c r="Q854" s="10" t="n">
        <f aca="false">IF($H854="숙박",0,IF($H854=MID(Q$1,3,20),IF($I854="",1,0.6),IF($I854=MID(Q$1,3,20),0.4,0)))</f>
        <v>0</v>
      </c>
      <c r="R854" s="10" t="n">
        <f aca="false">IF($H854="숙박",0,IF($H854=MID(R$1,3,20),IF($I854="",1,0.6),IF($I854=MID(R$1,3,20),0.4,0)))</f>
        <v>0</v>
      </c>
      <c r="S854" s="10" t="n">
        <f aca="false">IF($H854="숙박",0,IF($H854=MID(S$1,3,20),IF($I854="",1,0.6),IF($I854=MID(S$1,3,20),0.4,0)))</f>
        <v>0</v>
      </c>
      <c r="T854" s="10" t="n">
        <f aca="false">IF($H854="숙박",0,IF($H854=MID(T$1,3,20),IF($I854="",1,0.6),IF($I854=MID(T$1,3,20),0.4,0)))</f>
        <v>0</v>
      </c>
      <c r="U854" s="10" t="n">
        <f aca="false">IF($H854="숙박",0,IF(ISNUMBER(SEARCH("야경",$J854)),1,0))</f>
        <v>0</v>
      </c>
      <c r="V854" s="10" t="n">
        <f aca="false">IF($H854="숙박",0,1)</f>
        <v>0</v>
      </c>
    </row>
    <row r="855" customFormat="false" ht="15" hidden="false" customHeight="false" outlineLevel="0" collapsed="false">
      <c r="A855" s="8" t="n">
        <v>854</v>
      </c>
      <c r="B855" s="8" t="s">
        <v>45</v>
      </c>
      <c r="C855" s="8" t="s">
        <v>2084</v>
      </c>
      <c r="D855" s="8" t="s">
        <v>2653</v>
      </c>
      <c r="E855" s="7" t="s">
        <v>2654</v>
      </c>
      <c r="F855" s="8"/>
      <c r="G855" s="8" t="s">
        <v>190</v>
      </c>
      <c r="H855" s="9" t="s">
        <v>190</v>
      </c>
      <c r="I855" s="9"/>
      <c r="J855" s="9"/>
      <c r="K855" s="9" t="s">
        <v>191</v>
      </c>
      <c r="L855" s="8"/>
      <c r="M855" s="8"/>
      <c r="N855" s="8"/>
      <c r="O855" s="8" t="s">
        <v>2655</v>
      </c>
      <c r="P855" s="10" t="n">
        <f aca="false">IF($H855="숙박",0,IF($H855=MID(P$1,3,20),IF($I855="",1,0.6),IF($I855=MID(P$1,3,20),0.4,0)))</f>
        <v>1</v>
      </c>
      <c r="Q855" s="10" t="n">
        <f aca="false">IF($H855="숙박",0,IF($H855=MID(Q$1,3,20),IF($I855="",1,0.6),IF($I855=MID(Q$1,3,20),0.4,0)))</f>
        <v>0</v>
      </c>
      <c r="R855" s="10" t="n">
        <f aca="false">IF($H855="숙박",0,IF($H855=MID(R$1,3,20),IF($I855="",1,0.6),IF($I855=MID(R$1,3,20),0.4,0)))</f>
        <v>0</v>
      </c>
      <c r="S855" s="10" t="n">
        <f aca="false">IF($H855="숙박",0,IF($H855=MID(S$1,3,20),IF($I855="",1,0.6),IF($I855=MID(S$1,3,20),0.4,0)))</f>
        <v>0</v>
      </c>
      <c r="T855" s="10" t="n">
        <f aca="false">IF($H855="숙박",0,IF($H855=MID(T$1,3,20),IF($I855="",1,0.6),IF($I855=MID(T$1,3,20),0.4,0)))</f>
        <v>0</v>
      </c>
      <c r="U855" s="10" t="n">
        <f aca="false">IF($H855="숙박",0,IF(ISNUMBER(SEARCH("야경",$J855)),1,0))</f>
        <v>0</v>
      </c>
      <c r="V855" s="10" t="n">
        <f aca="false">IF($H855="숙박",0,1)</f>
        <v>1</v>
      </c>
    </row>
    <row r="856" customFormat="false" ht="15" hidden="false" customHeight="false" outlineLevel="0" collapsed="false">
      <c r="A856" s="8" t="n">
        <v>855</v>
      </c>
      <c r="B856" s="8" t="s">
        <v>45</v>
      </c>
      <c r="C856" s="8" t="s">
        <v>467</v>
      </c>
      <c r="D856" s="8" t="s">
        <v>2656</v>
      </c>
      <c r="E856" s="7" t="s">
        <v>2657</v>
      </c>
      <c r="F856" s="8"/>
      <c r="G856" s="8" t="s">
        <v>184</v>
      </c>
      <c r="H856" s="9" t="s">
        <v>184</v>
      </c>
      <c r="I856" s="9" t="s">
        <v>49</v>
      </c>
      <c r="J856" s="9" t="s">
        <v>1361</v>
      </c>
      <c r="K856" s="9" t="s">
        <v>191</v>
      </c>
      <c r="L856" s="8"/>
      <c r="M856" s="8"/>
      <c r="N856" s="8" t="s">
        <v>483</v>
      </c>
      <c r="O856" s="8" t="s">
        <v>2658</v>
      </c>
      <c r="P856" s="10" t="n">
        <f aca="false">IF($H856="숙박",0,IF($H856=MID(P$1,3,20),IF($I856="",1,0.6),IF($I856=MID(P$1,3,20),0.4,0)))</f>
        <v>0</v>
      </c>
      <c r="Q856" s="10" t="n">
        <f aca="false">IF($H856="숙박",0,IF($H856=MID(Q$1,3,20),IF($I856="",1,0.6),IF($I856=MID(Q$1,3,20),0.4,0)))</f>
        <v>0.4</v>
      </c>
      <c r="R856" s="10" t="n">
        <f aca="false">IF($H856="숙박",0,IF($H856=MID(R$1,3,20),IF($I856="",1,0.6),IF($I856=MID(R$1,3,20),0.4,0)))</f>
        <v>0.6</v>
      </c>
      <c r="S856" s="10" t="n">
        <f aca="false">IF($H856="숙박",0,IF($H856=MID(S$1,3,20),IF($I856="",1,0.6),IF($I856=MID(S$1,3,20),0.4,0)))</f>
        <v>0</v>
      </c>
      <c r="T856" s="10" t="n">
        <f aca="false">IF($H856="숙박",0,IF($H856=MID(T$1,3,20),IF($I856="",1,0.6),IF($I856=MID(T$1,3,20),0.4,0)))</f>
        <v>0</v>
      </c>
      <c r="U856" s="10" t="n">
        <f aca="false">IF($H856="숙박",0,IF(ISNUMBER(SEARCH("야경",$J856)),1,0))</f>
        <v>0</v>
      </c>
      <c r="V856" s="10" t="n">
        <f aca="false">IF($H856="숙박",0,1)</f>
        <v>1</v>
      </c>
    </row>
    <row r="857" customFormat="false" ht="15" hidden="false" customHeight="false" outlineLevel="0" collapsed="false">
      <c r="A857" s="8" t="n">
        <v>856</v>
      </c>
      <c r="B857" s="8" t="s">
        <v>45</v>
      </c>
      <c r="C857" s="8" t="s">
        <v>1508</v>
      </c>
      <c r="D857" s="8" t="s">
        <v>2659</v>
      </c>
      <c r="E857" s="7" t="s">
        <v>2660</v>
      </c>
      <c r="F857" s="8"/>
      <c r="G857" s="8" t="s">
        <v>216</v>
      </c>
      <c r="H857" s="9" t="s">
        <v>216</v>
      </c>
      <c r="I857" s="9"/>
      <c r="J857" s="9"/>
      <c r="K857" s="9" t="s">
        <v>191</v>
      </c>
      <c r="L857" s="8"/>
      <c r="M857" s="8"/>
      <c r="N857" s="8"/>
      <c r="O857" s="8" t="s">
        <v>2661</v>
      </c>
      <c r="P857" s="10" t="n">
        <f aca="false">IF($H857="숙박",0,IF($H857=MID(P$1,3,20),IF($I857="",1,0.6),IF($I857=MID(P$1,3,20),0.4,0)))</f>
        <v>0</v>
      </c>
      <c r="Q857" s="10" t="n">
        <f aca="false">IF($H857="숙박",0,IF($H857=MID(Q$1,3,20),IF($I857="",1,0.6),IF($I857=MID(Q$1,3,20),0.4,0)))</f>
        <v>0</v>
      </c>
      <c r="R857" s="10" t="n">
        <f aca="false">IF($H857="숙박",0,IF($H857=MID(R$1,3,20),IF($I857="",1,0.6),IF($I857=MID(R$1,3,20),0.4,0)))</f>
        <v>0</v>
      </c>
      <c r="S857" s="10" t="n">
        <f aca="false">IF($H857="숙박",0,IF($H857=MID(S$1,3,20),IF($I857="",1,0.6),IF($I857=MID(S$1,3,20),0.4,0)))</f>
        <v>1</v>
      </c>
      <c r="T857" s="10" t="n">
        <f aca="false">IF($H857="숙박",0,IF($H857=MID(T$1,3,20),IF($I857="",1,0.6),IF($I857=MID(T$1,3,20),0.4,0)))</f>
        <v>0</v>
      </c>
      <c r="U857" s="10" t="n">
        <f aca="false">IF($H857="숙박",0,IF(ISNUMBER(SEARCH("야경",$J857)),1,0))</f>
        <v>0</v>
      </c>
      <c r="V857" s="10" t="n">
        <f aca="false">IF($H857="숙박",0,1)</f>
        <v>1</v>
      </c>
    </row>
    <row r="858" customFormat="false" ht="15" hidden="false" customHeight="false" outlineLevel="0" collapsed="false">
      <c r="A858" s="8" t="n">
        <v>857</v>
      </c>
      <c r="B858" s="8" t="s">
        <v>45</v>
      </c>
      <c r="C858" s="8" t="s">
        <v>1636</v>
      </c>
      <c r="D858" s="8" t="s">
        <v>2662</v>
      </c>
      <c r="E858" s="7" t="s">
        <v>2663</v>
      </c>
      <c r="F858" s="8"/>
      <c r="G858" s="8" t="s">
        <v>49</v>
      </c>
      <c r="H858" s="9" t="s">
        <v>49</v>
      </c>
      <c r="I858" s="9"/>
      <c r="J858" s="9"/>
      <c r="K858" s="9" t="s">
        <v>52</v>
      </c>
      <c r="L858" s="8"/>
      <c r="M858" s="8"/>
      <c r="N858" s="8"/>
      <c r="O858" s="8" t="s">
        <v>2664</v>
      </c>
      <c r="P858" s="10" t="n">
        <f aca="false">IF($H858="숙박",0,IF($H858=MID(P$1,3,20),IF($I858="",1,0.6),IF($I858=MID(P$1,3,20),0.4,0)))</f>
        <v>0</v>
      </c>
      <c r="Q858" s="10" t="n">
        <f aca="false">IF($H858="숙박",0,IF($H858=MID(Q$1,3,20),IF($I858="",1,0.6),IF($I858=MID(Q$1,3,20),0.4,0)))</f>
        <v>1</v>
      </c>
      <c r="R858" s="10" t="n">
        <f aca="false">IF($H858="숙박",0,IF($H858=MID(R$1,3,20),IF($I858="",1,0.6),IF($I858=MID(R$1,3,20),0.4,0)))</f>
        <v>0</v>
      </c>
      <c r="S858" s="10" t="n">
        <f aca="false">IF($H858="숙박",0,IF($H858=MID(S$1,3,20),IF($I858="",1,0.6),IF($I858=MID(S$1,3,20),0.4,0)))</f>
        <v>0</v>
      </c>
      <c r="T858" s="10" t="n">
        <f aca="false">IF($H858="숙박",0,IF($H858=MID(T$1,3,20),IF($I858="",1,0.6),IF($I858=MID(T$1,3,20),0.4,0)))</f>
        <v>0</v>
      </c>
      <c r="U858" s="10" t="n">
        <f aca="false">IF($H858="숙박",0,IF(ISNUMBER(SEARCH("야경",$J858)),1,0))</f>
        <v>0</v>
      </c>
      <c r="V858" s="10" t="n">
        <f aca="false">IF($H858="숙박",0,1)</f>
        <v>1</v>
      </c>
    </row>
    <row r="859" customFormat="false" ht="15" hidden="false" customHeight="false" outlineLevel="0" collapsed="false">
      <c r="A859" s="8" t="n">
        <v>858</v>
      </c>
      <c r="B859" s="8" t="s">
        <v>45</v>
      </c>
      <c r="C859" s="8" t="s">
        <v>369</v>
      </c>
      <c r="D859" s="8" t="s">
        <v>2665</v>
      </c>
      <c r="E859" s="7" t="s">
        <v>2666</v>
      </c>
      <c r="F859" s="8"/>
      <c r="G859" s="8" t="s">
        <v>50</v>
      </c>
      <c r="H859" s="9" t="s">
        <v>50</v>
      </c>
      <c r="I859" s="9"/>
      <c r="J859" s="9" t="s">
        <v>168</v>
      </c>
      <c r="K859" s="9" t="s">
        <v>52</v>
      </c>
      <c r="L859" s="8"/>
      <c r="M859" s="8"/>
      <c r="N859" s="8"/>
      <c r="O859" s="8" t="s">
        <v>2667</v>
      </c>
      <c r="P859" s="10" t="n">
        <f aca="false">IF($H859="숙박",0,IF($H859=MID(P$1,3,20),IF($I859="",1,0.6),IF($I859=MID(P$1,3,20),0.4,0)))</f>
        <v>0</v>
      </c>
      <c r="Q859" s="10" t="n">
        <f aca="false">IF($H859="숙박",0,IF($H859=MID(Q$1,3,20),IF($I859="",1,0.6),IF($I859=MID(Q$1,3,20),0.4,0)))</f>
        <v>0</v>
      </c>
      <c r="R859" s="10" t="n">
        <f aca="false">IF($H859="숙박",0,IF($H859=MID(R$1,3,20),IF($I859="",1,0.6),IF($I859=MID(R$1,3,20),0.4,0)))</f>
        <v>0</v>
      </c>
      <c r="S859" s="10" t="n">
        <f aca="false">IF($H859="숙박",0,IF($H859=MID(S$1,3,20),IF($I859="",1,0.6),IF($I859=MID(S$1,3,20),0.4,0)))</f>
        <v>0</v>
      </c>
      <c r="T859" s="10" t="n">
        <f aca="false">IF($H859="숙박",0,IF($H859=MID(T$1,3,20),IF($I859="",1,0.6),IF($I859=MID(T$1,3,20),0.4,0)))</f>
        <v>1</v>
      </c>
      <c r="U859" s="10" t="n">
        <f aca="false">IF($H859="숙박",0,IF(ISNUMBER(SEARCH("야경",$J859)),1,0))</f>
        <v>0</v>
      </c>
      <c r="V859" s="10" t="n">
        <f aca="false">IF($H859="숙박",0,1)</f>
        <v>1</v>
      </c>
    </row>
    <row r="860" customFormat="false" ht="15" hidden="false" customHeight="false" outlineLevel="0" collapsed="false">
      <c r="A860" s="8" t="n">
        <v>859</v>
      </c>
      <c r="B860" s="8" t="s">
        <v>45</v>
      </c>
      <c r="C860" s="8" t="s">
        <v>2199</v>
      </c>
      <c r="D860" s="8" t="s">
        <v>2668</v>
      </c>
      <c r="E860" s="7" t="s">
        <v>2669</v>
      </c>
      <c r="F860" s="8"/>
      <c r="G860" s="8" t="s">
        <v>184</v>
      </c>
      <c r="H860" s="9" t="s">
        <v>184</v>
      </c>
      <c r="I860" s="9" t="s">
        <v>216</v>
      </c>
      <c r="J860" s="9" t="s">
        <v>1361</v>
      </c>
      <c r="K860" s="9" t="s">
        <v>191</v>
      </c>
      <c r="L860" s="8"/>
      <c r="M860" s="8"/>
      <c r="N860" s="8" t="s">
        <v>483</v>
      </c>
      <c r="O860" s="8" t="s">
        <v>2670</v>
      </c>
      <c r="P860" s="10" t="n">
        <f aca="false">IF($H860="숙박",0,IF($H860=MID(P$1,3,20),IF($I860="",1,0.6),IF($I860=MID(P$1,3,20),0.4,0)))</f>
        <v>0</v>
      </c>
      <c r="Q860" s="10" t="n">
        <f aca="false">IF($H860="숙박",0,IF($H860=MID(Q$1,3,20),IF($I860="",1,0.6),IF($I860=MID(Q$1,3,20),0.4,0)))</f>
        <v>0</v>
      </c>
      <c r="R860" s="10" t="n">
        <f aca="false">IF($H860="숙박",0,IF($H860=MID(R$1,3,20),IF($I860="",1,0.6),IF($I860=MID(R$1,3,20),0.4,0)))</f>
        <v>0.6</v>
      </c>
      <c r="S860" s="10" t="n">
        <f aca="false">IF($H860="숙박",0,IF($H860=MID(S$1,3,20),IF($I860="",1,0.6),IF($I860=MID(S$1,3,20),0.4,0)))</f>
        <v>0.4</v>
      </c>
      <c r="T860" s="10" t="n">
        <f aca="false">IF($H860="숙박",0,IF($H860=MID(T$1,3,20),IF($I860="",1,0.6),IF($I860=MID(T$1,3,20),0.4,0)))</f>
        <v>0</v>
      </c>
      <c r="U860" s="10" t="n">
        <f aca="false">IF($H860="숙박",0,IF(ISNUMBER(SEARCH("야경",$J860)),1,0))</f>
        <v>0</v>
      </c>
      <c r="V860" s="10" t="n">
        <f aca="false">IF($H860="숙박",0,1)</f>
        <v>1</v>
      </c>
    </row>
    <row r="861" customFormat="false" ht="15" hidden="false" customHeight="false" outlineLevel="0" collapsed="false">
      <c r="A861" s="8" t="n">
        <v>860</v>
      </c>
      <c r="B861" s="8" t="s">
        <v>45</v>
      </c>
      <c r="C861" s="8" t="s">
        <v>2061</v>
      </c>
      <c r="D861" s="8" t="s">
        <v>2671</v>
      </c>
      <c r="E861" s="7" t="s">
        <v>2672</v>
      </c>
      <c r="F861" s="8"/>
      <c r="G861" s="8" t="s">
        <v>190</v>
      </c>
      <c r="H861" s="9" t="s">
        <v>190</v>
      </c>
      <c r="I861" s="9" t="s">
        <v>49</v>
      </c>
      <c r="J861" s="9"/>
      <c r="K861" s="9" t="s">
        <v>191</v>
      </c>
      <c r="L861" s="8"/>
      <c r="M861" s="8"/>
      <c r="N861" s="8" t="s">
        <v>483</v>
      </c>
      <c r="O861" s="8" t="s">
        <v>2673</v>
      </c>
      <c r="P861" s="10" t="n">
        <f aca="false">IF($H861="숙박",0,IF($H861=MID(P$1,3,20),IF($I861="",1,0.6),IF($I861=MID(P$1,3,20),0.4,0)))</f>
        <v>0.6</v>
      </c>
      <c r="Q861" s="10" t="n">
        <f aca="false">IF($H861="숙박",0,IF($H861=MID(Q$1,3,20),IF($I861="",1,0.6),IF($I861=MID(Q$1,3,20),0.4,0)))</f>
        <v>0.4</v>
      </c>
      <c r="R861" s="10" t="n">
        <f aca="false">IF($H861="숙박",0,IF($H861=MID(R$1,3,20),IF($I861="",1,0.6),IF($I861=MID(R$1,3,20),0.4,0)))</f>
        <v>0</v>
      </c>
      <c r="S861" s="10" t="n">
        <f aca="false">IF($H861="숙박",0,IF($H861=MID(S$1,3,20),IF($I861="",1,0.6),IF($I861=MID(S$1,3,20),0.4,0)))</f>
        <v>0</v>
      </c>
      <c r="T861" s="10" t="n">
        <f aca="false">IF($H861="숙박",0,IF($H861=MID(T$1,3,20),IF($I861="",1,0.6),IF($I861=MID(T$1,3,20),0.4,0)))</f>
        <v>0</v>
      </c>
      <c r="U861" s="10" t="n">
        <f aca="false">IF($H861="숙박",0,IF(ISNUMBER(SEARCH("야경",$J861)),1,0))</f>
        <v>0</v>
      </c>
      <c r="V861" s="10" t="n">
        <f aca="false">IF($H861="숙박",0,1)</f>
        <v>1</v>
      </c>
    </row>
    <row r="862" customFormat="false" ht="15" hidden="false" customHeight="false" outlineLevel="0" collapsed="false">
      <c r="A862" s="8" t="n">
        <v>861</v>
      </c>
      <c r="B862" s="8" t="s">
        <v>45</v>
      </c>
      <c r="C862" s="8"/>
      <c r="D862" s="8" t="s">
        <v>2674</v>
      </c>
      <c r="E862" s="7" t="s">
        <v>2675</v>
      </c>
      <c r="F862" s="8"/>
      <c r="G862" s="8"/>
      <c r="H862" s="9" t="s">
        <v>594</v>
      </c>
      <c r="I862" s="9"/>
      <c r="J862" s="9"/>
      <c r="K862" s="9"/>
      <c r="L862" s="8"/>
      <c r="M862" s="8"/>
      <c r="N862" s="8" t="s">
        <v>595</v>
      </c>
      <c r="O862" s="8"/>
      <c r="P862" s="10" t="n">
        <f aca="false">IF($H862="숙박",0,IF($H862=MID(P$1,3,20),IF($I862="",1,0.6),IF($I862=MID(P$1,3,20),0.4,0)))</f>
        <v>0</v>
      </c>
      <c r="Q862" s="10" t="n">
        <f aca="false">IF($H862="숙박",0,IF($H862=MID(Q$1,3,20),IF($I862="",1,0.6),IF($I862=MID(Q$1,3,20),0.4,0)))</f>
        <v>0</v>
      </c>
      <c r="R862" s="10" t="n">
        <f aca="false">IF($H862="숙박",0,IF($H862=MID(R$1,3,20),IF($I862="",1,0.6),IF($I862=MID(R$1,3,20),0.4,0)))</f>
        <v>0</v>
      </c>
      <c r="S862" s="10" t="n">
        <f aca="false">IF($H862="숙박",0,IF($H862=MID(S$1,3,20),IF($I862="",1,0.6),IF($I862=MID(S$1,3,20),0.4,0)))</f>
        <v>0</v>
      </c>
      <c r="T862" s="10" t="n">
        <f aca="false">IF($H862="숙박",0,IF($H862=MID(T$1,3,20),IF($I862="",1,0.6),IF($I862=MID(T$1,3,20),0.4,0)))</f>
        <v>0</v>
      </c>
      <c r="U862" s="10" t="n">
        <f aca="false">IF($H862="숙박",0,IF(ISNUMBER(SEARCH("야경",$J862)),1,0))</f>
        <v>0</v>
      </c>
      <c r="V862" s="10" t="n">
        <f aca="false">IF($H862="숙박",0,1)</f>
        <v>0</v>
      </c>
    </row>
    <row r="863" customFormat="false" ht="15" hidden="false" customHeight="false" outlineLevel="0" collapsed="false">
      <c r="A863" s="8" t="n">
        <v>862</v>
      </c>
      <c r="B863" s="8" t="s">
        <v>45</v>
      </c>
      <c r="C863" s="8" t="s">
        <v>369</v>
      </c>
      <c r="D863" s="8" t="s">
        <v>2676</v>
      </c>
      <c r="E863" s="7" t="s">
        <v>2677</v>
      </c>
      <c r="F863" s="8"/>
      <c r="G863" s="8" t="s">
        <v>49</v>
      </c>
      <c r="H863" s="9" t="s">
        <v>49</v>
      </c>
      <c r="I863" s="9"/>
      <c r="J863" s="9"/>
      <c r="K863" s="9" t="s">
        <v>52</v>
      </c>
      <c r="L863" s="8"/>
      <c r="M863" s="8"/>
      <c r="N863" s="8"/>
      <c r="O863" s="8" t="s">
        <v>2678</v>
      </c>
      <c r="P863" s="10" t="n">
        <f aca="false">IF($H863="숙박",0,IF($H863=MID(P$1,3,20),IF($I863="",1,0.6),IF($I863=MID(P$1,3,20),0.4,0)))</f>
        <v>0</v>
      </c>
      <c r="Q863" s="10" t="n">
        <f aca="false">IF($H863="숙박",0,IF($H863=MID(Q$1,3,20),IF($I863="",1,0.6),IF($I863=MID(Q$1,3,20),0.4,0)))</f>
        <v>1</v>
      </c>
      <c r="R863" s="10" t="n">
        <f aca="false">IF($H863="숙박",0,IF($H863=MID(R$1,3,20),IF($I863="",1,0.6),IF($I863=MID(R$1,3,20),0.4,0)))</f>
        <v>0</v>
      </c>
      <c r="S863" s="10" t="n">
        <f aca="false">IF($H863="숙박",0,IF($H863=MID(S$1,3,20),IF($I863="",1,0.6),IF($I863=MID(S$1,3,20),0.4,0)))</f>
        <v>0</v>
      </c>
      <c r="T863" s="10" t="n">
        <f aca="false">IF($H863="숙박",0,IF($H863=MID(T$1,3,20),IF($I863="",1,0.6),IF($I863=MID(T$1,3,20),0.4,0)))</f>
        <v>0</v>
      </c>
      <c r="U863" s="10" t="n">
        <f aca="false">IF($H863="숙박",0,IF(ISNUMBER(SEARCH("야경",$J863)),1,0))</f>
        <v>0</v>
      </c>
      <c r="V863" s="10" t="n">
        <f aca="false">IF($H863="숙박",0,1)</f>
        <v>1</v>
      </c>
    </row>
    <row r="864" customFormat="false" ht="15" hidden="false" customHeight="false" outlineLevel="0" collapsed="false">
      <c r="A864" s="8" t="n">
        <v>863</v>
      </c>
      <c r="B864" s="8" t="s">
        <v>45</v>
      </c>
      <c r="C864" s="8" t="s">
        <v>428</v>
      </c>
      <c r="D864" s="8" t="s">
        <v>2679</v>
      </c>
      <c r="E864" s="7" t="s">
        <v>2680</v>
      </c>
      <c r="F864" s="8"/>
      <c r="G864" s="8" t="s">
        <v>49</v>
      </c>
      <c r="H864" s="9" t="s">
        <v>49</v>
      </c>
      <c r="I864" s="9"/>
      <c r="J864" s="9"/>
      <c r="K864" s="9" t="s">
        <v>52</v>
      </c>
      <c r="L864" s="8"/>
      <c r="M864" s="8"/>
      <c r="N864" s="8"/>
      <c r="O864" s="8" t="s">
        <v>2681</v>
      </c>
      <c r="P864" s="10" t="n">
        <f aca="false">IF($H864="숙박",0,IF($H864=MID(P$1,3,20),IF($I864="",1,0.6),IF($I864=MID(P$1,3,20),0.4,0)))</f>
        <v>0</v>
      </c>
      <c r="Q864" s="10" t="n">
        <f aca="false">IF($H864="숙박",0,IF($H864=MID(Q$1,3,20),IF($I864="",1,0.6),IF($I864=MID(Q$1,3,20),0.4,0)))</f>
        <v>1</v>
      </c>
      <c r="R864" s="10" t="n">
        <f aca="false">IF($H864="숙박",0,IF($H864=MID(R$1,3,20),IF($I864="",1,0.6),IF($I864=MID(R$1,3,20),0.4,0)))</f>
        <v>0</v>
      </c>
      <c r="S864" s="10" t="n">
        <f aca="false">IF($H864="숙박",0,IF($H864=MID(S$1,3,20),IF($I864="",1,0.6),IF($I864=MID(S$1,3,20),0.4,0)))</f>
        <v>0</v>
      </c>
      <c r="T864" s="10" t="n">
        <f aca="false">IF($H864="숙박",0,IF($H864=MID(T$1,3,20),IF($I864="",1,0.6),IF($I864=MID(T$1,3,20),0.4,0)))</f>
        <v>0</v>
      </c>
      <c r="U864" s="10" t="n">
        <f aca="false">IF($H864="숙박",0,IF(ISNUMBER(SEARCH("야경",$J864)),1,0))</f>
        <v>0</v>
      </c>
      <c r="V864" s="10" t="n">
        <f aca="false">IF($H864="숙박",0,1)</f>
        <v>1</v>
      </c>
    </row>
    <row r="865" customFormat="false" ht="15" hidden="false" customHeight="false" outlineLevel="0" collapsed="false">
      <c r="A865" s="8" t="n">
        <v>864</v>
      </c>
      <c r="B865" s="8" t="s">
        <v>45</v>
      </c>
      <c r="C865" s="8" t="s">
        <v>678</v>
      </c>
      <c r="D865" s="8" t="s">
        <v>2682</v>
      </c>
      <c r="E865" s="7" t="s">
        <v>2683</v>
      </c>
      <c r="F865" s="8"/>
      <c r="G865" s="8" t="s">
        <v>216</v>
      </c>
      <c r="H865" s="9" t="s">
        <v>216</v>
      </c>
      <c r="I865" s="9" t="s">
        <v>184</v>
      </c>
      <c r="J865" s="9" t="s">
        <v>1361</v>
      </c>
      <c r="K865" s="9" t="s">
        <v>191</v>
      </c>
      <c r="L865" s="8"/>
      <c r="M865" s="8"/>
      <c r="N865" s="8" t="s">
        <v>483</v>
      </c>
      <c r="O865" s="8" t="s">
        <v>2684</v>
      </c>
      <c r="P865" s="10" t="n">
        <f aca="false">IF($H865="숙박",0,IF($H865=MID(P$1,3,20),IF($I865="",1,0.6),IF($I865=MID(P$1,3,20),0.4,0)))</f>
        <v>0</v>
      </c>
      <c r="Q865" s="10" t="n">
        <f aca="false">IF($H865="숙박",0,IF($H865=MID(Q$1,3,20),IF($I865="",1,0.6),IF($I865=MID(Q$1,3,20),0.4,0)))</f>
        <v>0</v>
      </c>
      <c r="R865" s="10" t="n">
        <f aca="false">IF($H865="숙박",0,IF($H865=MID(R$1,3,20),IF($I865="",1,0.6),IF($I865=MID(R$1,3,20),0.4,0)))</f>
        <v>0.4</v>
      </c>
      <c r="S865" s="10" t="n">
        <f aca="false">IF($H865="숙박",0,IF($H865=MID(S$1,3,20),IF($I865="",1,0.6),IF($I865=MID(S$1,3,20),0.4,0)))</f>
        <v>0.6</v>
      </c>
      <c r="T865" s="10" t="n">
        <f aca="false">IF($H865="숙박",0,IF($H865=MID(T$1,3,20),IF($I865="",1,0.6),IF($I865=MID(T$1,3,20),0.4,0)))</f>
        <v>0</v>
      </c>
      <c r="U865" s="10" t="n">
        <f aca="false">IF($H865="숙박",0,IF(ISNUMBER(SEARCH("야경",$J865)),1,0))</f>
        <v>0</v>
      </c>
      <c r="V865" s="10" t="n">
        <f aca="false">IF($H865="숙박",0,1)</f>
        <v>1</v>
      </c>
    </row>
    <row r="866" customFormat="false" ht="15" hidden="false" customHeight="false" outlineLevel="0" collapsed="false">
      <c r="A866" s="8" t="n">
        <v>865</v>
      </c>
      <c r="B866" s="8" t="s">
        <v>45</v>
      </c>
      <c r="C866" s="8" t="s">
        <v>454</v>
      </c>
      <c r="D866" s="8" t="s">
        <v>2685</v>
      </c>
      <c r="E866" s="7" t="s">
        <v>2686</v>
      </c>
      <c r="F866" s="8"/>
      <c r="G866" s="8" t="s">
        <v>50</v>
      </c>
      <c r="H866" s="9" t="s">
        <v>50</v>
      </c>
      <c r="I866" s="9"/>
      <c r="J866" s="9" t="s">
        <v>168</v>
      </c>
      <c r="K866" s="9" t="s">
        <v>52</v>
      </c>
      <c r="L866" s="8"/>
      <c r="M866" s="8"/>
      <c r="N866" s="8"/>
      <c r="O866" s="8" t="s">
        <v>2687</v>
      </c>
      <c r="P866" s="10" t="n">
        <f aca="false">IF($H866="숙박",0,IF($H866=MID(P$1,3,20),IF($I866="",1,0.6),IF($I866=MID(P$1,3,20),0.4,0)))</f>
        <v>0</v>
      </c>
      <c r="Q866" s="10" t="n">
        <f aca="false">IF($H866="숙박",0,IF($H866=MID(Q$1,3,20),IF($I866="",1,0.6),IF($I866=MID(Q$1,3,20),0.4,0)))</f>
        <v>0</v>
      </c>
      <c r="R866" s="10" t="n">
        <f aca="false">IF($H866="숙박",0,IF($H866=MID(R$1,3,20),IF($I866="",1,0.6),IF($I866=MID(R$1,3,20),0.4,0)))</f>
        <v>0</v>
      </c>
      <c r="S866" s="10" t="n">
        <f aca="false">IF($H866="숙박",0,IF($H866=MID(S$1,3,20),IF($I866="",1,0.6),IF($I866=MID(S$1,3,20),0.4,0)))</f>
        <v>0</v>
      </c>
      <c r="T866" s="10" t="n">
        <f aca="false">IF($H866="숙박",0,IF($H866=MID(T$1,3,20),IF($I866="",1,0.6),IF($I866=MID(T$1,3,20),0.4,0)))</f>
        <v>1</v>
      </c>
      <c r="U866" s="10" t="n">
        <f aca="false">IF($H866="숙박",0,IF(ISNUMBER(SEARCH("야경",$J866)),1,0))</f>
        <v>0</v>
      </c>
      <c r="V866" s="10" t="n">
        <f aca="false">IF($H866="숙박",0,1)</f>
        <v>1</v>
      </c>
    </row>
    <row r="867" customFormat="false" ht="15" hidden="false" customHeight="false" outlineLevel="0" collapsed="false">
      <c r="A867" s="8" t="n">
        <v>866</v>
      </c>
      <c r="B867" s="8" t="s">
        <v>45</v>
      </c>
      <c r="C867" s="8" t="s">
        <v>1546</v>
      </c>
      <c r="D867" s="8" t="s">
        <v>2688</v>
      </c>
      <c r="E867" s="7" t="s">
        <v>2689</v>
      </c>
      <c r="F867" s="8"/>
      <c r="G867" s="8" t="s">
        <v>49</v>
      </c>
      <c r="H867" s="9" t="s">
        <v>49</v>
      </c>
      <c r="I867" s="9" t="s">
        <v>216</v>
      </c>
      <c r="J867" s="9"/>
      <c r="K867" s="9" t="s">
        <v>52</v>
      </c>
      <c r="L867" s="8"/>
      <c r="M867" s="8"/>
      <c r="N867" s="8" t="s">
        <v>483</v>
      </c>
      <c r="O867" s="8" t="s">
        <v>2690</v>
      </c>
      <c r="P867" s="10" t="n">
        <f aca="false">IF($H867="숙박",0,IF($H867=MID(P$1,3,20),IF($I867="",1,0.6),IF($I867=MID(P$1,3,20),0.4,0)))</f>
        <v>0</v>
      </c>
      <c r="Q867" s="10" t="n">
        <f aca="false">IF($H867="숙박",0,IF($H867=MID(Q$1,3,20),IF($I867="",1,0.6),IF($I867=MID(Q$1,3,20),0.4,0)))</f>
        <v>0.6</v>
      </c>
      <c r="R867" s="10" t="n">
        <f aca="false">IF($H867="숙박",0,IF($H867=MID(R$1,3,20),IF($I867="",1,0.6),IF($I867=MID(R$1,3,20),0.4,0)))</f>
        <v>0</v>
      </c>
      <c r="S867" s="10" t="n">
        <f aca="false">IF($H867="숙박",0,IF($H867=MID(S$1,3,20),IF($I867="",1,0.6),IF($I867=MID(S$1,3,20),0.4,0)))</f>
        <v>0.4</v>
      </c>
      <c r="T867" s="10" t="n">
        <f aca="false">IF($H867="숙박",0,IF($H867=MID(T$1,3,20),IF($I867="",1,0.6),IF($I867=MID(T$1,3,20),0.4,0)))</f>
        <v>0</v>
      </c>
      <c r="U867" s="10" t="n">
        <f aca="false">IF($H867="숙박",0,IF(ISNUMBER(SEARCH("야경",$J867)),1,0))</f>
        <v>0</v>
      </c>
      <c r="V867" s="10" t="n">
        <f aca="false">IF($H867="숙박",0,1)</f>
        <v>1</v>
      </c>
    </row>
    <row r="868" customFormat="false" ht="15" hidden="false" customHeight="false" outlineLevel="0" collapsed="false">
      <c r="A868" s="8" t="n">
        <v>867</v>
      </c>
      <c r="B868" s="8" t="s">
        <v>45</v>
      </c>
      <c r="C868" s="8" t="s">
        <v>297</v>
      </c>
      <c r="D868" s="8" t="s">
        <v>2691</v>
      </c>
      <c r="E868" s="7" t="s">
        <v>2692</v>
      </c>
      <c r="F868" s="8"/>
      <c r="G868" s="8" t="s">
        <v>216</v>
      </c>
      <c r="H868" s="9" t="s">
        <v>216</v>
      </c>
      <c r="I868" s="9"/>
      <c r="J868" s="9"/>
      <c r="K868" s="9" t="s">
        <v>191</v>
      </c>
      <c r="L868" s="8"/>
      <c r="M868" s="8"/>
      <c r="N868" s="8"/>
      <c r="O868" s="8" t="s">
        <v>2693</v>
      </c>
      <c r="P868" s="10" t="n">
        <f aca="false">IF($H868="숙박",0,IF($H868=MID(P$1,3,20),IF($I868="",1,0.6),IF($I868=MID(P$1,3,20),0.4,0)))</f>
        <v>0</v>
      </c>
      <c r="Q868" s="10" t="n">
        <f aca="false">IF($H868="숙박",0,IF($H868=MID(Q$1,3,20),IF($I868="",1,0.6),IF($I868=MID(Q$1,3,20),0.4,0)))</f>
        <v>0</v>
      </c>
      <c r="R868" s="10" t="n">
        <f aca="false">IF($H868="숙박",0,IF($H868=MID(R$1,3,20),IF($I868="",1,0.6),IF($I868=MID(R$1,3,20),0.4,0)))</f>
        <v>0</v>
      </c>
      <c r="S868" s="10" t="n">
        <f aca="false">IF($H868="숙박",0,IF($H868=MID(S$1,3,20),IF($I868="",1,0.6),IF($I868=MID(S$1,3,20),0.4,0)))</f>
        <v>1</v>
      </c>
      <c r="T868" s="10" t="n">
        <f aca="false">IF($H868="숙박",0,IF($H868=MID(T$1,3,20),IF($I868="",1,0.6),IF($I868=MID(T$1,3,20),0.4,0)))</f>
        <v>0</v>
      </c>
      <c r="U868" s="10" t="n">
        <f aca="false">IF($H868="숙박",0,IF(ISNUMBER(SEARCH("야경",$J868)),1,0))</f>
        <v>0</v>
      </c>
      <c r="V868" s="10" t="n">
        <f aca="false">IF($H868="숙박",0,1)</f>
        <v>1</v>
      </c>
    </row>
    <row r="869" customFormat="false" ht="15" hidden="false" customHeight="false" outlineLevel="0" collapsed="false">
      <c r="A869" s="8" t="n">
        <v>868</v>
      </c>
      <c r="B869" s="8" t="s">
        <v>45</v>
      </c>
      <c r="C869" s="8" t="s">
        <v>1596</v>
      </c>
      <c r="D869" s="8" t="s">
        <v>2694</v>
      </c>
      <c r="E869" s="7" t="s">
        <v>2695</v>
      </c>
      <c r="F869" s="8"/>
      <c r="G869" s="8" t="s">
        <v>190</v>
      </c>
      <c r="H869" s="9" t="s">
        <v>190</v>
      </c>
      <c r="I869" s="9"/>
      <c r="J869" s="9"/>
      <c r="K869" s="9" t="s">
        <v>191</v>
      </c>
      <c r="L869" s="8"/>
      <c r="M869" s="8"/>
      <c r="N869" s="8"/>
      <c r="O869" s="8" t="s">
        <v>2696</v>
      </c>
      <c r="P869" s="10" t="n">
        <f aca="false">IF($H869="숙박",0,IF($H869=MID(P$1,3,20),IF($I869="",1,0.6),IF($I869=MID(P$1,3,20),0.4,0)))</f>
        <v>1</v>
      </c>
      <c r="Q869" s="10" t="n">
        <f aca="false">IF($H869="숙박",0,IF($H869=MID(Q$1,3,20),IF($I869="",1,0.6),IF($I869=MID(Q$1,3,20),0.4,0)))</f>
        <v>0</v>
      </c>
      <c r="R869" s="10" t="n">
        <f aca="false">IF($H869="숙박",0,IF($H869=MID(R$1,3,20),IF($I869="",1,0.6),IF($I869=MID(R$1,3,20),0.4,0)))</f>
        <v>0</v>
      </c>
      <c r="S869" s="10" t="n">
        <f aca="false">IF($H869="숙박",0,IF($H869=MID(S$1,3,20),IF($I869="",1,0.6),IF($I869=MID(S$1,3,20),0.4,0)))</f>
        <v>0</v>
      </c>
      <c r="T869" s="10" t="n">
        <f aca="false">IF($H869="숙박",0,IF($H869=MID(T$1,3,20),IF($I869="",1,0.6),IF($I869=MID(T$1,3,20),0.4,0)))</f>
        <v>0</v>
      </c>
      <c r="U869" s="10" t="n">
        <f aca="false">IF($H869="숙박",0,IF(ISNUMBER(SEARCH("야경",$J869)),1,0))</f>
        <v>0</v>
      </c>
      <c r="V869" s="10" t="n">
        <f aca="false">IF($H869="숙박",0,1)</f>
        <v>1</v>
      </c>
    </row>
    <row r="870" customFormat="false" ht="15" hidden="false" customHeight="false" outlineLevel="0" collapsed="false">
      <c r="A870" s="8" t="n">
        <v>869</v>
      </c>
      <c r="B870" s="8" t="s">
        <v>45</v>
      </c>
      <c r="C870" s="8" t="s">
        <v>369</v>
      </c>
      <c r="D870" s="8" t="s">
        <v>2697</v>
      </c>
      <c r="E870" s="7" t="s">
        <v>2698</v>
      </c>
      <c r="F870" s="8"/>
      <c r="G870" s="8" t="s">
        <v>49</v>
      </c>
      <c r="H870" s="9" t="s">
        <v>49</v>
      </c>
      <c r="I870" s="9"/>
      <c r="J870" s="9"/>
      <c r="K870" s="9" t="s">
        <v>52</v>
      </c>
      <c r="L870" s="8"/>
      <c r="M870" s="8"/>
      <c r="N870" s="8"/>
      <c r="O870" s="8" t="s">
        <v>2699</v>
      </c>
      <c r="P870" s="10" t="n">
        <f aca="false">IF($H870="숙박",0,IF($H870=MID(P$1,3,20),IF($I870="",1,0.6),IF($I870=MID(P$1,3,20),0.4,0)))</f>
        <v>0</v>
      </c>
      <c r="Q870" s="10" t="n">
        <f aca="false">IF($H870="숙박",0,IF($H870=MID(Q$1,3,20),IF($I870="",1,0.6),IF($I870=MID(Q$1,3,20),0.4,0)))</f>
        <v>1</v>
      </c>
      <c r="R870" s="10" t="n">
        <f aca="false">IF($H870="숙박",0,IF($H870=MID(R$1,3,20),IF($I870="",1,0.6),IF($I870=MID(R$1,3,20),0.4,0)))</f>
        <v>0</v>
      </c>
      <c r="S870" s="10" t="n">
        <f aca="false">IF($H870="숙박",0,IF($H870=MID(S$1,3,20),IF($I870="",1,0.6),IF($I870=MID(S$1,3,20),0.4,0)))</f>
        <v>0</v>
      </c>
      <c r="T870" s="10" t="n">
        <f aca="false">IF($H870="숙박",0,IF($H870=MID(T$1,3,20),IF($I870="",1,0.6),IF($I870=MID(T$1,3,20),0.4,0)))</f>
        <v>0</v>
      </c>
      <c r="U870" s="10" t="n">
        <f aca="false">IF($H870="숙박",0,IF(ISNUMBER(SEARCH("야경",$J870)),1,0))</f>
        <v>0</v>
      </c>
      <c r="V870" s="10" t="n">
        <f aca="false">IF($H870="숙박",0,1)</f>
        <v>1</v>
      </c>
    </row>
    <row r="871" customFormat="false" ht="15" hidden="false" customHeight="false" outlineLevel="0" collapsed="false">
      <c r="A871" s="8" t="n">
        <v>870</v>
      </c>
      <c r="B871" s="8" t="s">
        <v>45</v>
      </c>
      <c r="C871" s="8" t="s">
        <v>321</v>
      </c>
      <c r="D871" s="8" t="s">
        <v>2700</v>
      </c>
      <c r="E871" s="7" t="s">
        <v>2701</v>
      </c>
      <c r="F871" s="8"/>
      <c r="G871" s="8" t="s">
        <v>190</v>
      </c>
      <c r="H871" s="9" t="s">
        <v>190</v>
      </c>
      <c r="I871" s="9"/>
      <c r="J871" s="9"/>
      <c r="K871" s="9" t="s">
        <v>191</v>
      </c>
      <c r="L871" s="8"/>
      <c r="M871" s="8"/>
      <c r="N871" s="8"/>
      <c r="O871" s="8" t="s">
        <v>2702</v>
      </c>
      <c r="P871" s="10" t="n">
        <f aca="false">IF($H871="숙박",0,IF($H871=MID(P$1,3,20),IF($I871="",1,0.6),IF($I871=MID(P$1,3,20),0.4,0)))</f>
        <v>1</v>
      </c>
      <c r="Q871" s="10" t="n">
        <f aca="false">IF($H871="숙박",0,IF($H871=MID(Q$1,3,20),IF($I871="",1,0.6),IF($I871=MID(Q$1,3,20),0.4,0)))</f>
        <v>0</v>
      </c>
      <c r="R871" s="10" t="n">
        <f aca="false">IF($H871="숙박",0,IF($H871=MID(R$1,3,20),IF($I871="",1,0.6),IF($I871=MID(R$1,3,20),0.4,0)))</f>
        <v>0</v>
      </c>
      <c r="S871" s="10" t="n">
        <f aca="false">IF($H871="숙박",0,IF($H871=MID(S$1,3,20),IF($I871="",1,0.6),IF($I871=MID(S$1,3,20),0.4,0)))</f>
        <v>0</v>
      </c>
      <c r="T871" s="10" t="n">
        <f aca="false">IF($H871="숙박",0,IF($H871=MID(T$1,3,20),IF($I871="",1,0.6),IF($I871=MID(T$1,3,20),0.4,0)))</f>
        <v>0</v>
      </c>
      <c r="U871" s="10" t="n">
        <f aca="false">IF($H871="숙박",0,IF(ISNUMBER(SEARCH("야경",$J871)),1,0))</f>
        <v>0</v>
      </c>
      <c r="V871" s="10" t="n">
        <f aca="false">IF($H871="숙박",0,1)</f>
        <v>1</v>
      </c>
    </row>
    <row r="872" customFormat="false" ht="15" hidden="false" customHeight="false" outlineLevel="0" collapsed="false">
      <c r="A872" s="8" t="n">
        <v>871</v>
      </c>
      <c r="B872" s="8" t="s">
        <v>45</v>
      </c>
      <c r="C872" s="8" t="s">
        <v>1829</v>
      </c>
      <c r="D872" s="8" t="s">
        <v>2703</v>
      </c>
      <c r="E872" s="7" t="s">
        <v>2704</v>
      </c>
      <c r="F872" s="8"/>
      <c r="G872" s="8" t="s">
        <v>49</v>
      </c>
      <c r="H872" s="9" t="s">
        <v>49</v>
      </c>
      <c r="I872" s="9"/>
      <c r="J872" s="9"/>
      <c r="K872" s="9" t="s">
        <v>52</v>
      </c>
      <c r="L872" s="8"/>
      <c r="M872" s="8"/>
      <c r="N872" s="8"/>
      <c r="O872" s="8" t="s">
        <v>2705</v>
      </c>
      <c r="P872" s="10" t="n">
        <f aca="false">IF($H872="숙박",0,IF($H872=MID(P$1,3,20),IF($I872="",1,0.6),IF($I872=MID(P$1,3,20),0.4,0)))</f>
        <v>0</v>
      </c>
      <c r="Q872" s="10" t="n">
        <f aca="false">IF($H872="숙박",0,IF($H872=MID(Q$1,3,20),IF($I872="",1,0.6),IF($I872=MID(Q$1,3,20),0.4,0)))</f>
        <v>1</v>
      </c>
      <c r="R872" s="10" t="n">
        <f aca="false">IF($H872="숙박",0,IF($H872=MID(R$1,3,20),IF($I872="",1,0.6),IF($I872=MID(R$1,3,20),0.4,0)))</f>
        <v>0</v>
      </c>
      <c r="S872" s="10" t="n">
        <f aca="false">IF($H872="숙박",0,IF($H872=MID(S$1,3,20),IF($I872="",1,0.6),IF($I872=MID(S$1,3,20),0.4,0)))</f>
        <v>0</v>
      </c>
      <c r="T872" s="10" t="n">
        <f aca="false">IF($H872="숙박",0,IF($H872=MID(T$1,3,20),IF($I872="",1,0.6),IF($I872=MID(T$1,3,20),0.4,0)))</f>
        <v>0</v>
      </c>
      <c r="U872" s="10" t="n">
        <f aca="false">IF($H872="숙박",0,IF(ISNUMBER(SEARCH("야경",$J872)),1,0))</f>
        <v>0</v>
      </c>
      <c r="V872" s="10" t="n">
        <f aca="false">IF($H872="숙박",0,1)</f>
        <v>1</v>
      </c>
    </row>
    <row r="873" customFormat="false" ht="15" hidden="false" customHeight="false" outlineLevel="0" collapsed="false">
      <c r="A873" s="8" t="n">
        <v>872</v>
      </c>
      <c r="B873" s="8" t="s">
        <v>45</v>
      </c>
      <c r="C873" s="8" t="s">
        <v>1678</v>
      </c>
      <c r="D873" s="8" t="s">
        <v>2706</v>
      </c>
      <c r="E873" s="7" t="s">
        <v>2707</v>
      </c>
      <c r="F873" s="8"/>
      <c r="G873" s="8" t="s">
        <v>49</v>
      </c>
      <c r="H873" s="9" t="s">
        <v>49</v>
      </c>
      <c r="I873" s="9"/>
      <c r="J873" s="9"/>
      <c r="K873" s="9" t="s">
        <v>52</v>
      </c>
      <c r="L873" s="8"/>
      <c r="M873" s="8"/>
      <c r="N873" s="8"/>
      <c r="O873" s="8" t="s">
        <v>2708</v>
      </c>
      <c r="P873" s="10" t="n">
        <f aca="false">IF($H873="숙박",0,IF($H873=MID(P$1,3,20),IF($I873="",1,0.6),IF($I873=MID(P$1,3,20),0.4,0)))</f>
        <v>0</v>
      </c>
      <c r="Q873" s="10" t="n">
        <f aca="false">IF($H873="숙박",0,IF($H873=MID(Q$1,3,20),IF($I873="",1,0.6),IF($I873=MID(Q$1,3,20),0.4,0)))</f>
        <v>1</v>
      </c>
      <c r="R873" s="10" t="n">
        <f aca="false">IF($H873="숙박",0,IF($H873=MID(R$1,3,20),IF($I873="",1,0.6),IF($I873=MID(R$1,3,20),0.4,0)))</f>
        <v>0</v>
      </c>
      <c r="S873" s="10" t="n">
        <f aca="false">IF($H873="숙박",0,IF($H873=MID(S$1,3,20),IF($I873="",1,0.6),IF($I873=MID(S$1,3,20),0.4,0)))</f>
        <v>0</v>
      </c>
      <c r="T873" s="10" t="n">
        <f aca="false">IF($H873="숙박",0,IF($H873=MID(T$1,3,20),IF($I873="",1,0.6),IF($I873=MID(T$1,3,20),0.4,0)))</f>
        <v>0</v>
      </c>
      <c r="U873" s="10" t="n">
        <f aca="false">IF($H873="숙박",0,IF(ISNUMBER(SEARCH("야경",$J873)),1,0))</f>
        <v>0</v>
      </c>
      <c r="V873" s="10" t="n">
        <f aca="false">IF($H873="숙박",0,1)</f>
        <v>1</v>
      </c>
    </row>
    <row r="874" customFormat="false" ht="15" hidden="false" customHeight="false" outlineLevel="0" collapsed="false">
      <c r="A874" s="8" t="n">
        <v>873</v>
      </c>
      <c r="B874" s="8" t="s">
        <v>45</v>
      </c>
      <c r="C874" s="8" t="s">
        <v>1343</v>
      </c>
      <c r="D874" s="8" t="s">
        <v>2709</v>
      </c>
      <c r="E874" s="7" t="s">
        <v>2710</v>
      </c>
      <c r="F874" s="8"/>
      <c r="G874" s="8" t="s">
        <v>184</v>
      </c>
      <c r="H874" s="9" t="s">
        <v>184</v>
      </c>
      <c r="I874" s="9"/>
      <c r="J874" s="9"/>
      <c r="K874" s="9" t="s">
        <v>191</v>
      </c>
      <c r="L874" s="8"/>
      <c r="M874" s="8"/>
      <c r="N874" s="8"/>
      <c r="O874" s="8" t="s">
        <v>2711</v>
      </c>
      <c r="P874" s="10" t="n">
        <f aca="false">IF($H874="숙박",0,IF($H874=MID(P$1,3,20),IF($I874="",1,0.6),IF($I874=MID(P$1,3,20),0.4,0)))</f>
        <v>0</v>
      </c>
      <c r="Q874" s="10" t="n">
        <f aca="false">IF($H874="숙박",0,IF($H874=MID(Q$1,3,20),IF($I874="",1,0.6),IF($I874=MID(Q$1,3,20),0.4,0)))</f>
        <v>0</v>
      </c>
      <c r="R874" s="10" t="n">
        <f aca="false">IF($H874="숙박",0,IF($H874=MID(R$1,3,20),IF($I874="",1,0.6),IF($I874=MID(R$1,3,20),0.4,0)))</f>
        <v>1</v>
      </c>
      <c r="S874" s="10" t="n">
        <f aca="false">IF($H874="숙박",0,IF($H874=MID(S$1,3,20),IF($I874="",1,0.6),IF($I874=MID(S$1,3,20),0.4,0)))</f>
        <v>0</v>
      </c>
      <c r="T874" s="10" t="n">
        <f aca="false">IF($H874="숙박",0,IF($H874=MID(T$1,3,20),IF($I874="",1,0.6),IF($I874=MID(T$1,3,20),0.4,0)))</f>
        <v>0</v>
      </c>
      <c r="U874" s="10" t="n">
        <f aca="false">IF($H874="숙박",0,IF(ISNUMBER(SEARCH("야경",$J874)),1,0))</f>
        <v>0</v>
      </c>
      <c r="V874" s="10" t="n">
        <f aca="false">IF($H874="숙박",0,1)</f>
        <v>1</v>
      </c>
    </row>
    <row r="875" customFormat="false" ht="15" hidden="false" customHeight="false" outlineLevel="0" collapsed="false">
      <c r="A875" s="8" t="n">
        <v>874</v>
      </c>
      <c r="B875" s="8" t="s">
        <v>45</v>
      </c>
      <c r="C875" s="8" t="s">
        <v>2375</v>
      </c>
      <c r="D875" s="8" t="s">
        <v>2712</v>
      </c>
      <c r="E875" s="7" t="s">
        <v>2713</v>
      </c>
      <c r="F875" s="8"/>
      <c r="G875" s="8" t="s">
        <v>184</v>
      </c>
      <c r="H875" s="9" t="s">
        <v>184</v>
      </c>
      <c r="I875" s="9"/>
      <c r="J875" s="9" t="s">
        <v>1361</v>
      </c>
      <c r="K875" s="9" t="s">
        <v>191</v>
      </c>
      <c r="L875" s="8"/>
      <c r="M875" s="8"/>
      <c r="N875" s="8"/>
      <c r="O875" s="8" t="s">
        <v>2714</v>
      </c>
      <c r="P875" s="10" t="n">
        <f aca="false">IF($H875="숙박",0,IF($H875=MID(P$1,3,20),IF($I875="",1,0.6),IF($I875=MID(P$1,3,20),0.4,0)))</f>
        <v>0</v>
      </c>
      <c r="Q875" s="10" t="n">
        <f aca="false">IF($H875="숙박",0,IF($H875=MID(Q$1,3,20),IF($I875="",1,0.6),IF($I875=MID(Q$1,3,20),0.4,0)))</f>
        <v>0</v>
      </c>
      <c r="R875" s="10" t="n">
        <f aca="false">IF($H875="숙박",0,IF($H875=MID(R$1,3,20),IF($I875="",1,0.6),IF($I875=MID(R$1,3,20),0.4,0)))</f>
        <v>1</v>
      </c>
      <c r="S875" s="10" t="n">
        <f aca="false">IF($H875="숙박",0,IF($H875=MID(S$1,3,20),IF($I875="",1,0.6),IF($I875=MID(S$1,3,20),0.4,0)))</f>
        <v>0</v>
      </c>
      <c r="T875" s="10" t="n">
        <f aca="false">IF($H875="숙박",0,IF($H875=MID(T$1,3,20),IF($I875="",1,0.6),IF($I875=MID(T$1,3,20),0.4,0)))</f>
        <v>0</v>
      </c>
      <c r="U875" s="10" t="n">
        <f aca="false">IF($H875="숙박",0,IF(ISNUMBER(SEARCH("야경",$J875)),1,0))</f>
        <v>0</v>
      </c>
      <c r="V875" s="10" t="n">
        <f aca="false">IF($H875="숙박",0,1)</f>
        <v>1</v>
      </c>
    </row>
    <row r="876" customFormat="false" ht="15" hidden="false" customHeight="false" outlineLevel="0" collapsed="false">
      <c r="A876" s="8" t="n">
        <v>875</v>
      </c>
      <c r="B876" s="8" t="s">
        <v>45</v>
      </c>
      <c r="C876" s="8" t="s">
        <v>1895</v>
      </c>
      <c r="D876" s="8" t="s">
        <v>2715</v>
      </c>
      <c r="E876" s="7" t="s">
        <v>2716</v>
      </c>
      <c r="F876" s="8"/>
      <c r="G876" s="8" t="s">
        <v>190</v>
      </c>
      <c r="H876" s="9" t="s">
        <v>190</v>
      </c>
      <c r="I876" s="9"/>
      <c r="J876" s="9"/>
      <c r="K876" s="9" t="s">
        <v>52</v>
      </c>
      <c r="L876" s="8"/>
      <c r="M876" s="8"/>
      <c r="N876" s="8"/>
      <c r="O876" s="8" t="s">
        <v>2717</v>
      </c>
      <c r="P876" s="10" t="n">
        <f aca="false">IF($H876="숙박",0,IF($H876=MID(P$1,3,20),IF($I876="",1,0.6),IF($I876=MID(P$1,3,20),0.4,0)))</f>
        <v>1</v>
      </c>
      <c r="Q876" s="10" t="n">
        <f aca="false">IF($H876="숙박",0,IF($H876=MID(Q$1,3,20),IF($I876="",1,0.6),IF($I876=MID(Q$1,3,20),0.4,0)))</f>
        <v>0</v>
      </c>
      <c r="R876" s="10" t="n">
        <f aca="false">IF($H876="숙박",0,IF($H876=MID(R$1,3,20),IF($I876="",1,0.6),IF($I876=MID(R$1,3,20),0.4,0)))</f>
        <v>0</v>
      </c>
      <c r="S876" s="10" t="n">
        <f aca="false">IF($H876="숙박",0,IF($H876=MID(S$1,3,20),IF($I876="",1,0.6),IF($I876=MID(S$1,3,20),0.4,0)))</f>
        <v>0</v>
      </c>
      <c r="T876" s="10" t="n">
        <f aca="false">IF($H876="숙박",0,IF($H876=MID(T$1,3,20),IF($I876="",1,0.6),IF($I876=MID(T$1,3,20),0.4,0)))</f>
        <v>0</v>
      </c>
      <c r="U876" s="10" t="n">
        <f aca="false">IF($H876="숙박",0,IF(ISNUMBER(SEARCH("야경",$J876)),1,0))</f>
        <v>0</v>
      </c>
      <c r="V876" s="10" t="n">
        <f aca="false">IF($H876="숙박",0,1)</f>
        <v>1</v>
      </c>
    </row>
    <row r="877" customFormat="false" ht="15" hidden="false" customHeight="false" outlineLevel="0" collapsed="false">
      <c r="A877" s="8" t="n">
        <v>876</v>
      </c>
      <c r="B877" s="8" t="s">
        <v>45</v>
      </c>
      <c r="C877" s="8" t="s">
        <v>1636</v>
      </c>
      <c r="D877" s="8" t="s">
        <v>2718</v>
      </c>
      <c r="E877" s="7" t="s">
        <v>2719</v>
      </c>
      <c r="F877" s="8"/>
      <c r="G877" s="8" t="s">
        <v>184</v>
      </c>
      <c r="H877" s="9" t="s">
        <v>184</v>
      </c>
      <c r="I877" s="9"/>
      <c r="J877" s="9"/>
      <c r="K877" s="9" t="s">
        <v>52</v>
      </c>
      <c r="L877" s="8"/>
      <c r="M877" s="8"/>
      <c r="N877" s="8"/>
      <c r="O877" s="8" t="s">
        <v>2720</v>
      </c>
      <c r="P877" s="10" t="n">
        <f aca="false">IF($H877="숙박",0,IF($H877=MID(P$1,3,20),IF($I877="",1,0.6),IF($I877=MID(P$1,3,20),0.4,0)))</f>
        <v>0</v>
      </c>
      <c r="Q877" s="10" t="n">
        <f aca="false">IF($H877="숙박",0,IF($H877=MID(Q$1,3,20),IF($I877="",1,0.6),IF($I877=MID(Q$1,3,20),0.4,0)))</f>
        <v>0</v>
      </c>
      <c r="R877" s="10" t="n">
        <f aca="false">IF($H877="숙박",0,IF($H877=MID(R$1,3,20),IF($I877="",1,0.6),IF($I877=MID(R$1,3,20),0.4,0)))</f>
        <v>1</v>
      </c>
      <c r="S877" s="10" t="n">
        <f aca="false">IF($H877="숙박",0,IF($H877=MID(S$1,3,20),IF($I877="",1,0.6),IF($I877=MID(S$1,3,20),0.4,0)))</f>
        <v>0</v>
      </c>
      <c r="T877" s="10" t="n">
        <f aca="false">IF($H877="숙박",0,IF($H877=MID(T$1,3,20),IF($I877="",1,0.6),IF($I877=MID(T$1,3,20),0.4,0)))</f>
        <v>0</v>
      </c>
      <c r="U877" s="10" t="n">
        <f aca="false">IF($H877="숙박",0,IF(ISNUMBER(SEARCH("야경",$J877)),1,0))</f>
        <v>0</v>
      </c>
      <c r="V877" s="10" t="n">
        <f aca="false">IF($H877="숙박",0,1)</f>
        <v>1</v>
      </c>
    </row>
    <row r="878" customFormat="false" ht="15" hidden="false" customHeight="false" outlineLevel="0" collapsed="false">
      <c r="A878" s="8" t="n">
        <v>877</v>
      </c>
      <c r="B878" s="8" t="s">
        <v>45</v>
      </c>
      <c r="C878" s="8" t="s">
        <v>788</v>
      </c>
      <c r="D878" s="8" t="s">
        <v>2721</v>
      </c>
      <c r="E878" s="7" t="s">
        <v>2722</v>
      </c>
      <c r="F878" s="8"/>
      <c r="G878" s="8" t="s">
        <v>49</v>
      </c>
      <c r="H878" s="9" t="s">
        <v>49</v>
      </c>
      <c r="I878" s="9"/>
      <c r="J878" s="9"/>
      <c r="K878" s="9" t="s">
        <v>52</v>
      </c>
      <c r="L878" s="8"/>
      <c r="M878" s="8"/>
      <c r="N878" s="8"/>
      <c r="O878" s="8" t="s">
        <v>2723</v>
      </c>
      <c r="P878" s="10" t="n">
        <f aca="false">IF($H878="숙박",0,IF($H878=MID(P$1,3,20),IF($I878="",1,0.6),IF($I878=MID(P$1,3,20),0.4,0)))</f>
        <v>0</v>
      </c>
      <c r="Q878" s="10" t="n">
        <f aca="false">IF($H878="숙박",0,IF($H878=MID(Q$1,3,20),IF($I878="",1,0.6),IF($I878=MID(Q$1,3,20),0.4,0)))</f>
        <v>1</v>
      </c>
      <c r="R878" s="10" t="n">
        <f aca="false">IF($H878="숙박",0,IF($H878=MID(R$1,3,20),IF($I878="",1,0.6),IF($I878=MID(R$1,3,20),0.4,0)))</f>
        <v>0</v>
      </c>
      <c r="S878" s="10" t="n">
        <f aca="false">IF($H878="숙박",0,IF($H878=MID(S$1,3,20),IF($I878="",1,0.6),IF($I878=MID(S$1,3,20),0.4,0)))</f>
        <v>0</v>
      </c>
      <c r="T878" s="10" t="n">
        <f aca="false">IF($H878="숙박",0,IF($H878=MID(T$1,3,20),IF($I878="",1,0.6),IF($I878=MID(T$1,3,20),0.4,0)))</f>
        <v>0</v>
      </c>
      <c r="U878" s="10" t="n">
        <f aca="false">IF($H878="숙박",0,IF(ISNUMBER(SEARCH("야경",$J878)),1,0))</f>
        <v>0</v>
      </c>
      <c r="V878" s="10" t="n">
        <f aca="false">IF($H878="숙박",0,1)</f>
        <v>1</v>
      </c>
    </row>
    <row r="879" customFormat="false" ht="15" hidden="false" customHeight="false" outlineLevel="0" collapsed="false">
      <c r="A879" s="8" t="n">
        <v>878</v>
      </c>
      <c r="B879" s="8" t="s">
        <v>45</v>
      </c>
      <c r="C879" s="8"/>
      <c r="D879" s="8" t="s">
        <v>2724</v>
      </c>
      <c r="E879" s="7" t="s">
        <v>2725</v>
      </c>
      <c r="F879" s="8"/>
      <c r="G879" s="8"/>
      <c r="H879" s="9" t="s">
        <v>594</v>
      </c>
      <c r="I879" s="9"/>
      <c r="J879" s="9"/>
      <c r="K879" s="9"/>
      <c r="L879" s="8"/>
      <c r="M879" s="8"/>
      <c r="N879" s="8" t="s">
        <v>595</v>
      </c>
      <c r="O879" s="8"/>
      <c r="P879" s="10" t="n">
        <f aca="false">IF($H879="숙박",0,IF($H879=MID(P$1,3,20),IF($I879="",1,0.6),IF($I879=MID(P$1,3,20),0.4,0)))</f>
        <v>0</v>
      </c>
      <c r="Q879" s="10" t="n">
        <f aca="false">IF($H879="숙박",0,IF($H879=MID(Q$1,3,20),IF($I879="",1,0.6),IF($I879=MID(Q$1,3,20),0.4,0)))</f>
        <v>0</v>
      </c>
      <c r="R879" s="10" t="n">
        <f aca="false">IF($H879="숙박",0,IF($H879=MID(R$1,3,20),IF($I879="",1,0.6),IF($I879=MID(R$1,3,20),0.4,0)))</f>
        <v>0</v>
      </c>
      <c r="S879" s="10" t="n">
        <f aca="false">IF($H879="숙박",0,IF($H879=MID(S$1,3,20),IF($I879="",1,0.6),IF($I879=MID(S$1,3,20),0.4,0)))</f>
        <v>0</v>
      </c>
      <c r="T879" s="10" t="n">
        <f aca="false">IF($H879="숙박",0,IF($H879=MID(T$1,3,20),IF($I879="",1,0.6),IF($I879=MID(T$1,3,20),0.4,0)))</f>
        <v>0</v>
      </c>
      <c r="U879" s="10" t="n">
        <f aca="false">IF($H879="숙박",0,IF(ISNUMBER(SEARCH("야경",$J879)),1,0))</f>
        <v>0</v>
      </c>
      <c r="V879" s="10" t="n">
        <f aca="false">IF($H879="숙박",0,1)</f>
        <v>0</v>
      </c>
    </row>
    <row r="880" customFormat="false" ht="15" hidden="false" customHeight="false" outlineLevel="0" collapsed="false">
      <c r="A880" s="8" t="n">
        <v>879</v>
      </c>
      <c r="B880" s="8" t="s">
        <v>45</v>
      </c>
      <c r="C880" s="8" t="s">
        <v>1444</v>
      </c>
      <c r="D880" s="8" t="s">
        <v>2726</v>
      </c>
      <c r="E880" s="7" t="s">
        <v>2727</v>
      </c>
      <c r="F880" s="8"/>
      <c r="G880" s="8" t="s">
        <v>49</v>
      </c>
      <c r="H880" s="9" t="s">
        <v>49</v>
      </c>
      <c r="I880" s="9" t="s">
        <v>216</v>
      </c>
      <c r="J880" s="9"/>
      <c r="K880" s="9" t="s">
        <v>52</v>
      </c>
      <c r="L880" s="8"/>
      <c r="M880" s="8"/>
      <c r="N880" s="8" t="s">
        <v>483</v>
      </c>
      <c r="O880" s="8" t="s">
        <v>2728</v>
      </c>
      <c r="P880" s="10" t="n">
        <f aca="false">IF($H880="숙박",0,IF($H880=MID(P$1,3,20),IF($I880="",1,0.6),IF($I880=MID(P$1,3,20),0.4,0)))</f>
        <v>0</v>
      </c>
      <c r="Q880" s="10" t="n">
        <f aca="false">IF($H880="숙박",0,IF($H880=MID(Q$1,3,20),IF($I880="",1,0.6),IF($I880=MID(Q$1,3,20),0.4,0)))</f>
        <v>0.6</v>
      </c>
      <c r="R880" s="10" t="n">
        <f aca="false">IF($H880="숙박",0,IF($H880=MID(R$1,3,20),IF($I880="",1,0.6),IF($I880=MID(R$1,3,20),0.4,0)))</f>
        <v>0</v>
      </c>
      <c r="S880" s="10" t="n">
        <f aca="false">IF($H880="숙박",0,IF($H880=MID(S$1,3,20),IF($I880="",1,0.6),IF($I880=MID(S$1,3,20),0.4,0)))</f>
        <v>0.4</v>
      </c>
      <c r="T880" s="10" t="n">
        <f aca="false">IF($H880="숙박",0,IF($H880=MID(T$1,3,20),IF($I880="",1,0.6),IF($I880=MID(T$1,3,20),0.4,0)))</f>
        <v>0</v>
      </c>
      <c r="U880" s="10" t="n">
        <f aca="false">IF($H880="숙박",0,IF(ISNUMBER(SEARCH("야경",$J880)),1,0))</f>
        <v>0</v>
      </c>
      <c r="V880" s="10" t="n">
        <f aca="false">IF($H880="숙박",0,1)</f>
        <v>1</v>
      </c>
    </row>
    <row r="881" customFormat="false" ht="15" hidden="false" customHeight="false" outlineLevel="0" collapsed="false">
      <c r="A881" s="8" t="n">
        <v>880</v>
      </c>
      <c r="B881" s="8" t="s">
        <v>45</v>
      </c>
      <c r="C881" s="8" t="s">
        <v>380</v>
      </c>
      <c r="D881" s="8" t="s">
        <v>2729</v>
      </c>
      <c r="E881" s="7" t="s">
        <v>2730</v>
      </c>
      <c r="F881" s="8"/>
      <c r="G881" s="8" t="s">
        <v>49</v>
      </c>
      <c r="H881" s="9" t="s">
        <v>49</v>
      </c>
      <c r="I881" s="9"/>
      <c r="J881" s="9"/>
      <c r="K881" s="9" t="s">
        <v>209</v>
      </c>
      <c r="L881" s="8"/>
      <c r="M881" s="8"/>
      <c r="N881" s="8"/>
      <c r="O881" s="8" t="s">
        <v>2731</v>
      </c>
      <c r="P881" s="10" t="n">
        <f aca="false">IF($H881="숙박",0,IF($H881=MID(P$1,3,20),IF($I881="",1,0.6),IF($I881=MID(P$1,3,20),0.4,0)))</f>
        <v>0</v>
      </c>
      <c r="Q881" s="10" t="n">
        <f aca="false">IF($H881="숙박",0,IF($H881=MID(Q$1,3,20),IF($I881="",1,0.6),IF($I881=MID(Q$1,3,20),0.4,0)))</f>
        <v>1</v>
      </c>
      <c r="R881" s="10" t="n">
        <f aca="false">IF($H881="숙박",0,IF($H881=MID(R$1,3,20),IF($I881="",1,0.6),IF($I881=MID(R$1,3,20),0.4,0)))</f>
        <v>0</v>
      </c>
      <c r="S881" s="10" t="n">
        <f aca="false">IF($H881="숙박",0,IF($H881=MID(S$1,3,20),IF($I881="",1,0.6),IF($I881=MID(S$1,3,20),0.4,0)))</f>
        <v>0</v>
      </c>
      <c r="T881" s="10" t="n">
        <f aca="false">IF($H881="숙박",0,IF($H881=MID(T$1,3,20),IF($I881="",1,0.6),IF($I881=MID(T$1,3,20),0.4,0)))</f>
        <v>0</v>
      </c>
      <c r="U881" s="10" t="n">
        <f aca="false">IF($H881="숙박",0,IF(ISNUMBER(SEARCH("야경",$J881)),1,0))</f>
        <v>0</v>
      </c>
      <c r="V881" s="10" t="n">
        <f aca="false">IF($H881="숙박",0,1)</f>
        <v>1</v>
      </c>
    </row>
    <row r="882" customFormat="false" ht="15" hidden="false" customHeight="false" outlineLevel="0" collapsed="false">
      <c r="A882" s="8" t="n">
        <v>881</v>
      </c>
      <c r="B882" s="8" t="s">
        <v>45</v>
      </c>
      <c r="C882" s="8"/>
      <c r="D882" s="8" t="s">
        <v>2732</v>
      </c>
      <c r="E882" s="7" t="s">
        <v>2733</v>
      </c>
      <c r="F882" s="8"/>
      <c r="G882" s="8"/>
      <c r="H882" s="9" t="s">
        <v>594</v>
      </c>
      <c r="I882" s="9"/>
      <c r="J882" s="9"/>
      <c r="K882" s="9"/>
      <c r="L882" s="8"/>
      <c r="M882" s="8"/>
      <c r="N882" s="8" t="s">
        <v>595</v>
      </c>
      <c r="O882" s="8"/>
      <c r="P882" s="10" t="n">
        <f aca="false">IF($H882="숙박",0,IF($H882=MID(P$1,3,20),IF($I882="",1,0.6),IF($I882=MID(P$1,3,20),0.4,0)))</f>
        <v>0</v>
      </c>
      <c r="Q882" s="10" t="n">
        <f aca="false">IF($H882="숙박",0,IF($H882=MID(Q$1,3,20),IF($I882="",1,0.6),IF($I882=MID(Q$1,3,20),0.4,0)))</f>
        <v>0</v>
      </c>
      <c r="R882" s="10" t="n">
        <f aca="false">IF($H882="숙박",0,IF($H882=MID(R$1,3,20),IF($I882="",1,0.6),IF($I882=MID(R$1,3,20),0.4,0)))</f>
        <v>0</v>
      </c>
      <c r="S882" s="10" t="n">
        <f aca="false">IF($H882="숙박",0,IF($H882=MID(S$1,3,20),IF($I882="",1,0.6),IF($I882=MID(S$1,3,20),0.4,0)))</f>
        <v>0</v>
      </c>
      <c r="T882" s="10" t="n">
        <f aca="false">IF($H882="숙박",0,IF($H882=MID(T$1,3,20),IF($I882="",1,0.6),IF($I882=MID(T$1,3,20),0.4,0)))</f>
        <v>0</v>
      </c>
      <c r="U882" s="10" t="n">
        <f aca="false">IF($H882="숙박",0,IF(ISNUMBER(SEARCH("야경",$J882)),1,0))</f>
        <v>0</v>
      </c>
      <c r="V882" s="10" t="n">
        <f aca="false">IF($H882="숙박",0,1)</f>
        <v>0</v>
      </c>
    </row>
    <row r="883" customFormat="false" ht="15" hidden="false" customHeight="false" outlineLevel="0" collapsed="false">
      <c r="A883" s="8" t="n">
        <v>882</v>
      </c>
      <c r="B883" s="8" t="s">
        <v>45</v>
      </c>
      <c r="C883" s="8" t="s">
        <v>421</v>
      </c>
      <c r="D883" s="8" t="s">
        <v>2734</v>
      </c>
      <c r="E883" s="7" t="s">
        <v>2735</v>
      </c>
      <c r="F883" s="8"/>
      <c r="G883" s="8" t="s">
        <v>49</v>
      </c>
      <c r="H883" s="9" t="s">
        <v>49</v>
      </c>
      <c r="I883" s="9"/>
      <c r="J883" s="9"/>
      <c r="K883" s="9" t="s">
        <v>52</v>
      </c>
      <c r="L883" s="8"/>
      <c r="M883" s="8"/>
      <c r="N883" s="8"/>
      <c r="O883" s="8" t="s">
        <v>2736</v>
      </c>
      <c r="P883" s="10" t="n">
        <f aca="false">IF($H883="숙박",0,IF($H883=MID(P$1,3,20),IF($I883="",1,0.6),IF($I883=MID(P$1,3,20),0.4,0)))</f>
        <v>0</v>
      </c>
      <c r="Q883" s="10" t="n">
        <f aca="false">IF($H883="숙박",0,IF($H883=MID(Q$1,3,20),IF($I883="",1,0.6),IF($I883=MID(Q$1,3,20),0.4,0)))</f>
        <v>1</v>
      </c>
      <c r="R883" s="10" t="n">
        <f aca="false">IF($H883="숙박",0,IF($H883=MID(R$1,3,20),IF($I883="",1,0.6),IF($I883=MID(R$1,3,20),0.4,0)))</f>
        <v>0</v>
      </c>
      <c r="S883" s="10" t="n">
        <f aca="false">IF($H883="숙박",0,IF($H883=MID(S$1,3,20),IF($I883="",1,0.6),IF($I883=MID(S$1,3,20),0.4,0)))</f>
        <v>0</v>
      </c>
      <c r="T883" s="10" t="n">
        <f aca="false">IF($H883="숙박",0,IF($H883=MID(T$1,3,20),IF($I883="",1,0.6),IF($I883=MID(T$1,3,20),0.4,0)))</f>
        <v>0</v>
      </c>
      <c r="U883" s="10" t="n">
        <f aca="false">IF($H883="숙박",0,IF(ISNUMBER(SEARCH("야경",$J883)),1,0))</f>
        <v>0</v>
      </c>
      <c r="V883" s="10" t="n">
        <f aca="false">IF($H883="숙박",0,1)</f>
        <v>1</v>
      </c>
    </row>
    <row r="884" customFormat="false" ht="15" hidden="false" customHeight="false" outlineLevel="0" collapsed="false">
      <c r="A884" s="8" t="n">
        <v>883</v>
      </c>
      <c r="B884" s="8" t="s">
        <v>45</v>
      </c>
      <c r="C884" s="8" t="s">
        <v>317</v>
      </c>
      <c r="D884" s="8" t="s">
        <v>2737</v>
      </c>
      <c r="E884" s="7" t="s">
        <v>2738</v>
      </c>
      <c r="F884" s="8"/>
      <c r="G884" s="8" t="s">
        <v>184</v>
      </c>
      <c r="H884" s="9" t="s">
        <v>184</v>
      </c>
      <c r="I884" s="9"/>
      <c r="J884" s="9"/>
      <c r="K884" s="9" t="s">
        <v>191</v>
      </c>
      <c r="L884" s="8"/>
      <c r="M884" s="8"/>
      <c r="N884" s="8"/>
      <c r="O884" s="8" t="s">
        <v>2739</v>
      </c>
      <c r="P884" s="10" t="n">
        <f aca="false">IF($H884="숙박",0,IF($H884=MID(P$1,3,20),IF($I884="",1,0.6),IF($I884=MID(P$1,3,20),0.4,0)))</f>
        <v>0</v>
      </c>
      <c r="Q884" s="10" t="n">
        <f aca="false">IF($H884="숙박",0,IF($H884=MID(Q$1,3,20),IF($I884="",1,0.6),IF($I884=MID(Q$1,3,20),0.4,0)))</f>
        <v>0</v>
      </c>
      <c r="R884" s="10" t="n">
        <f aca="false">IF($H884="숙박",0,IF($H884=MID(R$1,3,20),IF($I884="",1,0.6),IF($I884=MID(R$1,3,20),0.4,0)))</f>
        <v>1</v>
      </c>
      <c r="S884" s="10" t="n">
        <f aca="false">IF($H884="숙박",0,IF($H884=MID(S$1,3,20),IF($I884="",1,0.6),IF($I884=MID(S$1,3,20),0.4,0)))</f>
        <v>0</v>
      </c>
      <c r="T884" s="10" t="n">
        <f aca="false">IF($H884="숙박",0,IF($H884=MID(T$1,3,20),IF($I884="",1,0.6),IF($I884=MID(T$1,3,20),0.4,0)))</f>
        <v>0</v>
      </c>
      <c r="U884" s="10" t="n">
        <f aca="false">IF($H884="숙박",0,IF(ISNUMBER(SEARCH("야경",$J884)),1,0))</f>
        <v>0</v>
      </c>
      <c r="V884" s="10" t="n">
        <f aca="false">IF($H884="숙박",0,1)</f>
        <v>1</v>
      </c>
    </row>
    <row r="885" customFormat="false" ht="15" hidden="false" customHeight="false" outlineLevel="0" collapsed="false">
      <c r="A885" s="8" t="n">
        <v>884</v>
      </c>
      <c r="B885" s="8" t="s">
        <v>45</v>
      </c>
      <c r="C885" s="8" t="s">
        <v>467</v>
      </c>
      <c r="D885" s="8" t="s">
        <v>2740</v>
      </c>
      <c r="E885" s="7" t="s">
        <v>2741</v>
      </c>
      <c r="F885" s="8"/>
      <c r="G885" s="8" t="s">
        <v>184</v>
      </c>
      <c r="H885" s="9" t="s">
        <v>184</v>
      </c>
      <c r="I885" s="9"/>
      <c r="J885" s="9" t="s">
        <v>1361</v>
      </c>
      <c r="K885" s="9" t="s">
        <v>191</v>
      </c>
      <c r="L885" s="8"/>
      <c r="M885" s="8"/>
      <c r="N885" s="8"/>
      <c r="O885" s="8" t="s">
        <v>2742</v>
      </c>
      <c r="P885" s="10" t="n">
        <f aca="false">IF($H885="숙박",0,IF($H885=MID(P$1,3,20),IF($I885="",1,0.6),IF($I885=MID(P$1,3,20),0.4,0)))</f>
        <v>0</v>
      </c>
      <c r="Q885" s="10" t="n">
        <f aca="false">IF($H885="숙박",0,IF($H885=MID(Q$1,3,20),IF($I885="",1,0.6),IF($I885=MID(Q$1,3,20),0.4,0)))</f>
        <v>0</v>
      </c>
      <c r="R885" s="10" t="n">
        <f aca="false">IF($H885="숙박",0,IF($H885=MID(R$1,3,20),IF($I885="",1,0.6),IF($I885=MID(R$1,3,20),0.4,0)))</f>
        <v>1</v>
      </c>
      <c r="S885" s="10" t="n">
        <f aca="false">IF($H885="숙박",0,IF($H885=MID(S$1,3,20),IF($I885="",1,0.6),IF($I885=MID(S$1,3,20),0.4,0)))</f>
        <v>0</v>
      </c>
      <c r="T885" s="10" t="n">
        <f aca="false">IF($H885="숙박",0,IF($H885=MID(T$1,3,20),IF($I885="",1,0.6),IF($I885=MID(T$1,3,20),0.4,0)))</f>
        <v>0</v>
      </c>
      <c r="U885" s="10" t="n">
        <f aca="false">IF($H885="숙박",0,IF(ISNUMBER(SEARCH("야경",$J885)),1,0))</f>
        <v>0</v>
      </c>
      <c r="V885" s="10" t="n">
        <f aca="false">IF($H885="숙박",0,1)</f>
        <v>1</v>
      </c>
    </row>
    <row r="886" customFormat="false" ht="15" hidden="false" customHeight="false" outlineLevel="0" collapsed="false">
      <c r="A886" s="8" t="n">
        <v>885</v>
      </c>
      <c r="B886" s="8" t="s">
        <v>45</v>
      </c>
      <c r="C886" s="8"/>
      <c r="D886" s="8" t="s">
        <v>2743</v>
      </c>
      <c r="E886" s="7" t="s">
        <v>2744</v>
      </c>
      <c r="F886" s="8"/>
      <c r="G886" s="8"/>
      <c r="H886" s="9" t="s">
        <v>594</v>
      </c>
      <c r="I886" s="9"/>
      <c r="J886" s="9"/>
      <c r="K886" s="9"/>
      <c r="L886" s="8"/>
      <c r="M886" s="8"/>
      <c r="N886" s="8" t="s">
        <v>595</v>
      </c>
      <c r="O886" s="8"/>
      <c r="P886" s="10" t="n">
        <f aca="false">IF($H886="숙박",0,IF($H886=MID(P$1,3,20),IF($I886="",1,0.6),IF($I886=MID(P$1,3,20),0.4,0)))</f>
        <v>0</v>
      </c>
      <c r="Q886" s="10" t="n">
        <f aca="false">IF($H886="숙박",0,IF($H886=MID(Q$1,3,20),IF($I886="",1,0.6),IF($I886=MID(Q$1,3,20),0.4,0)))</f>
        <v>0</v>
      </c>
      <c r="R886" s="10" t="n">
        <f aca="false">IF($H886="숙박",0,IF($H886=MID(R$1,3,20),IF($I886="",1,0.6),IF($I886=MID(R$1,3,20),0.4,0)))</f>
        <v>0</v>
      </c>
      <c r="S886" s="10" t="n">
        <f aca="false">IF($H886="숙박",0,IF($H886=MID(S$1,3,20),IF($I886="",1,0.6),IF($I886=MID(S$1,3,20),0.4,0)))</f>
        <v>0</v>
      </c>
      <c r="T886" s="10" t="n">
        <f aca="false">IF($H886="숙박",0,IF($H886=MID(T$1,3,20),IF($I886="",1,0.6),IF($I886=MID(T$1,3,20),0.4,0)))</f>
        <v>0</v>
      </c>
      <c r="U886" s="10" t="n">
        <f aca="false">IF($H886="숙박",0,IF(ISNUMBER(SEARCH("야경",$J886)),1,0))</f>
        <v>0</v>
      </c>
      <c r="V886" s="10" t="n">
        <f aca="false">IF($H886="숙박",0,1)</f>
        <v>0</v>
      </c>
    </row>
    <row r="887" customFormat="false" ht="15" hidden="false" customHeight="false" outlineLevel="0" collapsed="false">
      <c r="A887" s="8" t="n">
        <v>886</v>
      </c>
      <c r="B887" s="8" t="s">
        <v>45</v>
      </c>
      <c r="C887" s="8" t="s">
        <v>1489</v>
      </c>
      <c r="D887" s="8" t="s">
        <v>2745</v>
      </c>
      <c r="E887" s="7" t="s">
        <v>2746</v>
      </c>
      <c r="F887" s="8"/>
      <c r="G887" s="8" t="s">
        <v>184</v>
      </c>
      <c r="H887" s="9" t="s">
        <v>184</v>
      </c>
      <c r="I887" s="9" t="s">
        <v>190</v>
      </c>
      <c r="J887" s="9"/>
      <c r="K887" s="9" t="s">
        <v>52</v>
      </c>
      <c r="L887" s="8"/>
      <c r="M887" s="8"/>
      <c r="N887" s="8" t="s">
        <v>483</v>
      </c>
      <c r="O887" s="8" t="s">
        <v>2747</v>
      </c>
      <c r="P887" s="10" t="n">
        <f aca="false">IF($H887="숙박",0,IF($H887=MID(P$1,3,20),IF($I887="",1,0.6),IF($I887=MID(P$1,3,20),0.4,0)))</f>
        <v>0.4</v>
      </c>
      <c r="Q887" s="10" t="n">
        <f aca="false">IF($H887="숙박",0,IF($H887=MID(Q$1,3,20),IF($I887="",1,0.6),IF($I887=MID(Q$1,3,20),0.4,0)))</f>
        <v>0</v>
      </c>
      <c r="R887" s="10" t="n">
        <f aca="false">IF($H887="숙박",0,IF($H887=MID(R$1,3,20),IF($I887="",1,0.6),IF($I887=MID(R$1,3,20),0.4,0)))</f>
        <v>0.6</v>
      </c>
      <c r="S887" s="10" t="n">
        <f aca="false">IF($H887="숙박",0,IF($H887=MID(S$1,3,20),IF($I887="",1,0.6),IF($I887=MID(S$1,3,20),0.4,0)))</f>
        <v>0</v>
      </c>
      <c r="T887" s="10" t="n">
        <f aca="false">IF($H887="숙박",0,IF($H887=MID(T$1,3,20),IF($I887="",1,0.6),IF($I887=MID(T$1,3,20),0.4,0)))</f>
        <v>0</v>
      </c>
      <c r="U887" s="10" t="n">
        <f aca="false">IF($H887="숙박",0,IF(ISNUMBER(SEARCH("야경",$J887)),1,0))</f>
        <v>0</v>
      </c>
      <c r="V887" s="10" t="n">
        <f aca="false">IF($H887="숙박",0,1)</f>
        <v>1</v>
      </c>
    </row>
    <row r="888" customFormat="false" ht="15" hidden="false" customHeight="false" outlineLevel="0" collapsed="false">
      <c r="A888" s="8" t="n">
        <v>887</v>
      </c>
      <c r="B888" s="8" t="s">
        <v>45</v>
      </c>
      <c r="C888" s="8" t="s">
        <v>1489</v>
      </c>
      <c r="D888" s="8" t="s">
        <v>2748</v>
      </c>
      <c r="E888" s="7" t="s">
        <v>2749</v>
      </c>
      <c r="F888" s="8"/>
      <c r="G888" s="8" t="s">
        <v>190</v>
      </c>
      <c r="H888" s="9" t="s">
        <v>190</v>
      </c>
      <c r="I888" s="9"/>
      <c r="J888" s="9" t="s">
        <v>1361</v>
      </c>
      <c r="K888" s="9" t="s">
        <v>52</v>
      </c>
      <c r="L888" s="8"/>
      <c r="M888" s="8"/>
      <c r="N888" s="8"/>
      <c r="O888" s="8" t="s">
        <v>2750</v>
      </c>
      <c r="P888" s="10" t="n">
        <f aca="false">IF($H888="숙박",0,IF($H888=MID(P$1,3,20),IF($I888="",1,0.6),IF($I888=MID(P$1,3,20),0.4,0)))</f>
        <v>1</v>
      </c>
      <c r="Q888" s="10" t="n">
        <f aca="false">IF($H888="숙박",0,IF($H888=MID(Q$1,3,20),IF($I888="",1,0.6),IF($I888=MID(Q$1,3,20),0.4,0)))</f>
        <v>0</v>
      </c>
      <c r="R888" s="10" t="n">
        <f aca="false">IF($H888="숙박",0,IF($H888=MID(R$1,3,20),IF($I888="",1,0.6),IF($I888=MID(R$1,3,20),0.4,0)))</f>
        <v>0</v>
      </c>
      <c r="S888" s="10" t="n">
        <f aca="false">IF($H888="숙박",0,IF($H888=MID(S$1,3,20),IF($I888="",1,0.6),IF($I888=MID(S$1,3,20),0.4,0)))</f>
        <v>0</v>
      </c>
      <c r="T888" s="10" t="n">
        <f aca="false">IF($H888="숙박",0,IF($H888=MID(T$1,3,20),IF($I888="",1,0.6),IF($I888=MID(T$1,3,20),0.4,0)))</f>
        <v>0</v>
      </c>
      <c r="U888" s="10" t="n">
        <f aca="false">IF($H888="숙박",0,IF(ISNUMBER(SEARCH("야경",$J888)),1,0))</f>
        <v>0</v>
      </c>
      <c r="V888" s="10" t="n">
        <f aca="false">IF($H888="숙박",0,1)</f>
        <v>1</v>
      </c>
    </row>
    <row r="889" customFormat="false" ht="15" hidden="false" customHeight="false" outlineLevel="0" collapsed="false">
      <c r="A889" s="8" t="n">
        <v>888</v>
      </c>
      <c r="B889" s="8" t="s">
        <v>45</v>
      </c>
      <c r="C889" s="8" t="s">
        <v>1489</v>
      </c>
      <c r="D889" s="8" t="s">
        <v>2751</v>
      </c>
      <c r="E889" s="7" t="s">
        <v>2752</v>
      </c>
      <c r="F889" s="8"/>
      <c r="G889" s="8" t="s">
        <v>216</v>
      </c>
      <c r="H889" s="9" t="s">
        <v>216</v>
      </c>
      <c r="I889" s="9"/>
      <c r="J889" s="9"/>
      <c r="K889" s="9" t="s">
        <v>52</v>
      </c>
      <c r="L889" s="8"/>
      <c r="M889" s="8"/>
      <c r="N889" s="8"/>
      <c r="O889" s="8" t="s">
        <v>2753</v>
      </c>
      <c r="P889" s="10" t="n">
        <f aca="false">IF($H889="숙박",0,IF($H889=MID(P$1,3,20),IF($I889="",1,0.6),IF($I889=MID(P$1,3,20),0.4,0)))</f>
        <v>0</v>
      </c>
      <c r="Q889" s="10" t="n">
        <f aca="false">IF($H889="숙박",0,IF($H889=MID(Q$1,3,20),IF($I889="",1,0.6),IF($I889=MID(Q$1,3,20),0.4,0)))</f>
        <v>0</v>
      </c>
      <c r="R889" s="10" t="n">
        <f aca="false">IF($H889="숙박",0,IF($H889=MID(R$1,3,20),IF($I889="",1,0.6),IF($I889=MID(R$1,3,20),0.4,0)))</f>
        <v>0</v>
      </c>
      <c r="S889" s="10" t="n">
        <f aca="false">IF($H889="숙박",0,IF($H889=MID(S$1,3,20),IF($I889="",1,0.6),IF($I889=MID(S$1,3,20),0.4,0)))</f>
        <v>1</v>
      </c>
      <c r="T889" s="10" t="n">
        <f aca="false">IF($H889="숙박",0,IF($H889=MID(T$1,3,20),IF($I889="",1,0.6),IF($I889=MID(T$1,3,20),0.4,0)))</f>
        <v>0</v>
      </c>
      <c r="U889" s="10" t="n">
        <f aca="false">IF($H889="숙박",0,IF(ISNUMBER(SEARCH("야경",$J889)),1,0))</f>
        <v>0</v>
      </c>
      <c r="V889" s="10" t="n">
        <f aca="false">IF($H889="숙박",0,1)</f>
        <v>1</v>
      </c>
    </row>
    <row r="890" customFormat="false" ht="15" hidden="false" customHeight="false" outlineLevel="0" collapsed="false">
      <c r="A890" s="8" t="n">
        <v>889</v>
      </c>
      <c r="B890" s="8" t="s">
        <v>45</v>
      </c>
      <c r="C890" s="8" t="s">
        <v>1489</v>
      </c>
      <c r="D890" s="8" t="s">
        <v>2754</v>
      </c>
      <c r="E890" s="7" t="s">
        <v>2755</v>
      </c>
      <c r="F890" s="8"/>
      <c r="G890" s="8" t="s">
        <v>184</v>
      </c>
      <c r="H890" s="9" t="s">
        <v>184</v>
      </c>
      <c r="I890" s="9" t="s">
        <v>49</v>
      </c>
      <c r="J890" s="9" t="s">
        <v>1361</v>
      </c>
      <c r="K890" s="9" t="s">
        <v>191</v>
      </c>
      <c r="L890" s="8"/>
      <c r="M890" s="8"/>
      <c r="N890" s="8" t="s">
        <v>483</v>
      </c>
      <c r="O890" s="8" t="s">
        <v>2756</v>
      </c>
      <c r="P890" s="10" t="n">
        <f aca="false">IF($H890="숙박",0,IF($H890=MID(P$1,3,20),IF($I890="",1,0.6),IF($I890=MID(P$1,3,20),0.4,0)))</f>
        <v>0</v>
      </c>
      <c r="Q890" s="10" t="n">
        <f aca="false">IF($H890="숙박",0,IF($H890=MID(Q$1,3,20),IF($I890="",1,0.6),IF($I890=MID(Q$1,3,20),0.4,0)))</f>
        <v>0.4</v>
      </c>
      <c r="R890" s="10" t="n">
        <f aca="false">IF($H890="숙박",0,IF($H890=MID(R$1,3,20),IF($I890="",1,0.6),IF($I890=MID(R$1,3,20),0.4,0)))</f>
        <v>0.6</v>
      </c>
      <c r="S890" s="10" t="n">
        <f aca="false">IF($H890="숙박",0,IF($H890=MID(S$1,3,20),IF($I890="",1,0.6),IF($I890=MID(S$1,3,20),0.4,0)))</f>
        <v>0</v>
      </c>
      <c r="T890" s="10" t="n">
        <f aca="false">IF($H890="숙박",0,IF($H890=MID(T$1,3,20),IF($I890="",1,0.6),IF($I890=MID(T$1,3,20),0.4,0)))</f>
        <v>0</v>
      </c>
      <c r="U890" s="10" t="n">
        <f aca="false">IF($H890="숙박",0,IF(ISNUMBER(SEARCH("야경",$J890)),1,0))</f>
        <v>0</v>
      </c>
      <c r="V890" s="10" t="n">
        <f aca="false">IF($H890="숙박",0,1)</f>
        <v>1</v>
      </c>
    </row>
    <row r="891" customFormat="false" ht="15" hidden="false" customHeight="false" outlineLevel="0" collapsed="false">
      <c r="A891" s="8" t="n">
        <v>890</v>
      </c>
      <c r="B891" s="8" t="s">
        <v>45</v>
      </c>
      <c r="C891" s="8" t="s">
        <v>1489</v>
      </c>
      <c r="D891" s="8" t="s">
        <v>2757</v>
      </c>
      <c r="E891" s="7" t="s">
        <v>2758</v>
      </c>
      <c r="F891" s="8"/>
      <c r="G891" s="8" t="s">
        <v>190</v>
      </c>
      <c r="H891" s="9" t="s">
        <v>190</v>
      </c>
      <c r="I891" s="9"/>
      <c r="J891" s="9"/>
      <c r="K891" s="9" t="s">
        <v>52</v>
      </c>
      <c r="L891" s="8"/>
      <c r="M891" s="8"/>
      <c r="N891" s="8"/>
      <c r="O891" s="8" t="s">
        <v>2759</v>
      </c>
      <c r="P891" s="10" t="n">
        <f aca="false">IF($H891="숙박",0,IF($H891=MID(P$1,3,20),IF($I891="",1,0.6),IF($I891=MID(P$1,3,20),0.4,0)))</f>
        <v>1</v>
      </c>
      <c r="Q891" s="10" t="n">
        <f aca="false">IF($H891="숙박",0,IF($H891=MID(Q$1,3,20),IF($I891="",1,0.6),IF($I891=MID(Q$1,3,20),0.4,0)))</f>
        <v>0</v>
      </c>
      <c r="R891" s="10" t="n">
        <f aca="false">IF($H891="숙박",0,IF($H891=MID(R$1,3,20),IF($I891="",1,0.6),IF($I891=MID(R$1,3,20),0.4,0)))</f>
        <v>0</v>
      </c>
      <c r="S891" s="10" t="n">
        <f aca="false">IF($H891="숙박",0,IF($H891=MID(S$1,3,20),IF($I891="",1,0.6),IF($I891=MID(S$1,3,20),0.4,0)))</f>
        <v>0</v>
      </c>
      <c r="T891" s="10" t="n">
        <f aca="false">IF($H891="숙박",0,IF($H891=MID(T$1,3,20),IF($I891="",1,0.6),IF($I891=MID(T$1,3,20),0.4,0)))</f>
        <v>0</v>
      </c>
      <c r="U891" s="10" t="n">
        <f aca="false">IF($H891="숙박",0,IF(ISNUMBER(SEARCH("야경",$J891)),1,0))</f>
        <v>0</v>
      </c>
      <c r="V891" s="10" t="n">
        <f aca="false">IF($H891="숙박",0,1)</f>
        <v>1</v>
      </c>
    </row>
    <row r="892" customFormat="false" ht="15" hidden="false" customHeight="false" outlineLevel="0" collapsed="false">
      <c r="A892" s="8" t="n">
        <v>891</v>
      </c>
      <c r="B892" s="8" t="s">
        <v>45</v>
      </c>
      <c r="C892" s="8" t="s">
        <v>1489</v>
      </c>
      <c r="D892" s="8" t="s">
        <v>2760</v>
      </c>
      <c r="E892" s="7" t="s">
        <v>2761</v>
      </c>
      <c r="F892" s="8"/>
      <c r="G892" s="8" t="s">
        <v>190</v>
      </c>
      <c r="H892" s="9" t="s">
        <v>190</v>
      </c>
      <c r="I892" s="9"/>
      <c r="J892" s="9"/>
      <c r="K892" s="9" t="s">
        <v>52</v>
      </c>
      <c r="L892" s="8"/>
      <c r="M892" s="8"/>
      <c r="N892" s="8"/>
      <c r="O892" s="8" t="s">
        <v>2762</v>
      </c>
      <c r="P892" s="10" t="n">
        <f aca="false">IF($H892="숙박",0,IF($H892=MID(P$1,3,20),IF($I892="",1,0.6),IF($I892=MID(P$1,3,20),0.4,0)))</f>
        <v>1</v>
      </c>
      <c r="Q892" s="10" t="n">
        <f aca="false">IF($H892="숙박",0,IF($H892=MID(Q$1,3,20),IF($I892="",1,0.6),IF($I892=MID(Q$1,3,20),0.4,0)))</f>
        <v>0</v>
      </c>
      <c r="R892" s="10" t="n">
        <f aca="false">IF($H892="숙박",0,IF($H892=MID(R$1,3,20),IF($I892="",1,0.6),IF($I892=MID(R$1,3,20),0.4,0)))</f>
        <v>0</v>
      </c>
      <c r="S892" s="10" t="n">
        <f aca="false">IF($H892="숙박",0,IF($H892=MID(S$1,3,20),IF($I892="",1,0.6),IF($I892=MID(S$1,3,20),0.4,0)))</f>
        <v>0</v>
      </c>
      <c r="T892" s="10" t="n">
        <f aca="false">IF($H892="숙박",0,IF($H892=MID(T$1,3,20),IF($I892="",1,0.6),IF($I892=MID(T$1,3,20),0.4,0)))</f>
        <v>0</v>
      </c>
      <c r="U892" s="10" t="n">
        <f aca="false">IF($H892="숙박",0,IF(ISNUMBER(SEARCH("야경",$J892)),1,0))</f>
        <v>0</v>
      </c>
      <c r="V892" s="10" t="n">
        <f aca="false">IF($H892="숙박",0,1)</f>
        <v>1</v>
      </c>
    </row>
    <row r="893" customFormat="false" ht="15" hidden="false" customHeight="false" outlineLevel="0" collapsed="false">
      <c r="A893" s="8" t="n">
        <v>892</v>
      </c>
      <c r="B893" s="8" t="s">
        <v>45</v>
      </c>
      <c r="C893" s="8" t="s">
        <v>174</v>
      </c>
      <c r="D893" s="8" t="s">
        <v>2763</v>
      </c>
      <c r="E893" s="7" t="s">
        <v>2764</v>
      </c>
      <c r="F893" s="8"/>
      <c r="G893" s="8" t="s">
        <v>49</v>
      </c>
      <c r="H893" s="9" t="s">
        <v>49</v>
      </c>
      <c r="I893" s="9"/>
      <c r="J893" s="9"/>
      <c r="K893" s="9" t="s">
        <v>52</v>
      </c>
      <c r="L893" s="8"/>
      <c r="M893" s="8"/>
      <c r="N893" s="8"/>
      <c r="O893" s="8" t="s">
        <v>2765</v>
      </c>
      <c r="P893" s="10" t="n">
        <f aca="false">IF($H893="숙박",0,IF($H893=MID(P$1,3,20),IF($I893="",1,0.6),IF($I893=MID(P$1,3,20),0.4,0)))</f>
        <v>0</v>
      </c>
      <c r="Q893" s="10" t="n">
        <f aca="false">IF($H893="숙박",0,IF($H893=MID(Q$1,3,20),IF($I893="",1,0.6),IF($I893=MID(Q$1,3,20),0.4,0)))</f>
        <v>1</v>
      </c>
      <c r="R893" s="10" t="n">
        <f aca="false">IF($H893="숙박",0,IF($H893=MID(R$1,3,20),IF($I893="",1,0.6),IF($I893=MID(R$1,3,20),0.4,0)))</f>
        <v>0</v>
      </c>
      <c r="S893" s="10" t="n">
        <f aca="false">IF($H893="숙박",0,IF($H893=MID(S$1,3,20),IF($I893="",1,0.6),IF($I893=MID(S$1,3,20),0.4,0)))</f>
        <v>0</v>
      </c>
      <c r="T893" s="10" t="n">
        <f aca="false">IF($H893="숙박",0,IF($H893=MID(T$1,3,20),IF($I893="",1,0.6),IF($I893=MID(T$1,3,20),0.4,0)))</f>
        <v>0</v>
      </c>
      <c r="U893" s="10" t="n">
        <f aca="false">IF($H893="숙박",0,IF(ISNUMBER(SEARCH("야경",$J893)),1,0))</f>
        <v>0</v>
      </c>
      <c r="V893" s="10" t="n">
        <f aca="false">IF($H893="숙박",0,1)</f>
        <v>1</v>
      </c>
    </row>
    <row r="894" customFormat="false" ht="15" hidden="false" customHeight="false" outlineLevel="0" collapsed="false">
      <c r="A894" s="8" t="n">
        <v>893</v>
      </c>
      <c r="B894" s="8" t="s">
        <v>45</v>
      </c>
      <c r="C894" s="8"/>
      <c r="D894" s="8" t="s">
        <v>2766</v>
      </c>
      <c r="E894" s="7" t="s">
        <v>2767</v>
      </c>
      <c r="F894" s="8"/>
      <c r="G894" s="8"/>
      <c r="H894" s="9" t="s">
        <v>594</v>
      </c>
      <c r="I894" s="9"/>
      <c r="J894" s="9"/>
      <c r="K894" s="9"/>
      <c r="L894" s="8"/>
      <c r="M894" s="8"/>
      <c r="N894" s="8" t="s">
        <v>595</v>
      </c>
      <c r="O894" s="8"/>
      <c r="P894" s="10" t="n">
        <f aca="false">IF($H894="숙박",0,IF($H894=MID(P$1,3,20),IF($I894="",1,0.6),IF($I894=MID(P$1,3,20),0.4,0)))</f>
        <v>0</v>
      </c>
      <c r="Q894" s="10" t="n">
        <f aca="false">IF($H894="숙박",0,IF($H894=MID(Q$1,3,20),IF($I894="",1,0.6),IF($I894=MID(Q$1,3,20),0.4,0)))</f>
        <v>0</v>
      </c>
      <c r="R894" s="10" t="n">
        <f aca="false">IF($H894="숙박",0,IF($H894=MID(R$1,3,20),IF($I894="",1,0.6),IF($I894=MID(R$1,3,20),0.4,0)))</f>
        <v>0</v>
      </c>
      <c r="S894" s="10" t="n">
        <f aca="false">IF($H894="숙박",0,IF($H894=MID(S$1,3,20),IF($I894="",1,0.6),IF($I894=MID(S$1,3,20),0.4,0)))</f>
        <v>0</v>
      </c>
      <c r="T894" s="10" t="n">
        <f aca="false">IF($H894="숙박",0,IF($H894=MID(T$1,3,20),IF($I894="",1,0.6),IF($I894=MID(T$1,3,20),0.4,0)))</f>
        <v>0</v>
      </c>
      <c r="U894" s="10" t="n">
        <f aca="false">IF($H894="숙박",0,IF(ISNUMBER(SEARCH("야경",$J894)),1,0))</f>
        <v>0</v>
      </c>
      <c r="V894" s="10" t="n">
        <f aca="false">IF($H894="숙박",0,1)</f>
        <v>0</v>
      </c>
    </row>
    <row r="895" customFormat="false" ht="15" hidden="false" customHeight="false" outlineLevel="0" collapsed="false">
      <c r="A895" s="8" t="n">
        <v>894</v>
      </c>
      <c r="B895" s="8" t="s">
        <v>45</v>
      </c>
      <c r="C895" s="8"/>
      <c r="D895" s="8" t="s">
        <v>2768</v>
      </c>
      <c r="E895" s="7" t="s">
        <v>2769</v>
      </c>
      <c r="F895" s="8"/>
      <c r="G895" s="8"/>
      <c r="H895" s="9" t="s">
        <v>594</v>
      </c>
      <c r="I895" s="9"/>
      <c r="J895" s="9"/>
      <c r="K895" s="9"/>
      <c r="L895" s="8"/>
      <c r="M895" s="8"/>
      <c r="N895" s="8" t="s">
        <v>595</v>
      </c>
      <c r="O895" s="8"/>
      <c r="P895" s="10" t="n">
        <f aca="false">IF($H895="숙박",0,IF($H895=MID(P$1,3,20),IF($I895="",1,0.6),IF($I895=MID(P$1,3,20),0.4,0)))</f>
        <v>0</v>
      </c>
      <c r="Q895" s="10" t="n">
        <f aca="false">IF($H895="숙박",0,IF($H895=MID(Q$1,3,20),IF($I895="",1,0.6),IF($I895=MID(Q$1,3,20),0.4,0)))</f>
        <v>0</v>
      </c>
      <c r="R895" s="10" t="n">
        <f aca="false">IF($H895="숙박",0,IF($H895=MID(R$1,3,20),IF($I895="",1,0.6),IF($I895=MID(R$1,3,20),0.4,0)))</f>
        <v>0</v>
      </c>
      <c r="S895" s="10" t="n">
        <f aca="false">IF($H895="숙박",0,IF($H895=MID(S$1,3,20),IF($I895="",1,0.6),IF($I895=MID(S$1,3,20),0.4,0)))</f>
        <v>0</v>
      </c>
      <c r="T895" s="10" t="n">
        <f aca="false">IF($H895="숙박",0,IF($H895=MID(T$1,3,20),IF($I895="",1,0.6),IF($I895=MID(T$1,3,20),0.4,0)))</f>
        <v>0</v>
      </c>
      <c r="U895" s="10" t="n">
        <f aca="false">IF($H895="숙박",0,IF(ISNUMBER(SEARCH("야경",$J895)),1,0))</f>
        <v>0</v>
      </c>
      <c r="V895" s="10" t="n">
        <f aca="false">IF($H895="숙박",0,1)</f>
        <v>0</v>
      </c>
    </row>
    <row r="896" customFormat="false" ht="15" hidden="false" customHeight="false" outlineLevel="0" collapsed="false">
      <c r="A896" s="8" t="n">
        <v>895</v>
      </c>
      <c r="B896" s="8" t="s">
        <v>45</v>
      </c>
      <c r="C896" s="8" t="s">
        <v>301</v>
      </c>
      <c r="D896" s="8" t="s">
        <v>2770</v>
      </c>
      <c r="E896" s="7" t="s">
        <v>2771</v>
      </c>
      <c r="F896" s="8"/>
      <c r="G896" s="8" t="s">
        <v>216</v>
      </c>
      <c r="H896" s="9" t="s">
        <v>216</v>
      </c>
      <c r="I896" s="9" t="s">
        <v>50</v>
      </c>
      <c r="J896" s="9" t="s">
        <v>168</v>
      </c>
      <c r="K896" s="9" t="s">
        <v>191</v>
      </c>
      <c r="L896" s="8"/>
      <c r="M896" s="8"/>
      <c r="N896" s="8" t="s">
        <v>185</v>
      </c>
      <c r="O896" s="8" t="s">
        <v>2772</v>
      </c>
      <c r="P896" s="10" t="n">
        <f aca="false">IF($H896="숙박",0,IF($H896=MID(P$1,3,20),IF($I896="",1,0.6),IF($I896=MID(P$1,3,20),0.4,0)))</f>
        <v>0</v>
      </c>
      <c r="Q896" s="10" t="n">
        <f aca="false">IF($H896="숙박",0,IF($H896=MID(Q$1,3,20),IF($I896="",1,0.6),IF($I896=MID(Q$1,3,20),0.4,0)))</f>
        <v>0</v>
      </c>
      <c r="R896" s="10" t="n">
        <f aca="false">IF($H896="숙박",0,IF($H896=MID(R$1,3,20),IF($I896="",1,0.6),IF($I896=MID(R$1,3,20),0.4,0)))</f>
        <v>0</v>
      </c>
      <c r="S896" s="10" t="n">
        <f aca="false">IF($H896="숙박",0,IF($H896=MID(S$1,3,20),IF($I896="",1,0.6),IF($I896=MID(S$1,3,20),0.4,0)))</f>
        <v>0.6</v>
      </c>
      <c r="T896" s="10" t="n">
        <f aca="false">IF($H896="숙박",0,IF($H896=MID(T$1,3,20),IF($I896="",1,0.6),IF($I896=MID(T$1,3,20),0.4,0)))</f>
        <v>0.4</v>
      </c>
      <c r="U896" s="10" t="n">
        <f aca="false">IF($H896="숙박",0,IF(ISNUMBER(SEARCH("야경",$J896)),1,0))</f>
        <v>0</v>
      </c>
      <c r="V896" s="10" t="n">
        <f aca="false">IF($H896="숙박",0,1)</f>
        <v>1</v>
      </c>
    </row>
    <row r="897" customFormat="false" ht="15" hidden="false" customHeight="false" outlineLevel="0" collapsed="false">
      <c r="A897" s="8" t="n">
        <v>896</v>
      </c>
      <c r="B897" s="8" t="s">
        <v>45</v>
      </c>
      <c r="C897" s="8" t="s">
        <v>342</v>
      </c>
      <c r="D897" s="8" t="s">
        <v>2773</v>
      </c>
      <c r="E897" s="7" t="s">
        <v>2774</v>
      </c>
      <c r="F897" s="8"/>
      <c r="G897" s="8" t="s">
        <v>49</v>
      </c>
      <c r="H897" s="9" t="s">
        <v>49</v>
      </c>
      <c r="I897" s="9" t="s">
        <v>184</v>
      </c>
      <c r="J897" s="9"/>
      <c r="K897" s="9" t="s">
        <v>52</v>
      </c>
      <c r="L897" s="8"/>
      <c r="M897" s="8"/>
      <c r="N897" s="8" t="s">
        <v>483</v>
      </c>
      <c r="O897" s="8" t="s">
        <v>2775</v>
      </c>
      <c r="P897" s="10" t="n">
        <f aca="false">IF($H897="숙박",0,IF($H897=MID(P$1,3,20),IF($I897="",1,0.6),IF($I897=MID(P$1,3,20),0.4,0)))</f>
        <v>0</v>
      </c>
      <c r="Q897" s="10" t="n">
        <f aca="false">IF($H897="숙박",0,IF($H897=MID(Q$1,3,20),IF($I897="",1,0.6),IF($I897=MID(Q$1,3,20),0.4,0)))</f>
        <v>0.6</v>
      </c>
      <c r="R897" s="10" t="n">
        <f aca="false">IF($H897="숙박",0,IF($H897=MID(R$1,3,20),IF($I897="",1,0.6),IF($I897=MID(R$1,3,20),0.4,0)))</f>
        <v>0.4</v>
      </c>
      <c r="S897" s="10" t="n">
        <f aca="false">IF($H897="숙박",0,IF($H897=MID(S$1,3,20),IF($I897="",1,0.6),IF($I897=MID(S$1,3,20),0.4,0)))</f>
        <v>0</v>
      </c>
      <c r="T897" s="10" t="n">
        <f aca="false">IF($H897="숙박",0,IF($H897=MID(T$1,3,20),IF($I897="",1,0.6),IF($I897=MID(T$1,3,20),0.4,0)))</f>
        <v>0</v>
      </c>
      <c r="U897" s="10" t="n">
        <f aca="false">IF($H897="숙박",0,IF(ISNUMBER(SEARCH("야경",$J897)),1,0))</f>
        <v>0</v>
      </c>
      <c r="V897" s="10" t="n">
        <f aca="false">IF($H897="숙박",0,1)</f>
        <v>1</v>
      </c>
    </row>
    <row r="898" customFormat="false" ht="15" hidden="false" customHeight="false" outlineLevel="0" collapsed="false">
      <c r="A898" s="8" t="n">
        <v>897</v>
      </c>
      <c r="B898" s="8" t="s">
        <v>45</v>
      </c>
      <c r="C898" s="8" t="s">
        <v>301</v>
      </c>
      <c r="D898" s="8" t="s">
        <v>2776</v>
      </c>
      <c r="E898" s="7" t="s">
        <v>2777</v>
      </c>
      <c r="F898" s="8"/>
      <c r="G898" s="8" t="s">
        <v>49</v>
      </c>
      <c r="H898" s="9" t="s">
        <v>49</v>
      </c>
      <c r="I898" s="9"/>
      <c r="J898" s="9" t="s">
        <v>479</v>
      </c>
      <c r="K898" s="9" t="s">
        <v>52</v>
      </c>
      <c r="L898" s="8"/>
      <c r="M898" s="8"/>
      <c r="N898" s="8"/>
      <c r="O898" s="8" t="s">
        <v>2778</v>
      </c>
      <c r="P898" s="10" t="n">
        <f aca="false">IF($H898="숙박",0,IF($H898=MID(P$1,3,20),IF($I898="",1,0.6),IF($I898=MID(P$1,3,20),0.4,0)))</f>
        <v>0</v>
      </c>
      <c r="Q898" s="10" t="n">
        <f aca="false">IF($H898="숙박",0,IF($H898=MID(Q$1,3,20),IF($I898="",1,0.6),IF($I898=MID(Q$1,3,20),0.4,0)))</f>
        <v>1</v>
      </c>
      <c r="R898" s="10" t="n">
        <f aca="false">IF($H898="숙박",0,IF($H898=MID(R$1,3,20),IF($I898="",1,0.6),IF($I898=MID(R$1,3,20),0.4,0)))</f>
        <v>0</v>
      </c>
      <c r="S898" s="10" t="n">
        <f aca="false">IF($H898="숙박",0,IF($H898=MID(S$1,3,20),IF($I898="",1,0.6),IF($I898=MID(S$1,3,20),0.4,0)))</f>
        <v>0</v>
      </c>
      <c r="T898" s="10" t="n">
        <f aca="false">IF($H898="숙박",0,IF($H898=MID(T$1,3,20),IF($I898="",1,0.6),IF($I898=MID(T$1,3,20),0.4,0)))</f>
        <v>0</v>
      </c>
      <c r="U898" s="10" t="n">
        <f aca="false">IF($H898="숙박",0,IF(ISNUMBER(SEARCH("야경",$J898)),1,0))</f>
        <v>0</v>
      </c>
      <c r="V898" s="10" t="n">
        <f aca="false">IF($H898="숙박",0,1)</f>
        <v>1</v>
      </c>
    </row>
    <row r="899" customFormat="false" ht="15" hidden="false" customHeight="false" outlineLevel="0" collapsed="false">
      <c r="A899" s="8" t="n">
        <v>898</v>
      </c>
      <c r="B899" s="8" t="s">
        <v>45</v>
      </c>
      <c r="C899" s="8" t="s">
        <v>1855</v>
      </c>
      <c r="D899" s="8" t="s">
        <v>2779</v>
      </c>
      <c r="E899" s="7" t="s">
        <v>2780</v>
      </c>
      <c r="F899" s="8"/>
      <c r="G899" s="8" t="s">
        <v>184</v>
      </c>
      <c r="H899" s="9" t="s">
        <v>184</v>
      </c>
      <c r="I899" s="9"/>
      <c r="J899" s="9"/>
      <c r="K899" s="9" t="s">
        <v>191</v>
      </c>
      <c r="L899" s="8"/>
      <c r="M899" s="8"/>
      <c r="N899" s="8"/>
      <c r="O899" s="7" t="s">
        <v>2781</v>
      </c>
      <c r="P899" s="10" t="n">
        <f aca="false">IF($H899="숙박",0,IF($H899=MID(P$1,3,20),IF($I899="",1,0.6),IF($I899=MID(P$1,3,20),0.4,0)))</f>
        <v>0</v>
      </c>
      <c r="Q899" s="10" t="n">
        <f aca="false">IF($H899="숙박",0,IF($H899=MID(Q$1,3,20),IF($I899="",1,0.6),IF($I899=MID(Q$1,3,20),0.4,0)))</f>
        <v>0</v>
      </c>
      <c r="R899" s="10" t="n">
        <f aca="false">IF($H899="숙박",0,IF($H899=MID(R$1,3,20),IF($I899="",1,0.6),IF($I899=MID(R$1,3,20),0.4,0)))</f>
        <v>1</v>
      </c>
      <c r="S899" s="10" t="n">
        <f aca="false">IF($H899="숙박",0,IF($H899=MID(S$1,3,20),IF($I899="",1,0.6),IF($I899=MID(S$1,3,20),0.4,0)))</f>
        <v>0</v>
      </c>
      <c r="T899" s="10" t="n">
        <f aca="false">IF($H899="숙박",0,IF($H899=MID(T$1,3,20),IF($I899="",1,0.6),IF($I899=MID(T$1,3,20),0.4,0)))</f>
        <v>0</v>
      </c>
      <c r="U899" s="10" t="n">
        <f aca="false">IF($H899="숙박",0,IF(ISNUMBER(SEARCH("야경",$J899)),1,0))</f>
        <v>0</v>
      </c>
      <c r="V899" s="10" t="n">
        <f aca="false">IF($H899="숙박",0,1)</f>
        <v>1</v>
      </c>
    </row>
    <row r="900" customFormat="false" ht="15" hidden="false" customHeight="false" outlineLevel="0" collapsed="false">
      <c r="A900" s="8" t="n">
        <v>899</v>
      </c>
      <c r="B900" s="8" t="s">
        <v>45</v>
      </c>
      <c r="C900" s="8" t="s">
        <v>1636</v>
      </c>
      <c r="D900" s="8" t="s">
        <v>2782</v>
      </c>
      <c r="E900" s="7" t="s">
        <v>2783</v>
      </c>
      <c r="F900" s="8"/>
      <c r="G900" s="8" t="s">
        <v>49</v>
      </c>
      <c r="H900" s="9" t="s">
        <v>49</v>
      </c>
      <c r="I900" s="9" t="s">
        <v>184</v>
      </c>
      <c r="J900" s="9"/>
      <c r="K900" s="9" t="s">
        <v>52</v>
      </c>
      <c r="L900" s="8"/>
      <c r="M900" s="8"/>
      <c r="N900" s="8" t="s">
        <v>483</v>
      </c>
      <c r="O900" s="8" t="s">
        <v>2784</v>
      </c>
      <c r="P900" s="10" t="n">
        <f aca="false">IF($H900="숙박",0,IF($H900=MID(P$1,3,20),IF($I900="",1,0.6),IF($I900=MID(P$1,3,20),0.4,0)))</f>
        <v>0</v>
      </c>
      <c r="Q900" s="10" t="n">
        <f aca="false">IF($H900="숙박",0,IF($H900=MID(Q$1,3,20),IF($I900="",1,0.6),IF($I900=MID(Q$1,3,20),0.4,0)))</f>
        <v>0.6</v>
      </c>
      <c r="R900" s="10" t="n">
        <f aca="false">IF($H900="숙박",0,IF($H900=MID(R$1,3,20),IF($I900="",1,0.6),IF($I900=MID(R$1,3,20),0.4,0)))</f>
        <v>0.4</v>
      </c>
      <c r="S900" s="10" t="n">
        <f aca="false">IF($H900="숙박",0,IF($H900=MID(S$1,3,20),IF($I900="",1,0.6),IF($I900=MID(S$1,3,20),0.4,0)))</f>
        <v>0</v>
      </c>
      <c r="T900" s="10" t="n">
        <f aca="false">IF($H900="숙박",0,IF($H900=MID(T$1,3,20),IF($I900="",1,0.6),IF($I900=MID(T$1,3,20),0.4,0)))</f>
        <v>0</v>
      </c>
      <c r="U900" s="10" t="n">
        <f aca="false">IF($H900="숙박",0,IF(ISNUMBER(SEARCH("야경",$J900)),1,0))</f>
        <v>0</v>
      </c>
      <c r="V900" s="10" t="n">
        <f aca="false">IF($H900="숙박",0,1)</f>
        <v>1</v>
      </c>
    </row>
    <row r="901" customFormat="false" ht="15" hidden="false" customHeight="false" outlineLevel="0" collapsed="false">
      <c r="A901" s="8" t="n">
        <v>900</v>
      </c>
      <c r="B901" s="8" t="s">
        <v>45</v>
      </c>
      <c r="C901" s="8" t="s">
        <v>327</v>
      </c>
      <c r="D901" s="8" t="s">
        <v>2785</v>
      </c>
      <c r="E901" s="7" t="s">
        <v>2786</v>
      </c>
      <c r="F901" s="8"/>
      <c r="G901" s="8" t="s">
        <v>184</v>
      </c>
      <c r="H901" s="9" t="s">
        <v>184</v>
      </c>
      <c r="I901" s="9" t="s">
        <v>190</v>
      </c>
      <c r="J901" s="9" t="s">
        <v>1361</v>
      </c>
      <c r="K901" s="9" t="s">
        <v>191</v>
      </c>
      <c r="L901" s="8"/>
      <c r="M901" s="8"/>
      <c r="N901" s="8" t="s">
        <v>483</v>
      </c>
      <c r="O901" s="8" t="s">
        <v>2787</v>
      </c>
      <c r="P901" s="10" t="n">
        <f aca="false">IF($H901="숙박",0,IF($H901=MID(P$1,3,20),IF($I901="",1,0.6),IF($I901=MID(P$1,3,20),0.4,0)))</f>
        <v>0.4</v>
      </c>
      <c r="Q901" s="10" t="n">
        <f aca="false">IF($H901="숙박",0,IF($H901=MID(Q$1,3,20),IF($I901="",1,0.6),IF($I901=MID(Q$1,3,20),0.4,0)))</f>
        <v>0</v>
      </c>
      <c r="R901" s="10" t="n">
        <f aca="false">IF($H901="숙박",0,IF($H901=MID(R$1,3,20),IF($I901="",1,0.6),IF($I901=MID(R$1,3,20),0.4,0)))</f>
        <v>0.6</v>
      </c>
      <c r="S901" s="10" t="n">
        <f aca="false">IF($H901="숙박",0,IF($H901=MID(S$1,3,20),IF($I901="",1,0.6),IF($I901=MID(S$1,3,20),0.4,0)))</f>
        <v>0</v>
      </c>
      <c r="T901" s="10" t="n">
        <f aca="false">IF($H901="숙박",0,IF($H901=MID(T$1,3,20),IF($I901="",1,0.6),IF($I901=MID(T$1,3,20),0.4,0)))</f>
        <v>0</v>
      </c>
      <c r="U901" s="10" t="n">
        <f aca="false">IF($H901="숙박",0,IF(ISNUMBER(SEARCH("야경",$J901)),1,0))</f>
        <v>0</v>
      </c>
      <c r="V901" s="10" t="n">
        <f aca="false">IF($H901="숙박",0,1)</f>
        <v>1</v>
      </c>
    </row>
    <row r="902" customFormat="false" ht="15" hidden="false" customHeight="false" outlineLevel="0" collapsed="false">
      <c r="A902" s="8" t="n">
        <v>901</v>
      </c>
      <c r="B902" s="8" t="s">
        <v>45</v>
      </c>
      <c r="C902" s="8" t="s">
        <v>1535</v>
      </c>
      <c r="D902" s="8" t="s">
        <v>2788</v>
      </c>
      <c r="E902" s="7" t="s">
        <v>2789</v>
      </c>
      <c r="F902" s="8"/>
      <c r="G902" s="8" t="s">
        <v>50</v>
      </c>
      <c r="H902" s="9" t="s">
        <v>50</v>
      </c>
      <c r="I902" s="9"/>
      <c r="J902" s="9" t="s">
        <v>168</v>
      </c>
      <c r="K902" s="9" t="s">
        <v>52</v>
      </c>
      <c r="L902" s="8"/>
      <c r="M902" s="8"/>
      <c r="N902" s="8"/>
      <c r="O902" s="8" t="s">
        <v>2790</v>
      </c>
      <c r="P902" s="10" t="n">
        <f aca="false">IF($H902="숙박",0,IF($H902=MID(P$1,3,20),IF($I902="",1,0.6),IF($I902=MID(P$1,3,20),0.4,0)))</f>
        <v>0</v>
      </c>
      <c r="Q902" s="10" t="n">
        <f aca="false">IF($H902="숙박",0,IF($H902=MID(Q$1,3,20),IF($I902="",1,0.6),IF($I902=MID(Q$1,3,20),0.4,0)))</f>
        <v>0</v>
      </c>
      <c r="R902" s="10" t="n">
        <f aca="false">IF($H902="숙박",0,IF($H902=MID(R$1,3,20),IF($I902="",1,0.6),IF($I902=MID(R$1,3,20),0.4,0)))</f>
        <v>0</v>
      </c>
      <c r="S902" s="10" t="n">
        <f aca="false">IF($H902="숙박",0,IF($H902=MID(S$1,3,20),IF($I902="",1,0.6),IF($I902=MID(S$1,3,20),0.4,0)))</f>
        <v>0</v>
      </c>
      <c r="T902" s="10" t="n">
        <f aca="false">IF($H902="숙박",0,IF($H902=MID(T$1,3,20),IF($I902="",1,0.6),IF($I902=MID(T$1,3,20),0.4,0)))</f>
        <v>1</v>
      </c>
      <c r="U902" s="10" t="n">
        <f aca="false">IF($H902="숙박",0,IF(ISNUMBER(SEARCH("야경",$J902)),1,0))</f>
        <v>0</v>
      </c>
      <c r="V902" s="10" t="n">
        <f aca="false">IF($H902="숙박",0,1)</f>
        <v>1</v>
      </c>
    </row>
    <row r="903" customFormat="false" ht="15" hidden="false" customHeight="false" outlineLevel="0" collapsed="false">
      <c r="A903" s="8" t="n">
        <v>902</v>
      </c>
      <c r="B903" s="8" t="s">
        <v>45</v>
      </c>
      <c r="C903" s="8" t="s">
        <v>1330</v>
      </c>
      <c r="D903" s="8" t="s">
        <v>2791</v>
      </c>
      <c r="E903" s="7" t="s">
        <v>2792</v>
      </c>
      <c r="F903" s="8"/>
      <c r="G903" s="8" t="s">
        <v>190</v>
      </c>
      <c r="H903" s="9" t="s">
        <v>190</v>
      </c>
      <c r="I903" s="9" t="s">
        <v>216</v>
      </c>
      <c r="J903" s="9"/>
      <c r="K903" s="9" t="s">
        <v>52</v>
      </c>
      <c r="L903" s="8"/>
      <c r="M903" s="8"/>
      <c r="N903" s="8" t="s">
        <v>483</v>
      </c>
      <c r="O903" s="8" t="s">
        <v>2793</v>
      </c>
      <c r="P903" s="10" t="n">
        <f aca="false">IF($H903="숙박",0,IF($H903=MID(P$1,3,20),IF($I903="",1,0.6),IF($I903=MID(P$1,3,20),0.4,0)))</f>
        <v>0.6</v>
      </c>
      <c r="Q903" s="10" t="n">
        <f aca="false">IF($H903="숙박",0,IF($H903=MID(Q$1,3,20),IF($I903="",1,0.6),IF($I903=MID(Q$1,3,20),0.4,0)))</f>
        <v>0</v>
      </c>
      <c r="R903" s="10" t="n">
        <f aca="false">IF($H903="숙박",0,IF($H903=MID(R$1,3,20),IF($I903="",1,0.6),IF($I903=MID(R$1,3,20),0.4,0)))</f>
        <v>0</v>
      </c>
      <c r="S903" s="10" t="n">
        <f aca="false">IF($H903="숙박",0,IF($H903=MID(S$1,3,20),IF($I903="",1,0.6),IF($I903=MID(S$1,3,20),0.4,0)))</f>
        <v>0.4</v>
      </c>
      <c r="T903" s="10" t="n">
        <f aca="false">IF($H903="숙박",0,IF($H903=MID(T$1,3,20),IF($I903="",1,0.6),IF($I903=MID(T$1,3,20),0.4,0)))</f>
        <v>0</v>
      </c>
      <c r="U903" s="10" t="n">
        <f aca="false">IF($H903="숙박",0,IF(ISNUMBER(SEARCH("야경",$J903)),1,0))</f>
        <v>0</v>
      </c>
      <c r="V903" s="10" t="n">
        <f aca="false">IF($H903="숙박",0,1)</f>
        <v>1</v>
      </c>
    </row>
    <row r="904" customFormat="false" ht="15" hidden="false" customHeight="false" outlineLevel="0" collapsed="false">
      <c r="A904" s="8" t="n">
        <v>903</v>
      </c>
      <c r="B904" s="8" t="s">
        <v>45</v>
      </c>
      <c r="C904" s="8" t="s">
        <v>2177</v>
      </c>
      <c r="D904" s="8" t="s">
        <v>2794</v>
      </c>
      <c r="E904" s="7" t="s">
        <v>2795</v>
      </c>
      <c r="F904" s="8"/>
      <c r="G904" s="8" t="s">
        <v>190</v>
      </c>
      <c r="H904" s="9" t="s">
        <v>190</v>
      </c>
      <c r="I904" s="9"/>
      <c r="J904" s="9"/>
      <c r="K904" s="9" t="s">
        <v>191</v>
      </c>
      <c r="L904" s="8"/>
      <c r="M904" s="8"/>
      <c r="N904" s="8"/>
      <c r="O904" s="8" t="s">
        <v>2796</v>
      </c>
      <c r="P904" s="10" t="n">
        <f aca="false">IF($H904="숙박",0,IF($H904=MID(P$1,3,20),IF($I904="",1,0.6),IF($I904=MID(P$1,3,20),0.4,0)))</f>
        <v>1</v>
      </c>
      <c r="Q904" s="10" t="n">
        <f aca="false">IF($H904="숙박",0,IF($H904=MID(Q$1,3,20),IF($I904="",1,0.6),IF($I904=MID(Q$1,3,20),0.4,0)))</f>
        <v>0</v>
      </c>
      <c r="R904" s="10" t="n">
        <f aca="false">IF($H904="숙박",0,IF($H904=MID(R$1,3,20),IF($I904="",1,0.6),IF($I904=MID(R$1,3,20),0.4,0)))</f>
        <v>0</v>
      </c>
      <c r="S904" s="10" t="n">
        <f aca="false">IF($H904="숙박",0,IF($H904=MID(S$1,3,20),IF($I904="",1,0.6),IF($I904=MID(S$1,3,20),0.4,0)))</f>
        <v>0</v>
      </c>
      <c r="T904" s="10" t="n">
        <f aca="false">IF($H904="숙박",0,IF($H904=MID(T$1,3,20),IF($I904="",1,0.6),IF($I904=MID(T$1,3,20),0.4,0)))</f>
        <v>0</v>
      </c>
      <c r="U904" s="10" t="n">
        <f aca="false">IF($H904="숙박",0,IF(ISNUMBER(SEARCH("야경",$J904)),1,0))</f>
        <v>0</v>
      </c>
      <c r="V904" s="10" t="n">
        <f aca="false">IF($H904="숙박",0,1)</f>
        <v>1</v>
      </c>
    </row>
    <row r="905" customFormat="false" ht="15" hidden="false" customHeight="false" outlineLevel="0" collapsed="false">
      <c r="A905" s="8" t="n">
        <v>904</v>
      </c>
      <c r="B905" s="8" t="s">
        <v>45</v>
      </c>
      <c r="C905" s="8" t="s">
        <v>2177</v>
      </c>
      <c r="D905" s="8" t="s">
        <v>2797</v>
      </c>
      <c r="E905" s="7" t="s">
        <v>2798</v>
      </c>
      <c r="F905" s="8"/>
      <c r="G905" s="8" t="s">
        <v>184</v>
      </c>
      <c r="H905" s="9" t="s">
        <v>184</v>
      </c>
      <c r="I905" s="9" t="s">
        <v>49</v>
      </c>
      <c r="J905" s="9"/>
      <c r="K905" s="9" t="s">
        <v>191</v>
      </c>
      <c r="L905" s="8"/>
      <c r="M905" s="8"/>
      <c r="N905" s="8" t="s">
        <v>483</v>
      </c>
      <c r="O905" s="8" t="s">
        <v>2799</v>
      </c>
      <c r="P905" s="10" t="n">
        <f aca="false">IF($H905="숙박",0,IF($H905=MID(P$1,3,20),IF($I905="",1,0.6),IF($I905=MID(P$1,3,20),0.4,0)))</f>
        <v>0</v>
      </c>
      <c r="Q905" s="10" t="n">
        <f aca="false">IF($H905="숙박",0,IF($H905=MID(Q$1,3,20),IF($I905="",1,0.6),IF($I905=MID(Q$1,3,20),0.4,0)))</f>
        <v>0.4</v>
      </c>
      <c r="R905" s="10" t="n">
        <f aca="false">IF($H905="숙박",0,IF($H905=MID(R$1,3,20),IF($I905="",1,0.6),IF($I905=MID(R$1,3,20),0.4,0)))</f>
        <v>0.6</v>
      </c>
      <c r="S905" s="10" t="n">
        <f aca="false">IF($H905="숙박",0,IF($H905=MID(S$1,3,20),IF($I905="",1,0.6),IF($I905=MID(S$1,3,20),0.4,0)))</f>
        <v>0</v>
      </c>
      <c r="T905" s="10" t="n">
        <f aca="false">IF($H905="숙박",0,IF($H905=MID(T$1,3,20),IF($I905="",1,0.6),IF($I905=MID(T$1,3,20),0.4,0)))</f>
        <v>0</v>
      </c>
      <c r="U905" s="10" t="n">
        <f aca="false">IF($H905="숙박",0,IF(ISNUMBER(SEARCH("야경",$J905)),1,0))</f>
        <v>0</v>
      </c>
      <c r="V905" s="10" t="n">
        <f aca="false">IF($H905="숙박",0,1)</f>
        <v>1</v>
      </c>
    </row>
    <row r="906" customFormat="false" ht="15" hidden="false" customHeight="false" outlineLevel="0" collapsed="false">
      <c r="A906" s="8" t="n">
        <v>905</v>
      </c>
      <c r="B906" s="8" t="s">
        <v>45</v>
      </c>
      <c r="C906" s="8" t="s">
        <v>2177</v>
      </c>
      <c r="D906" s="8" t="s">
        <v>2800</v>
      </c>
      <c r="E906" s="7" t="s">
        <v>2801</v>
      </c>
      <c r="F906" s="8"/>
      <c r="G906" s="8" t="s">
        <v>190</v>
      </c>
      <c r="H906" s="9" t="s">
        <v>190</v>
      </c>
      <c r="I906" s="9"/>
      <c r="J906" s="9" t="s">
        <v>1361</v>
      </c>
      <c r="K906" s="9" t="s">
        <v>191</v>
      </c>
      <c r="L906" s="8"/>
      <c r="M906" s="8"/>
      <c r="N906" s="8"/>
      <c r="O906" s="8" t="s">
        <v>2802</v>
      </c>
      <c r="P906" s="10" t="n">
        <f aca="false">IF($H906="숙박",0,IF($H906=MID(P$1,3,20),IF($I906="",1,0.6),IF($I906=MID(P$1,3,20),0.4,0)))</f>
        <v>1</v>
      </c>
      <c r="Q906" s="10" t="n">
        <f aca="false">IF($H906="숙박",0,IF($H906=MID(Q$1,3,20),IF($I906="",1,0.6),IF($I906=MID(Q$1,3,20),0.4,0)))</f>
        <v>0</v>
      </c>
      <c r="R906" s="10" t="n">
        <f aca="false">IF($H906="숙박",0,IF($H906=MID(R$1,3,20),IF($I906="",1,0.6),IF($I906=MID(R$1,3,20),0.4,0)))</f>
        <v>0</v>
      </c>
      <c r="S906" s="10" t="n">
        <f aca="false">IF($H906="숙박",0,IF($H906=MID(S$1,3,20),IF($I906="",1,0.6),IF($I906=MID(S$1,3,20),0.4,0)))</f>
        <v>0</v>
      </c>
      <c r="T906" s="10" t="n">
        <f aca="false">IF($H906="숙박",0,IF($H906=MID(T$1,3,20),IF($I906="",1,0.6),IF($I906=MID(T$1,3,20),0.4,0)))</f>
        <v>0</v>
      </c>
      <c r="U906" s="10" t="n">
        <f aca="false">IF($H906="숙박",0,IF(ISNUMBER(SEARCH("야경",$J906)),1,0))</f>
        <v>0</v>
      </c>
      <c r="V906" s="10" t="n">
        <f aca="false">IF($H906="숙박",0,1)</f>
        <v>1</v>
      </c>
    </row>
    <row r="907" customFormat="false" ht="15" hidden="false" customHeight="false" outlineLevel="0" collapsed="false">
      <c r="A907" s="8" t="n">
        <v>906</v>
      </c>
      <c r="B907" s="8" t="s">
        <v>45</v>
      </c>
      <c r="C907" s="8" t="s">
        <v>2304</v>
      </c>
      <c r="D907" s="8" t="s">
        <v>2803</v>
      </c>
      <c r="E907" s="7" t="s">
        <v>2804</v>
      </c>
      <c r="F907" s="8"/>
      <c r="G907" s="8" t="s">
        <v>49</v>
      </c>
      <c r="H907" s="9" t="s">
        <v>49</v>
      </c>
      <c r="I907" s="9"/>
      <c r="J907" s="9"/>
      <c r="K907" s="9" t="s">
        <v>52</v>
      </c>
      <c r="L907" s="8"/>
      <c r="M907" s="8"/>
      <c r="N907" s="8"/>
      <c r="O907" s="8" t="s">
        <v>2805</v>
      </c>
      <c r="P907" s="10" t="n">
        <f aca="false">IF($H907="숙박",0,IF($H907=MID(P$1,3,20),IF($I907="",1,0.6),IF($I907=MID(P$1,3,20),0.4,0)))</f>
        <v>0</v>
      </c>
      <c r="Q907" s="10" t="n">
        <f aca="false">IF($H907="숙박",0,IF($H907=MID(Q$1,3,20),IF($I907="",1,0.6),IF($I907=MID(Q$1,3,20),0.4,0)))</f>
        <v>1</v>
      </c>
      <c r="R907" s="10" t="n">
        <f aca="false">IF($H907="숙박",0,IF($H907=MID(R$1,3,20),IF($I907="",1,0.6),IF($I907=MID(R$1,3,20),0.4,0)))</f>
        <v>0</v>
      </c>
      <c r="S907" s="10" t="n">
        <f aca="false">IF($H907="숙박",0,IF($H907=MID(S$1,3,20),IF($I907="",1,0.6),IF($I907=MID(S$1,3,20),0.4,0)))</f>
        <v>0</v>
      </c>
      <c r="T907" s="10" t="n">
        <f aca="false">IF($H907="숙박",0,IF($H907=MID(T$1,3,20),IF($I907="",1,0.6),IF($I907=MID(T$1,3,20),0.4,0)))</f>
        <v>0</v>
      </c>
      <c r="U907" s="10" t="n">
        <f aca="false">IF($H907="숙박",0,IF(ISNUMBER(SEARCH("야경",$J907)),1,0))</f>
        <v>0</v>
      </c>
      <c r="V907" s="10" t="n">
        <f aca="false">IF($H907="숙박",0,1)</f>
        <v>1</v>
      </c>
    </row>
    <row r="908" customFormat="false" ht="15" hidden="false" customHeight="false" outlineLevel="0" collapsed="false">
      <c r="A908" s="8" t="n">
        <v>907</v>
      </c>
      <c r="B908" s="8" t="s">
        <v>45</v>
      </c>
      <c r="C908" s="8" t="s">
        <v>2304</v>
      </c>
      <c r="D908" s="8" t="s">
        <v>2806</v>
      </c>
      <c r="E908" s="7" t="s">
        <v>2807</v>
      </c>
      <c r="F908" s="8"/>
      <c r="G908" s="8" t="s">
        <v>190</v>
      </c>
      <c r="H908" s="9" t="s">
        <v>190</v>
      </c>
      <c r="I908" s="9" t="s">
        <v>184</v>
      </c>
      <c r="J908" s="9"/>
      <c r="K908" s="9" t="s">
        <v>191</v>
      </c>
      <c r="L908" s="8"/>
      <c r="M908" s="8"/>
      <c r="N908" s="8" t="s">
        <v>483</v>
      </c>
      <c r="O908" s="8" t="s">
        <v>2808</v>
      </c>
      <c r="P908" s="10" t="n">
        <f aca="false">IF($H908="숙박",0,IF($H908=MID(P$1,3,20),IF($I908="",1,0.6),IF($I908=MID(P$1,3,20),0.4,0)))</f>
        <v>0.6</v>
      </c>
      <c r="Q908" s="10" t="n">
        <f aca="false">IF($H908="숙박",0,IF($H908=MID(Q$1,3,20),IF($I908="",1,0.6),IF($I908=MID(Q$1,3,20),0.4,0)))</f>
        <v>0</v>
      </c>
      <c r="R908" s="10" t="n">
        <f aca="false">IF($H908="숙박",0,IF($H908=MID(R$1,3,20),IF($I908="",1,0.6),IF($I908=MID(R$1,3,20),0.4,0)))</f>
        <v>0.4</v>
      </c>
      <c r="S908" s="10" t="n">
        <f aca="false">IF($H908="숙박",0,IF($H908=MID(S$1,3,20),IF($I908="",1,0.6),IF($I908=MID(S$1,3,20),0.4,0)))</f>
        <v>0</v>
      </c>
      <c r="T908" s="10" t="n">
        <f aca="false">IF($H908="숙박",0,IF($H908=MID(T$1,3,20),IF($I908="",1,0.6),IF($I908=MID(T$1,3,20),0.4,0)))</f>
        <v>0</v>
      </c>
      <c r="U908" s="10" t="n">
        <f aca="false">IF($H908="숙박",0,IF(ISNUMBER(SEARCH("야경",$J908)),1,0))</f>
        <v>0</v>
      </c>
      <c r="V908" s="10" t="n">
        <f aca="false">IF($H908="숙박",0,1)</f>
        <v>1</v>
      </c>
    </row>
    <row r="909" customFormat="false" ht="15" hidden="false" customHeight="false" outlineLevel="0" collapsed="false">
      <c r="A909" s="8" t="n">
        <v>908</v>
      </c>
      <c r="B909" s="8" t="s">
        <v>45</v>
      </c>
      <c r="C909" s="8" t="s">
        <v>2304</v>
      </c>
      <c r="D909" s="8" t="s">
        <v>2809</v>
      </c>
      <c r="E909" s="7" t="s">
        <v>2810</v>
      </c>
      <c r="F909" s="8"/>
      <c r="G909" s="8" t="s">
        <v>190</v>
      </c>
      <c r="H909" s="9" t="s">
        <v>190</v>
      </c>
      <c r="I909" s="9"/>
      <c r="J909" s="9"/>
      <c r="K909" s="9" t="s">
        <v>191</v>
      </c>
      <c r="L909" s="8"/>
      <c r="M909" s="8"/>
      <c r="N909" s="8"/>
      <c r="O909" s="8" t="s">
        <v>2811</v>
      </c>
      <c r="P909" s="10" t="n">
        <f aca="false">IF($H909="숙박",0,IF($H909=MID(P$1,3,20),IF($I909="",1,0.6),IF($I909=MID(P$1,3,20),0.4,0)))</f>
        <v>1</v>
      </c>
      <c r="Q909" s="10" t="n">
        <f aca="false">IF($H909="숙박",0,IF($H909=MID(Q$1,3,20),IF($I909="",1,0.6),IF($I909=MID(Q$1,3,20),0.4,0)))</f>
        <v>0</v>
      </c>
      <c r="R909" s="10" t="n">
        <f aca="false">IF($H909="숙박",0,IF($H909=MID(R$1,3,20),IF($I909="",1,0.6),IF($I909=MID(R$1,3,20),0.4,0)))</f>
        <v>0</v>
      </c>
      <c r="S909" s="10" t="n">
        <f aca="false">IF($H909="숙박",0,IF($H909=MID(S$1,3,20),IF($I909="",1,0.6),IF($I909=MID(S$1,3,20),0.4,0)))</f>
        <v>0</v>
      </c>
      <c r="T909" s="10" t="n">
        <f aca="false">IF($H909="숙박",0,IF($H909=MID(T$1,3,20),IF($I909="",1,0.6),IF($I909=MID(T$1,3,20),0.4,0)))</f>
        <v>0</v>
      </c>
      <c r="U909" s="10" t="n">
        <f aca="false">IF($H909="숙박",0,IF(ISNUMBER(SEARCH("야경",$J909)),1,0))</f>
        <v>0</v>
      </c>
      <c r="V909" s="10" t="n">
        <f aca="false">IF($H909="숙박",0,1)</f>
        <v>1</v>
      </c>
    </row>
    <row r="910" customFormat="false" ht="15" hidden="false" customHeight="false" outlineLevel="0" collapsed="false">
      <c r="A910" s="8" t="n">
        <v>909</v>
      </c>
      <c r="B910" s="8" t="s">
        <v>45</v>
      </c>
      <c r="C910" s="8" t="s">
        <v>2304</v>
      </c>
      <c r="D910" s="8" t="s">
        <v>2812</v>
      </c>
      <c r="E910" s="7" t="s">
        <v>2813</v>
      </c>
      <c r="F910" s="8"/>
      <c r="G910" s="8" t="s">
        <v>184</v>
      </c>
      <c r="H910" s="9" t="s">
        <v>184</v>
      </c>
      <c r="I910" s="9"/>
      <c r="J910" s="9" t="s">
        <v>1361</v>
      </c>
      <c r="K910" s="9" t="s">
        <v>191</v>
      </c>
      <c r="L910" s="8"/>
      <c r="M910" s="8"/>
      <c r="N910" s="8"/>
      <c r="O910" s="8" t="s">
        <v>2814</v>
      </c>
      <c r="P910" s="10" t="n">
        <f aca="false">IF($H910="숙박",0,IF($H910=MID(P$1,3,20),IF($I910="",1,0.6),IF($I910=MID(P$1,3,20),0.4,0)))</f>
        <v>0</v>
      </c>
      <c r="Q910" s="10" t="n">
        <f aca="false">IF($H910="숙박",0,IF($H910=MID(Q$1,3,20),IF($I910="",1,0.6),IF($I910=MID(Q$1,3,20),0.4,0)))</f>
        <v>0</v>
      </c>
      <c r="R910" s="10" t="n">
        <f aca="false">IF($H910="숙박",0,IF($H910=MID(R$1,3,20),IF($I910="",1,0.6),IF($I910=MID(R$1,3,20),0.4,0)))</f>
        <v>1</v>
      </c>
      <c r="S910" s="10" t="n">
        <f aca="false">IF($H910="숙박",0,IF($H910=MID(S$1,3,20),IF($I910="",1,0.6),IF($I910=MID(S$1,3,20),0.4,0)))</f>
        <v>0</v>
      </c>
      <c r="T910" s="10" t="n">
        <f aca="false">IF($H910="숙박",0,IF($H910=MID(T$1,3,20),IF($I910="",1,0.6),IF($I910=MID(T$1,3,20),0.4,0)))</f>
        <v>0</v>
      </c>
      <c r="U910" s="10" t="n">
        <f aca="false">IF($H910="숙박",0,IF(ISNUMBER(SEARCH("야경",$J910)),1,0))</f>
        <v>0</v>
      </c>
      <c r="V910" s="10" t="n">
        <f aca="false">IF($H910="숙박",0,1)</f>
        <v>1</v>
      </c>
    </row>
    <row r="911" customFormat="false" ht="15" hidden="false" customHeight="false" outlineLevel="0" collapsed="false">
      <c r="A911" s="8" t="n">
        <v>910</v>
      </c>
      <c r="B911" s="8" t="s">
        <v>45</v>
      </c>
      <c r="C911" s="8" t="s">
        <v>1986</v>
      </c>
      <c r="D911" s="8" t="s">
        <v>2815</v>
      </c>
      <c r="E911" s="7" t="s">
        <v>2816</v>
      </c>
      <c r="F911" s="8"/>
      <c r="G911" s="8" t="s">
        <v>190</v>
      </c>
      <c r="H911" s="9" t="s">
        <v>190</v>
      </c>
      <c r="I911" s="9"/>
      <c r="J911" s="9"/>
      <c r="K911" s="9" t="s">
        <v>191</v>
      </c>
      <c r="L911" s="8"/>
      <c r="M911" s="8"/>
      <c r="N911" s="8"/>
      <c r="O911" s="8" t="s">
        <v>2817</v>
      </c>
      <c r="P911" s="10" t="n">
        <f aca="false">IF($H911="숙박",0,IF($H911=MID(P$1,3,20),IF($I911="",1,0.6),IF($I911=MID(P$1,3,20),0.4,0)))</f>
        <v>1</v>
      </c>
      <c r="Q911" s="10" t="n">
        <f aca="false">IF($H911="숙박",0,IF($H911=MID(Q$1,3,20),IF($I911="",1,0.6),IF($I911=MID(Q$1,3,20),0.4,0)))</f>
        <v>0</v>
      </c>
      <c r="R911" s="10" t="n">
        <f aca="false">IF($H911="숙박",0,IF($H911=MID(R$1,3,20),IF($I911="",1,0.6),IF($I911=MID(R$1,3,20),0.4,0)))</f>
        <v>0</v>
      </c>
      <c r="S911" s="10" t="n">
        <f aca="false">IF($H911="숙박",0,IF($H911=MID(S$1,3,20),IF($I911="",1,0.6),IF($I911=MID(S$1,3,20),0.4,0)))</f>
        <v>0</v>
      </c>
      <c r="T911" s="10" t="n">
        <f aca="false">IF($H911="숙박",0,IF($H911=MID(T$1,3,20),IF($I911="",1,0.6),IF($I911=MID(T$1,3,20),0.4,0)))</f>
        <v>0</v>
      </c>
      <c r="U911" s="10" t="n">
        <f aca="false">IF($H911="숙박",0,IF(ISNUMBER(SEARCH("야경",$J911)),1,0))</f>
        <v>0</v>
      </c>
      <c r="V911" s="10" t="n">
        <f aca="false">IF($H911="숙박",0,1)</f>
        <v>1</v>
      </c>
    </row>
    <row r="912" customFormat="false" ht="15" hidden="false" customHeight="false" outlineLevel="0" collapsed="false">
      <c r="A912" s="8" t="n">
        <v>911</v>
      </c>
      <c r="B912" s="8" t="s">
        <v>45</v>
      </c>
      <c r="C912" s="8"/>
      <c r="D912" s="8" t="s">
        <v>2818</v>
      </c>
      <c r="E912" s="7" t="s">
        <v>2819</v>
      </c>
      <c r="F912" s="8"/>
      <c r="G912" s="8"/>
      <c r="H912" s="9" t="s">
        <v>594</v>
      </c>
      <c r="I912" s="9"/>
      <c r="J912" s="9"/>
      <c r="K912" s="9"/>
      <c r="L912" s="8"/>
      <c r="M912" s="8"/>
      <c r="N912" s="8" t="s">
        <v>595</v>
      </c>
      <c r="O912" s="8"/>
      <c r="P912" s="10" t="n">
        <f aca="false">IF($H912="숙박",0,IF($H912=MID(P$1,3,20),IF($I912="",1,0.6),IF($I912=MID(P$1,3,20),0.4,0)))</f>
        <v>0</v>
      </c>
      <c r="Q912" s="10" t="n">
        <f aca="false">IF($H912="숙박",0,IF($H912=MID(Q$1,3,20),IF($I912="",1,0.6),IF($I912=MID(Q$1,3,20),0.4,0)))</f>
        <v>0</v>
      </c>
      <c r="R912" s="10" t="n">
        <f aca="false">IF($H912="숙박",0,IF($H912=MID(R$1,3,20),IF($I912="",1,0.6),IF($I912=MID(R$1,3,20),0.4,0)))</f>
        <v>0</v>
      </c>
      <c r="S912" s="10" t="n">
        <f aca="false">IF($H912="숙박",0,IF($H912=MID(S$1,3,20),IF($I912="",1,0.6),IF($I912=MID(S$1,3,20),0.4,0)))</f>
        <v>0</v>
      </c>
      <c r="T912" s="10" t="n">
        <f aca="false">IF($H912="숙박",0,IF($H912=MID(T$1,3,20),IF($I912="",1,0.6),IF($I912=MID(T$1,3,20),0.4,0)))</f>
        <v>0</v>
      </c>
      <c r="U912" s="10" t="n">
        <f aca="false">IF($H912="숙박",0,IF(ISNUMBER(SEARCH("야경",$J912)),1,0))</f>
        <v>0</v>
      </c>
      <c r="V912" s="10" t="n">
        <f aca="false">IF($H912="숙박",0,1)</f>
        <v>0</v>
      </c>
    </row>
    <row r="913" customFormat="false" ht="15" hidden="false" customHeight="false" outlineLevel="0" collapsed="false">
      <c r="A913" s="8" t="n">
        <v>912</v>
      </c>
      <c r="B913" s="8" t="s">
        <v>45</v>
      </c>
      <c r="C913" s="8" t="s">
        <v>1986</v>
      </c>
      <c r="D913" s="8" t="s">
        <v>2820</v>
      </c>
      <c r="E913" s="7" t="s">
        <v>2821</v>
      </c>
      <c r="F913" s="8"/>
      <c r="G913" s="8" t="s">
        <v>216</v>
      </c>
      <c r="H913" s="9" t="s">
        <v>216</v>
      </c>
      <c r="I913" s="9"/>
      <c r="J913" s="9"/>
      <c r="K913" s="9" t="s">
        <v>191</v>
      </c>
      <c r="L913" s="8"/>
      <c r="M913" s="8"/>
      <c r="N913" s="8"/>
      <c r="O913" s="8" t="s">
        <v>2822</v>
      </c>
      <c r="P913" s="10" t="n">
        <f aca="false">IF($H913="숙박",0,IF($H913=MID(P$1,3,20),IF($I913="",1,0.6),IF($I913=MID(P$1,3,20),0.4,0)))</f>
        <v>0</v>
      </c>
      <c r="Q913" s="10" t="n">
        <f aca="false">IF($H913="숙박",0,IF($H913=MID(Q$1,3,20),IF($I913="",1,0.6),IF($I913=MID(Q$1,3,20),0.4,0)))</f>
        <v>0</v>
      </c>
      <c r="R913" s="10" t="n">
        <f aca="false">IF($H913="숙박",0,IF($H913=MID(R$1,3,20),IF($I913="",1,0.6),IF($I913=MID(R$1,3,20),0.4,0)))</f>
        <v>0</v>
      </c>
      <c r="S913" s="10" t="n">
        <f aca="false">IF($H913="숙박",0,IF($H913=MID(S$1,3,20),IF($I913="",1,0.6),IF($I913=MID(S$1,3,20),0.4,0)))</f>
        <v>1</v>
      </c>
      <c r="T913" s="10" t="n">
        <f aca="false">IF($H913="숙박",0,IF($H913=MID(T$1,3,20),IF($I913="",1,0.6),IF($I913=MID(T$1,3,20),0.4,0)))</f>
        <v>0</v>
      </c>
      <c r="U913" s="10" t="n">
        <f aca="false">IF($H913="숙박",0,IF(ISNUMBER(SEARCH("야경",$J913)),1,0))</f>
        <v>0</v>
      </c>
      <c r="V913" s="10" t="n">
        <f aca="false">IF($H913="숙박",0,1)</f>
        <v>1</v>
      </c>
    </row>
    <row r="914" customFormat="false" ht="15" hidden="false" customHeight="false" outlineLevel="0" collapsed="false">
      <c r="A914" s="8" t="n">
        <v>913</v>
      </c>
      <c r="B914" s="8" t="s">
        <v>45</v>
      </c>
      <c r="C914" s="8" t="s">
        <v>467</v>
      </c>
      <c r="D914" s="8" t="s">
        <v>2823</v>
      </c>
      <c r="E914" s="7" t="s">
        <v>2824</v>
      </c>
      <c r="F914" s="8"/>
      <c r="G914" s="8" t="s">
        <v>49</v>
      </c>
      <c r="H914" s="9" t="s">
        <v>49</v>
      </c>
      <c r="I914" s="9"/>
      <c r="J914" s="9"/>
      <c r="K914" s="9" t="s">
        <v>52</v>
      </c>
      <c r="L914" s="8"/>
      <c r="M914" s="8"/>
      <c r="N914" s="8"/>
      <c r="O914" s="8" t="s">
        <v>2825</v>
      </c>
      <c r="P914" s="10" t="n">
        <f aca="false">IF($H914="숙박",0,IF($H914=MID(P$1,3,20),IF($I914="",1,0.6),IF($I914=MID(P$1,3,20),0.4,0)))</f>
        <v>0</v>
      </c>
      <c r="Q914" s="10" t="n">
        <f aca="false">IF($H914="숙박",0,IF($H914=MID(Q$1,3,20),IF($I914="",1,0.6),IF($I914=MID(Q$1,3,20),0.4,0)))</f>
        <v>1</v>
      </c>
      <c r="R914" s="10" t="n">
        <f aca="false">IF($H914="숙박",0,IF($H914=MID(R$1,3,20),IF($I914="",1,0.6),IF($I914=MID(R$1,3,20),0.4,0)))</f>
        <v>0</v>
      </c>
      <c r="S914" s="10" t="n">
        <f aca="false">IF($H914="숙박",0,IF($H914=MID(S$1,3,20),IF($I914="",1,0.6),IF($I914=MID(S$1,3,20),0.4,0)))</f>
        <v>0</v>
      </c>
      <c r="T914" s="10" t="n">
        <f aca="false">IF($H914="숙박",0,IF($H914=MID(T$1,3,20),IF($I914="",1,0.6),IF($I914=MID(T$1,3,20),0.4,0)))</f>
        <v>0</v>
      </c>
      <c r="U914" s="10" t="n">
        <f aca="false">IF($H914="숙박",0,IF(ISNUMBER(SEARCH("야경",$J914)),1,0))</f>
        <v>0</v>
      </c>
      <c r="V914" s="10" t="n">
        <f aca="false">IF($H914="숙박",0,1)</f>
        <v>1</v>
      </c>
    </row>
    <row r="915" customFormat="false" ht="15" hidden="false" customHeight="false" outlineLevel="0" collapsed="false">
      <c r="A915" s="8" t="n">
        <v>914</v>
      </c>
      <c r="B915" s="8" t="s">
        <v>45</v>
      </c>
      <c r="C915" s="8" t="s">
        <v>2177</v>
      </c>
      <c r="D915" s="8" t="s">
        <v>2826</v>
      </c>
      <c r="E915" s="7" t="s">
        <v>2827</v>
      </c>
      <c r="F915" s="8"/>
      <c r="G915" s="8" t="s">
        <v>184</v>
      </c>
      <c r="H915" s="9" t="s">
        <v>184</v>
      </c>
      <c r="I915" s="9"/>
      <c r="J915" s="9"/>
      <c r="K915" s="9" t="s">
        <v>191</v>
      </c>
      <c r="L915" s="8"/>
      <c r="M915" s="8"/>
      <c r="N915" s="8"/>
      <c r="O915" s="8" t="s">
        <v>2828</v>
      </c>
      <c r="P915" s="10" t="n">
        <f aca="false">IF($H915="숙박",0,IF($H915=MID(P$1,3,20),IF($I915="",1,0.6),IF($I915=MID(P$1,3,20),0.4,0)))</f>
        <v>0</v>
      </c>
      <c r="Q915" s="10" t="n">
        <f aca="false">IF($H915="숙박",0,IF($H915=MID(Q$1,3,20),IF($I915="",1,0.6),IF($I915=MID(Q$1,3,20),0.4,0)))</f>
        <v>0</v>
      </c>
      <c r="R915" s="10" t="n">
        <f aca="false">IF($H915="숙박",0,IF($H915=MID(R$1,3,20),IF($I915="",1,0.6),IF($I915=MID(R$1,3,20),0.4,0)))</f>
        <v>1</v>
      </c>
      <c r="S915" s="10" t="n">
        <f aca="false">IF($H915="숙박",0,IF($H915=MID(S$1,3,20),IF($I915="",1,0.6),IF($I915=MID(S$1,3,20),0.4,0)))</f>
        <v>0</v>
      </c>
      <c r="T915" s="10" t="n">
        <f aca="false">IF($H915="숙박",0,IF($H915=MID(T$1,3,20),IF($I915="",1,0.6),IF($I915=MID(T$1,3,20),0.4,0)))</f>
        <v>0</v>
      </c>
      <c r="U915" s="10" t="n">
        <f aca="false">IF($H915="숙박",0,IF(ISNUMBER(SEARCH("야경",$J915)),1,0))</f>
        <v>0</v>
      </c>
      <c r="V915" s="10" t="n">
        <f aca="false">IF($H915="숙박",0,1)</f>
        <v>1</v>
      </c>
    </row>
    <row r="916" customFormat="false" ht="15" hidden="false" customHeight="false" outlineLevel="0" collapsed="false">
      <c r="A916" s="8" t="n">
        <v>915</v>
      </c>
      <c r="B916" s="8" t="s">
        <v>45</v>
      </c>
      <c r="C916" s="8" t="s">
        <v>421</v>
      </c>
      <c r="D916" s="8" t="s">
        <v>2829</v>
      </c>
      <c r="E916" s="7" t="s">
        <v>2830</v>
      </c>
      <c r="F916" s="8"/>
      <c r="G916" s="8" t="s">
        <v>184</v>
      </c>
      <c r="H916" s="9" t="s">
        <v>184</v>
      </c>
      <c r="I916" s="9" t="s">
        <v>190</v>
      </c>
      <c r="J916" s="9"/>
      <c r="K916" s="9" t="s">
        <v>52</v>
      </c>
      <c r="L916" s="8"/>
      <c r="M916" s="8"/>
      <c r="N916" s="8" t="s">
        <v>483</v>
      </c>
      <c r="O916" s="8" t="s">
        <v>2831</v>
      </c>
      <c r="P916" s="10" t="n">
        <f aca="false">IF($H916="숙박",0,IF($H916=MID(P$1,3,20),IF($I916="",1,0.6),IF($I916=MID(P$1,3,20),0.4,0)))</f>
        <v>0.4</v>
      </c>
      <c r="Q916" s="10" t="n">
        <f aca="false">IF($H916="숙박",0,IF($H916=MID(Q$1,3,20),IF($I916="",1,0.6),IF($I916=MID(Q$1,3,20),0.4,0)))</f>
        <v>0</v>
      </c>
      <c r="R916" s="10" t="n">
        <f aca="false">IF($H916="숙박",0,IF($H916=MID(R$1,3,20),IF($I916="",1,0.6),IF($I916=MID(R$1,3,20),0.4,0)))</f>
        <v>0.6</v>
      </c>
      <c r="S916" s="10" t="n">
        <f aca="false">IF($H916="숙박",0,IF($H916=MID(S$1,3,20),IF($I916="",1,0.6),IF($I916=MID(S$1,3,20),0.4,0)))</f>
        <v>0</v>
      </c>
      <c r="T916" s="10" t="n">
        <f aca="false">IF($H916="숙박",0,IF($H916=MID(T$1,3,20),IF($I916="",1,0.6),IF($I916=MID(T$1,3,20),0.4,0)))</f>
        <v>0</v>
      </c>
      <c r="U916" s="10" t="n">
        <f aca="false">IF($H916="숙박",0,IF(ISNUMBER(SEARCH("야경",$J916)),1,0))</f>
        <v>0</v>
      </c>
      <c r="V916" s="10" t="n">
        <f aca="false">IF($H916="숙박",0,1)</f>
        <v>1</v>
      </c>
    </row>
    <row r="917" customFormat="false" ht="15" hidden="false" customHeight="false" outlineLevel="0" collapsed="false">
      <c r="A917" s="8" t="n">
        <v>916</v>
      </c>
      <c r="B917" s="8" t="s">
        <v>45</v>
      </c>
      <c r="C917" s="8" t="s">
        <v>1440</v>
      </c>
      <c r="D917" s="8" t="s">
        <v>2832</v>
      </c>
      <c r="E917" s="7" t="s">
        <v>2833</v>
      </c>
      <c r="F917" s="8"/>
      <c r="G917" s="8" t="s">
        <v>184</v>
      </c>
      <c r="H917" s="9" t="s">
        <v>184</v>
      </c>
      <c r="I917" s="9"/>
      <c r="J917" s="9"/>
      <c r="K917" s="9" t="s">
        <v>191</v>
      </c>
      <c r="L917" s="8"/>
      <c r="M917" s="8"/>
      <c r="N917" s="8"/>
      <c r="O917" s="8" t="s">
        <v>2834</v>
      </c>
      <c r="P917" s="10" t="n">
        <f aca="false">IF($H917="숙박",0,IF($H917=MID(P$1,3,20),IF($I917="",1,0.6),IF($I917=MID(P$1,3,20),0.4,0)))</f>
        <v>0</v>
      </c>
      <c r="Q917" s="10" t="n">
        <f aca="false">IF($H917="숙박",0,IF($H917=MID(Q$1,3,20),IF($I917="",1,0.6),IF($I917=MID(Q$1,3,20),0.4,0)))</f>
        <v>0</v>
      </c>
      <c r="R917" s="10" t="n">
        <f aca="false">IF($H917="숙박",0,IF($H917=MID(R$1,3,20),IF($I917="",1,0.6),IF($I917=MID(R$1,3,20),0.4,0)))</f>
        <v>1</v>
      </c>
      <c r="S917" s="10" t="n">
        <f aca="false">IF($H917="숙박",0,IF($H917=MID(S$1,3,20),IF($I917="",1,0.6),IF($I917=MID(S$1,3,20),0.4,0)))</f>
        <v>0</v>
      </c>
      <c r="T917" s="10" t="n">
        <f aca="false">IF($H917="숙박",0,IF($H917=MID(T$1,3,20),IF($I917="",1,0.6),IF($I917=MID(T$1,3,20),0.4,0)))</f>
        <v>0</v>
      </c>
      <c r="U917" s="10" t="n">
        <f aca="false">IF($H917="숙박",0,IF(ISNUMBER(SEARCH("야경",$J917)),1,0))</f>
        <v>0</v>
      </c>
      <c r="V917" s="10" t="n">
        <f aca="false">IF($H917="숙박",0,1)</f>
        <v>1</v>
      </c>
    </row>
    <row r="918" customFormat="false" ht="15" hidden="false" customHeight="false" outlineLevel="0" collapsed="false">
      <c r="A918" s="8" t="n">
        <v>917</v>
      </c>
      <c r="B918" s="8" t="s">
        <v>45</v>
      </c>
      <c r="C918" s="8"/>
      <c r="D918" s="8" t="s">
        <v>2835</v>
      </c>
      <c r="E918" s="7" t="s">
        <v>2836</v>
      </c>
      <c r="F918" s="8"/>
      <c r="G918" s="8"/>
      <c r="H918" s="9" t="s">
        <v>594</v>
      </c>
      <c r="I918" s="9"/>
      <c r="J918" s="9"/>
      <c r="K918" s="9"/>
      <c r="L918" s="8"/>
      <c r="M918" s="8"/>
      <c r="N918" s="8" t="s">
        <v>595</v>
      </c>
      <c r="O918" s="8"/>
      <c r="P918" s="10" t="n">
        <f aca="false">IF($H918="숙박",0,IF($H918=MID(P$1,3,20),IF($I918="",1,0.6),IF($I918=MID(P$1,3,20),0.4,0)))</f>
        <v>0</v>
      </c>
      <c r="Q918" s="10" t="n">
        <f aca="false">IF($H918="숙박",0,IF($H918=MID(Q$1,3,20),IF($I918="",1,0.6),IF($I918=MID(Q$1,3,20),0.4,0)))</f>
        <v>0</v>
      </c>
      <c r="R918" s="10" t="n">
        <f aca="false">IF($H918="숙박",0,IF($H918=MID(R$1,3,20),IF($I918="",1,0.6),IF($I918=MID(R$1,3,20),0.4,0)))</f>
        <v>0</v>
      </c>
      <c r="S918" s="10" t="n">
        <f aca="false">IF($H918="숙박",0,IF($H918=MID(S$1,3,20),IF($I918="",1,0.6),IF($I918=MID(S$1,3,20),0.4,0)))</f>
        <v>0</v>
      </c>
      <c r="T918" s="10" t="n">
        <f aca="false">IF($H918="숙박",0,IF($H918=MID(T$1,3,20),IF($I918="",1,0.6),IF($I918=MID(T$1,3,20),0.4,0)))</f>
        <v>0</v>
      </c>
      <c r="U918" s="10" t="n">
        <f aca="false">IF($H918="숙박",0,IF(ISNUMBER(SEARCH("야경",$J918)),1,0))</f>
        <v>0</v>
      </c>
      <c r="V918" s="10" t="n">
        <f aca="false">IF($H918="숙박",0,1)</f>
        <v>0</v>
      </c>
    </row>
    <row r="919" customFormat="false" ht="15" hidden="false" customHeight="false" outlineLevel="0" collapsed="false">
      <c r="A919" s="8" t="n">
        <v>918</v>
      </c>
      <c r="B919" s="8" t="s">
        <v>45</v>
      </c>
      <c r="C919" s="8" t="s">
        <v>1829</v>
      </c>
      <c r="D919" s="8" t="s">
        <v>2837</v>
      </c>
      <c r="E919" s="7" t="s">
        <v>2838</v>
      </c>
      <c r="F919" s="8"/>
      <c r="G919" s="8" t="s">
        <v>184</v>
      </c>
      <c r="H919" s="9" t="s">
        <v>184</v>
      </c>
      <c r="I919" s="9" t="s">
        <v>190</v>
      </c>
      <c r="J919" s="9" t="s">
        <v>1361</v>
      </c>
      <c r="K919" s="9" t="s">
        <v>191</v>
      </c>
      <c r="L919" s="8"/>
      <c r="M919" s="8"/>
      <c r="N919" s="8" t="s">
        <v>483</v>
      </c>
      <c r="O919" s="8" t="s">
        <v>2839</v>
      </c>
      <c r="P919" s="10" t="n">
        <f aca="false">IF($H919="숙박",0,IF($H919=MID(P$1,3,20),IF($I919="",1,0.6),IF($I919=MID(P$1,3,20),0.4,0)))</f>
        <v>0.4</v>
      </c>
      <c r="Q919" s="10" t="n">
        <f aca="false">IF($H919="숙박",0,IF($H919=MID(Q$1,3,20),IF($I919="",1,0.6),IF($I919=MID(Q$1,3,20),0.4,0)))</f>
        <v>0</v>
      </c>
      <c r="R919" s="10" t="n">
        <f aca="false">IF($H919="숙박",0,IF($H919=MID(R$1,3,20),IF($I919="",1,0.6),IF($I919=MID(R$1,3,20),0.4,0)))</f>
        <v>0.6</v>
      </c>
      <c r="S919" s="10" t="n">
        <f aca="false">IF($H919="숙박",0,IF($H919=MID(S$1,3,20),IF($I919="",1,0.6),IF($I919=MID(S$1,3,20),0.4,0)))</f>
        <v>0</v>
      </c>
      <c r="T919" s="10" t="n">
        <f aca="false">IF($H919="숙박",0,IF($H919=MID(T$1,3,20),IF($I919="",1,0.6),IF($I919=MID(T$1,3,20),0.4,0)))</f>
        <v>0</v>
      </c>
      <c r="U919" s="10" t="n">
        <f aca="false">IF($H919="숙박",0,IF(ISNUMBER(SEARCH("야경",$J919)),1,0))</f>
        <v>0</v>
      </c>
      <c r="V919" s="10" t="n">
        <f aca="false">IF($H919="숙박",0,1)</f>
        <v>1</v>
      </c>
    </row>
    <row r="920" customFormat="false" ht="15" hidden="false" customHeight="false" outlineLevel="0" collapsed="false">
      <c r="A920" s="8" t="n">
        <v>919</v>
      </c>
      <c r="B920" s="8" t="s">
        <v>45</v>
      </c>
      <c r="C920" s="8" t="s">
        <v>678</v>
      </c>
      <c r="D920" s="8" t="s">
        <v>2840</v>
      </c>
      <c r="E920" s="7" t="s">
        <v>2841</v>
      </c>
      <c r="F920" s="8"/>
      <c r="G920" s="8" t="s">
        <v>184</v>
      </c>
      <c r="H920" s="9" t="s">
        <v>184</v>
      </c>
      <c r="I920" s="9" t="s">
        <v>190</v>
      </c>
      <c r="J920" s="9"/>
      <c r="K920" s="9" t="s">
        <v>52</v>
      </c>
      <c r="L920" s="8"/>
      <c r="M920" s="8"/>
      <c r="N920" s="8" t="s">
        <v>483</v>
      </c>
      <c r="O920" s="7" t="s">
        <v>2842</v>
      </c>
      <c r="P920" s="10" t="n">
        <f aca="false">IF($H920="숙박",0,IF($H920=MID(P$1,3,20),IF($I920="",1,0.6),IF($I920=MID(P$1,3,20),0.4,0)))</f>
        <v>0.4</v>
      </c>
      <c r="Q920" s="10" t="n">
        <f aca="false">IF($H920="숙박",0,IF($H920=MID(Q$1,3,20),IF($I920="",1,0.6),IF($I920=MID(Q$1,3,20),0.4,0)))</f>
        <v>0</v>
      </c>
      <c r="R920" s="10" t="n">
        <f aca="false">IF($H920="숙박",0,IF($H920=MID(R$1,3,20),IF($I920="",1,0.6),IF($I920=MID(R$1,3,20),0.4,0)))</f>
        <v>0.6</v>
      </c>
      <c r="S920" s="10" t="n">
        <f aca="false">IF($H920="숙박",0,IF($H920=MID(S$1,3,20),IF($I920="",1,0.6),IF($I920=MID(S$1,3,20),0.4,0)))</f>
        <v>0</v>
      </c>
      <c r="T920" s="10" t="n">
        <f aca="false">IF($H920="숙박",0,IF($H920=MID(T$1,3,20),IF($I920="",1,0.6),IF($I920=MID(T$1,3,20),0.4,0)))</f>
        <v>0</v>
      </c>
      <c r="U920" s="10" t="n">
        <f aca="false">IF($H920="숙박",0,IF(ISNUMBER(SEARCH("야경",$J920)),1,0))</f>
        <v>0</v>
      </c>
      <c r="V920" s="10" t="n">
        <f aca="false">IF($H920="숙박",0,1)</f>
        <v>1</v>
      </c>
    </row>
    <row r="921" customFormat="false" ht="15" hidden="false" customHeight="false" outlineLevel="0" collapsed="false">
      <c r="A921" s="8" t="n">
        <v>920</v>
      </c>
      <c r="B921" s="8" t="s">
        <v>45</v>
      </c>
      <c r="C921" s="8" t="s">
        <v>317</v>
      </c>
      <c r="D921" s="8" t="s">
        <v>2843</v>
      </c>
      <c r="E921" s="7" t="s">
        <v>2844</v>
      </c>
      <c r="F921" s="8"/>
      <c r="G921" s="8" t="s">
        <v>184</v>
      </c>
      <c r="H921" s="9" t="s">
        <v>184</v>
      </c>
      <c r="I921" s="9"/>
      <c r="J921" s="9" t="s">
        <v>1361</v>
      </c>
      <c r="K921" s="9" t="s">
        <v>191</v>
      </c>
      <c r="L921" s="8"/>
      <c r="M921" s="8"/>
      <c r="N921" s="8"/>
      <c r="O921" s="7" t="s">
        <v>2845</v>
      </c>
      <c r="P921" s="10" t="n">
        <f aca="false">IF($H921="숙박",0,IF($H921=MID(P$1,3,20),IF($I921="",1,0.6),IF($I921=MID(P$1,3,20),0.4,0)))</f>
        <v>0</v>
      </c>
      <c r="Q921" s="10" t="n">
        <f aca="false">IF($H921="숙박",0,IF($H921=MID(Q$1,3,20),IF($I921="",1,0.6),IF($I921=MID(Q$1,3,20),0.4,0)))</f>
        <v>0</v>
      </c>
      <c r="R921" s="10" t="n">
        <f aca="false">IF($H921="숙박",0,IF($H921=MID(R$1,3,20),IF($I921="",1,0.6),IF($I921=MID(R$1,3,20),0.4,0)))</f>
        <v>1</v>
      </c>
      <c r="S921" s="10" t="n">
        <f aca="false">IF($H921="숙박",0,IF($H921=MID(S$1,3,20),IF($I921="",1,0.6),IF($I921=MID(S$1,3,20),0.4,0)))</f>
        <v>0</v>
      </c>
      <c r="T921" s="10" t="n">
        <f aca="false">IF($H921="숙박",0,IF($H921=MID(T$1,3,20),IF($I921="",1,0.6),IF($I921=MID(T$1,3,20),0.4,0)))</f>
        <v>0</v>
      </c>
      <c r="U921" s="10" t="n">
        <f aca="false">IF($H921="숙박",0,IF(ISNUMBER(SEARCH("야경",$J921)),1,0))</f>
        <v>0</v>
      </c>
      <c r="V921" s="10" t="n">
        <f aca="false">IF($H921="숙박",0,1)</f>
        <v>1</v>
      </c>
    </row>
    <row r="922" customFormat="false" ht="15" hidden="false" customHeight="false" outlineLevel="0" collapsed="false">
      <c r="A922" s="8" t="n">
        <v>921</v>
      </c>
      <c r="B922" s="8" t="s">
        <v>45</v>
      </c>
      <c r="C922" s="8"/>
      <c r="D922" s="8" t="s">
        <v>2846</v>
      </c>
      <c r="E922" s="7" t="s">
        <v>2847</v>
      </c>
      <c r="F922" s="8"/>
      <c r="G922" s="8"/>
      <c r="H922" s="9" t="s">
        <v>594</v>
      </c>
      <c r="I922" s="9"/>
      <c r="J922" s="9"/>
      <c r="K922" s="9"/>
      <c r="L922" s="8"/>
      <c r="M922" s="8"/>
      <c r="N922" s="8" t="s">
        <v>595</v>
      </c>
      <c r="O922" s="8"/>
      <c r="P922" s="10" t="n">
        <f aca="false">IF($H922="숙박",0,IF($H922=MID(P$1,3,20),IF($I922="",1,0.6),IF($I922=MID(P$1,3,20),0.4,0)))</f>
        <v>0</v>
      </c>
      <c r="Q922" s="10" t="n">
        <f aca="false">IF($H922="숙박",0,IF($H922=MID(Q$1,3,20),IF($I922="",1,0.6),IF($I922=MID(Q$1,3,20),0.4,0)))</f>
        <v>0</v>
      </c>
      <c r="R922" s="10" t="n">
        <f aca="false">IF($H922="숙박",0,IF($H922=MID(R$1,3,20),IF($I922="",1,0.6),IF($I922=MID(R$1,3,20),0.4,0)))</f>
        <v>0</v>
      </c>
      <c r="S922" s="10" t="n">
        <f aca="false">IF($H922="숙박",0,IF($H922=MID(S$1,3,20),IF($I922="",1,0.6),IF($I922=MID(S$1,3,20),0.4,0)))</f>
        <v>0</v>
      </c>
      <c r="T922" s="10" t="n">
        <f aca="false">IF($H922="숙박",0,IF($H922=MID(T$1,3,20),IF($I922="",1,0.6),IF($I922=MID(T$1,3,20),0.4,0)))</f>
        <v>0</v>
      </c>
      <c r="U922" s="10" t="n">
        <f aca="false">IF($H922="숙박",0,IF(ISNUMBER(SEARCH("야경",$J922)),1,0))</f>
        <v>0</v>
      </c>
      <c r="V922" s="10" t="n">
        <f aca="false">IF($H922="숙박",0,1)</f>
        <v>0</v>
      </c>
    </row>
    <row r="923" customFormat="false" ht="15" hidden="false" customHeight="false" outlineLevel="0" collapsed="false">
      <c r="A923" s="8" t="n">
        <v>922</v>
      </c>
      <c r="B923" s="8" t="s">
        <v>45</v>
      </c>
      <c r="C923" s="8" t="s">
        <v>317</v>
      </c>
      <c r="D923" s="8" t="s">
        <v>2848</v>
      </c>
      <c r="E923" s="7" t="s">
        <v>2849</v>
      </c>
      <c r="F923" s="8"/>
      <c r="G923" s="8" t="s">
        <v>184</v>
      </c>
      <c r="H923" s="9" t="s">
        <v>184</v>
      </c>
      <c r="I923" s="9" t="s">
        <v>50</v>
      </c>
      <c r="J923" s="9" t="s">
        <v>168</v>
      </c>
      <c r="K923" s="9" t="s">
        <v>52</v>
      </c>
      <c r="L923" s="8"/>
      <c r="M923" s="8"/>
      <c r="N923" s="8" t="s">
        <v>185</v>
      </c>
      <c r="O923" s="8" t="s">
        <v>2850</v>
      </c>
      <c r="P923" s="10" t="n">
        <f aca="false">IF($H923="숙박",0,IF($H923=MID(P$1,3,20),IF($I923="",1,0.6),IF($I923=MID(P$1,3,20),0.4,0)))</f>
        <v>0</v>
      </c>
      <c r="Q923" s="10" t="n">
        <f aca="false">IF($H923="숙박",0,IF($H923=MID(Q$1,3,20),IF($I923="",1,0.6),IF($I923=MID(Q$1,3,20),0.4,0)))</f>
        <v>0</v>
      </c>
      <c r="R923" s="10" t="n">
        <f aca="false">IF($H923="숙박",0,IF($H923=MID(R$1,3,20),IF($I923="",1,0.6),IF($I923=MID(R$1,3,20),0.4,0)))</f>
        <v>0.6</v>
      </c>
      <c r="S923" s="10" t="n">
        <f aca="false">IF($H923="숙박",0,IF($H923=MID(S$1,3,20),IF($I923="",1,0.6),IF($I923=MID(S$1,3,20),0.4,0)))</f>
        <v>0</v>
      </c>
      <c r="T923" s="10" t="n">
        <f aca="false">IF($H923="숙박",0,IF($H923=MID(T$1,3,20),IF($I923="",1,0.6),IF($I923=MID(T$1,3,20),0.4,0)))</f>
        <v>0.4</v>
      </c>
      <c r="U923" s="10" t="n">
        <f aca="false">IF($H923="숙박",0,IF(ISNUMBER(SEARCH("야경",$J923)),1,0))</f>
        <v>0</v>
      </c>
      <c r="V923" s="10" t="n">
        <f aca="false">IF($H923="숙박",0,1)</f>
        <v>1</v>
      </c>
    </row>
    <row r="924" customFormat="false" ht="15" hidden="false" customHeight="false" outlineLevel="0" collapsed="false">
      <c r="A924" s="8" t="n">
        <v>923</v>
      </c>
      <c r="B924" s="8" t="s">
        <v>45</v>
      </c>
      <c r="C924" s="8" t="s">
        <v>2061</v>
      </c>
      <c r="D924" s="8" t="s">
        <v>2851</v>
      </c>
      <c r="E924" s="7" t="s">
        <v>2852</v>
      </c>
      <c r="F924" s="8"/>
      <c r="G924" s="8" t="s">
        <v>184</v>
      </c>
      <c r="H924" s="9" t="s">
        <v>184</v>
      </c>
      <c r="I924" s="9"/>
      <c r="J924" s="9" t="s">
        <v>1361</v>
      </c>
      <c r="K924" s="9" t="s">
        <v>191</v>
      </c>
      <c r="L924" s="8"/>
      <c r="M924" s="8"/>
      <c r="N924" s="8"/>
      <c r="O924" s="8" t="s">
        <v>2853</v>
      </c>
      <c r="P924" s="10" t="n">
        <f aca="false">IF($H924="숙박",0,IF($H924=MID(P$1,3,20),IF($I924="",1,0.6),IF($I924=MID(P$1,3,20),0.4,0)))</f>
        <v>0</v>
      </c>
      <c r="Q924" s="10" t="n">
        <f aca="false">IF($H924="숙박",0,IF($H924=MID(Q$1,3,20),IF($I924="",1,0.6),IF($I924=MID(Q$1,3,20),0.4,0)))</f>
        <v>0</v>
      </c>
      <c r="R924" s="10" t="n">
        <f aca="false">IF($H924="숙박",0,IF($H924=MID(R$1,3,20),IF($I924="",1,0.6),IF($I924=MID(R$1,3,20),0.4,0)))</f>
        <v>1</v>
      </c>
      <c r="S924" s="10" t="n">
        <f aca="false">IF($H924="숙박",0,IF($H924=MID(S$1,3,20),IF($I924="",1,0.6),IF($I924=MID(S$1,3,20),0.4,0)))</f>
        <v>0</v>
      </c>
      <c r="T924" s="10" t="n">
        <f aca="false">IF($H924="숙박",0,IF($H924=MID(T$1,3,20),IF($I924="",1,0.6),IF($I924=MID(T$1,3,20),0.4,0)))</f>
        <v>0</v>
      </c>
      <c r="U924" s="10" t="n">
        <f aca="false">IF($H924="숙박",0,IF(ISNUMBER(SEARCH("야경",$J924)),1,0))</f>
        <v>0</v>
      </c>
      <c r="V924" s="10" t="n">
        <f aca="false">IF($H924="숙박",0,1)</f>
        <v>1</v>
      </c>
    </row>
    <row r="925" customFormat="false" ht="15" hidden="false" customHeight="false" outlineLevel="0" collapsed="false">
      <c r="A925" s="8" t="n">
        <v>924</v>
      </c>
      <c r="B925" s="8" t="s">
        <v>45</v>
      </c>
      <c r="C925" s="8" t="s">
        <v>2061</v>
      </c>
      <c r="D925" s="8" t="s">
        <v>2854</v>
      </c>
      <c r="E925" s="7" t="s">
        <v>2855</v>
      </c>
      <c r="F925" s="8"/>
      <c r="G925" s="8" t="s">
        <v>216</v>
      </c>
      <c r="H925" s="9" t="s">
        <v>216</v>
      </c>
      <c r="I925" s="9"/>
      <c r="J925" s="9"/>
      <c r="K925" s="9" t="s">
        <v>191</v>
      </c>
      <c r="L925" s="8"/>
      <c r="M925" s="8"/>
      <c r="N925" s="8"/>
      <c r="O925" s="8" t="s">
        <v>2856</v>
      </c>
      <c r="P925" s="10" t="n">
        <f aca="false">IF($H925="숙박",0,IF($H925=MID(P$1,3,20),IF($I925="",1,0.6),IF($I925=MID(P$1,3,20),0.4,0)))</f>
        <v>0</v>
      </c>
      <c r="Q925" s="10" t="n">
        <f aca="false">IF($H925="숙박",0,IF($H925=MID(Q$1,3,20),IF($I925="",1,0.6),IF($I925=MID(Q$1,3,20),0.4,0)))</f>
        <v>0</v>
      </c>
      <c r="R925" s="10" t="n">
        <f aca="false">IF($H925="숙박",0,IF($H925=MID(R$1,3,20),IF($I925="",1,0.6),IF($I925=MID(R$1,3,20),0.4,0)))</f>
        <v>0</v>
      </c>
      <c r="S925" s="10" t="n">
        <f aca="false">IF($H925="숙박",0,IF($H925=MID(S$1,3,20),IF($I925="",1,0.6),IF($I925=MID(S$1,3,20),0.4,0)))</f>
        <v>1</v>
      </c>
      <c r="T925" s="10" t="n">
        <f aca="false">IF($H925="숙박",0,IF($H925=MID(T$1,3,20),IF($I925="",1,0.6),IF($I925=MID(T$1,3,20),0.4,0)))</f>
        <v>0</v>
      </c>
      <c r="U925" s="10" t="n">
        <f aca="false">IF($H925="숙박",0,IF(ISNUMBER(SEARCH("야경",$J925)),1,0))</f>
        <v>0</v>
      </c>
      <c r="V925" s="10" t="n">
        <f aca="false">IF($H925="숙박",0,1)</f>
        <v>1</v>
      </c>
    </row>
    <row r="926" customFormat="false" ht="15" hidden="false" customHeight="false" outlineLevel="0" collapsed="false">
      <c r="A926" s="8" t="n">
        <v>925</v>
      </c>
      <c r="B926" s="8" t="s">
        <v>45</v>
      </c>
      <c r="C926" s="8" t="s">
        <v>165</v>
      </c>
      <c r="D926" s="8" t="s">
        <v>2857</v>
      </c>
      <c r="E926" s="7" t="s">
        <v>2858</v>
      </c>
      <c r="F926" s="8"/>
      <c r="G926" s="8" t="s">
        <v>50</v>
      </c>
      <c r="H926" s="9" t="s">
        <v>50</v>
      </c>
      <c r="I926" s="9"/>
      <c r="J926" s="9" t="s">
        <v>168</v>
      </c>
      <c r="K926" s="9" t="s">
        <v>52</v>
      </c>
      <c r="L926" s="8"/>
      <c r="M926" s="8"/>
      <c r="N926" s="8"/>
      <c r="O926" s="8" t="s">
        <v>2859</v>
      </c>
      <c r="P926" s="10" t="n">
        <f aca="false">IF($H926="숙박",0,IF($H926=MID(P$1,3,20),IF($I926="",1,0.6),IF($I926=MID(P$1,3,20),0.4,0)))</f>
        <v>0</v>
      </c>
      <c r="Q926" s="10" t="n">
        <f aca="false">IF($H926="숙박",0,IF($H926=MID(Q$1,3,20),IF($I926="",1,0.6),IF($I926=MID(Q$1,3,20),0.4,0)))</f>
        <v>0</v>
      </c>
      <c r="R926" s="10" t="n">
        <f aca="false">IF($H926="숙박",0,IF($H926=MID(R$1,3,20),IF($I926="",1,0.6),IF($I926=MID(R$1,3,20),0.4,0)))</f>
        <v>0</v>
      </c>
      <c r="S926" s="10" t="n">
        <f aca="false">IF($H926="숙박",0,IF($H926=MID(S$1,3,20),IF($I926="",1,0.6),IF($I926=MID(S$1,3,20),0.4,0)))</f>
        <v>0</v>
      </c>
      <c r="T926" s="10" t="n">
        <f aca="false">IF($H926="숙박",0,IF($H926=MID(T$1,3,20),IF($I926="",1,0.6),IF($I926=MID(T$1,3,20),0.4,0)))</f>
        <v>1</v>
      </c>
      <c r="U926" s="10" t="n">
        <f aca="false">IF($H926="숙박",0,IF(ISNUMBER(SEARCH("야경",$J926)),1,0))</f>
        <v>0</v>
      </c>
      <c r="V926" s="10" t="n">
        <f aca="false">IF($H926="숙박",0,1)</f>
        <v>1</v>
      </c>
    </row>
    <row r="927" customFormat="false" ht="15" hidden="false" customHeight="false" outlineLevel="0" collapsed="false">
      <c r="A927" s="8" t="n">
        <v>926</v>
      </c>
      <c r="B927" s="8" t="s">
        <v>45</v>
      </c>
      <c r="C927" s="8" t="s">
        <v>178</v>
      </c>
      <c r="D927" s="8" t="s">
        <v>2860</v>
      </c>
      <c r="E927" s="7" t="s">
        <v>2861</v>
      </c>
      <c r="F927" s="8"/>
      <c r="G927" s="8" t="s">
        <v>50</v>
      </c>
      <c r="H927" s="9" t="s">
        <v>50</v>
      </c>
      <c r="I927" s="9"/>
      <c r="J927" s="9" t="s">
        <v>168</v>
      </c>
      <c r="K927" s="9" t="s">
        <v>52</v>
      </c>
      <c r="L927" s="8"/>
      <c r="M927" s="8"/>
      <c r="N927" s="8"/>
      <c r="O927" s="8" t="s">
        <v>2862</v>
      </c>
      <c r="P927" s="10" t="n">
        <f aca="false">IF($H927="숙박",0,IF($H927=MID(P$1,3,20),IF($I927="",1,0.6),IF($I927=MID(P$1,3,20),0.4,0)))</f>
        <v>0</v>
      </c>
      <c r="Q927" s="10" t="n">
        <f aca="false">IF($H927="숙박",0,IF($H927=MID(Q$1,3,20),IF($I927="",1,0.6),IF($I927=MID(Q$1,3,20),0.4,0)))</f>
        <v>0</v>
      </c>
      <c r="R927" s="10" t="n">
        <f aca="false">IF($H927="숙박",0,IF($H927=MID(R$1,3,20),IF($I927="",1,0.6),IF($I927=MID(R$1,3,20),0.4,0)))</f>
        <v>0</v>
      </c>
      <c r="S927" s="10" t="n">
        <f aca="false">IF($H927="숙박",0,IF($H927=MID(S$1,3,20),IF($I927="",1,0.6),IF($I927=MID(S$1,3,20),0.4,0)))</f>
        <v>0</v>
      </c>
      <c r="T927" s="10" t="n">
        <f aca="false">IF($H927="숙박",0,IF($H927=MID(T$1,3,20),IF($I927="",1,0.6),IF($I927=MID(T$1,3,20),0.4,0)))</f>
        <v>1</v>
      </c>
      <c r="U927" s="10" t="n">
        <f aca="false">IF($H927="숙박",0,IF(ISNUMBER(SEARCH("야경",$J927)),1,0))</f>
        <v>0</v>
      </c>
      <c r="V927" s="10" t="n">
        <f aca="false">IF($H927="숙박",0,1)</f>
        <v>1</v>
      </c>
    </row>
    <row r="928" customFormat="false" ht="15" hidden="false" customHeight="false" outlineLevel="0" collapsed="false">
      <c r="A928" s="8" t="n">
        <v>927</v>
      </c>
      <c r="B928" s="8" t="s">
        <v>45</v>
      </c>
      <c r="C928" s="8" t="s">
        <v>1895</v>
      </c>
      <c r="D928" s="8" t="s">
        <v>2863</v>
      </c>
      <c r="E928" s="7" t="s">
        <v>2864</v>
      </c>
      <c r="F928" s="8"/>
      <c r="G928" s="8" t="s">
        <v>50</v>
      </c>
      <c r="H928" s="9" t="s">
        <v>50</v>
      </c>
      <c r="I928" s="9" t="s">
        <v>184</v>
      </c>
      <c r="J928" s="9" t="s">
        <v>168</v>
      </c>
      <c r="K928" s="9" t="s">
        <v>52</v>
      </c>
      <c r="L928" s="8"/>
      <c r="M928" s="8"/>
      <c r="N928" s="8" t="s">
        <v>483</v>
      </c>
      <c r="O928" s="8" t="s">
        <v>2865</v>
      </c>
      <c r="P928" s="10" t="n">
        <f aca="false">IF($H928="숙박",0,IF($H928=MID(P$1,3,20),IF($I928="",1,0.6),IF($I928=MID(P$1,3,20),0.4,0)))</f>
        <v>0</v>
      </c>
      <c r="Q928" s="10" t="n">
        <f aca="false">IF($H928="숙박",0,IF($H928=MID(Q$1,3,20),IF($I928="",1,0.6),IF($I928=MID(Q$1,3,20),0.4,0)))</f>
        <v>0</v>
      </c>
      <c r="R928" s="10" t="n">
        <f aca="false">IF($H928="숙박",0,IF($H928=MID(R$1,3,20),IF($I928="",1,0.6),IF($I928=MID(R$1,3,20),0.4,0)))</f>
        <v>0.4</v>
      </c>
      <c r="S928" s="10" t="n">
        <f aca="false">IF($H928="숙박",0,IF($H928=MID(S$1,3,20),IF($I928="",1,0.6),IF($I928=MID(S$1,3,20),0.4,0)))</f>
        <v>0</v>
      </c>
      <c r="T928" s="10" t="n">
        <f aca="false">IF($H928="숙박",0,IF($H928=MID(T$1,3,20),IF($I928="",1,0.6),IF($I928=MID(T$1,3,20),0.4,0)))</f>
        <v>0.6</v>
      </c>
      <c r="U928" s="10" t="n">
        <f aca="false">IF($H928="숙박",0,IF(ISNUMBER(SEARCH("야경",$J928)),1,0))</f>
        <v>0</v>
      </c>
      <c r="V928" s="10" t="n">
        <f aca="false">IF($H928="숙박",0,1)</f>
        <v>1</v>
      </c>
    </row>
    <row r="929" customFormat="false" ht="15" hidden="false" customHeight="false" outlineLevel="0" collapsed="false">
      <c r="A929" s="8" t="n">
        <v>928</v>
      </c>
      <c r="B929" s="8" t="s">
        <v>45</v>
      </c>
      <c r="C929" s="8" t="s">
        <v>411</v>
      </c>
      <c r="D929" s="8" t="s">
        <v>2866</v>
      </c>
      <c r="E929" s="7" t="s">
        <v>2867</v>
      </c>
      <c r="F929" s="8"/>
      <c r="G929" s="8" t="s">
        <v>190</v>
      </c>
      <c r="H929" s="9" t="s">
        <v>190</v>
      </c>
      <c r="I929" s="9"/>
      <c r="J929" s="9"/>
      <c r="K929" s="9" t="s">
        <v>191</v>
      </c>
      <c r="L929" s="8"/>
      <c r="M929" s="8"/>
      <c r="N929" s="8"/>
      <c r="O929" s="8" t="s">
        <v>2868</v>
      </c>
      <c r="P929" s="10" t="n">
        <f aca="false">IF($H929="숙박",0,IF($H929=MID(P$1,3,20),IF($I929="",1,0.6),IF($I929=MID(P$1,3,20),0.4,0)))</f>
        <v>1</v>
      </c>
      <c r="Q929" s="10" t="n">
        <f aca="false">IF($H929="숙박",0,IF($H929=MID(Q$1,3,20),IF($I929="",1,0.6),IF($I929=MID(Q$1,3,20),0.4,0)))</f>
        <v>0</v>
      </c>
      <c r="R929" s="10" t="n">
        <f aca="false">IF($H929="숙박",0,IF($H929=MID(R$1,3,20),IF($I929="",1,0.6),IF($I929=MID(R$1,3,20),0.4,0)))</f>
        <v>0</v>
      </c>
      <c r="S929" s="10" t="n">
        <f aca="false">IF($H929="숙박",0,IF($H929=MID(S$1,3,20),IF($I929="",1,0.6),IF($I929=MID(S$1,3,20),0.4,0)))</f>
        <v>0</v>
      </c>
      <c r="T929" s="10" t="n">
        <f aca="false">IF($H929="숙박",0,IF($H929=MID(T$1,3,20),IF($I929="",1,0.6),IF($I929=MID(T$1,3,20),0.4,0)))</f>
        <v>0</v>
      </c>
      <c r="U929" s="10" t="n">
        <f aca="false">IF($H929="숙박",0,IF(ISNUMBER(SEARCH("야경",$J929)),1,0))</f>
        <v>0</v>
      </c>
      <c r="V929" s="10" t="n">
        <f aca="false">IF($H929="숙박",0,1)</f>
        <v>1</v>
      </c>
    </row>
    <row r="930" customFormat="false" ht="15" hidden="false" customHeight="false" outlineLevel="0" collapsed="false">
      <c r="A930" s="8" t="n">
        <v>929</v>
      </c>
      <c r="B930" s="8" t="s">
        <v>45</v>
      </c>
      <c r="C930" s="8" t="s">
        <v>2177</v>
      </c>
      <c r="D930" s="8" t="s">
        <v>2869</v>
      </c>
      <c r="E930" s="7" t="s">
        <v>2870</v>
      </c>
      <c r="F930" s="8"/>
      <c r="G930" s="8" t="s">
        <v>49</v>
      </c>
      <c r="H930" s="9" t="s">
        <v>49</v>
      </c>
      <c r="I930" s="9"/>
      <c r="J930" s="9"/>
      <c r="K930" s="9" t="s">
        <v>52</v>
      </c>
      <c r="L930" s="8"/>
      <c r="M930" s="8"/>
      <c r="N930" s="8"/>
      <c r="O930" s="8" t="s">
        <v>2871</v>
      </c>
      <c r="P930" s="10" t="n">
        <f aca="false">IF($H930="숙박",0,IF($H930=MID(P$1,3,20),IF($I930="",1,0.6),IF($I930=MID(P$1,3,20),0.4,0)))</f>
        <v>0</v>
      </c>
      <c r="Q930" s="10" t="n">
        <f aca="false">IF($H930="숙박",0,IF($H930=MID(Q$1,3,20),IF($I930="",1,0.6),IF($I930=MID(Q$1,3,20),0.4,0)))</f>
        <v>1</v>
      </c>
      <c r="R930" s="10" t="n">
        <f aca="false">IF($H930="숙박",0,IF($H930=MID(R$1,3,20),IF($I930="",1,0.6),IF($I930=MID(R$1,3,20),0.4,0)))</f>
        <v>0</v>
      </c>
      <c r="S930" s="10" t="n">
        <f aca="false">IF($H930="숙박",0,IF($H930=MID(S$1,3,20),IF($I930="",1,0.6),IF($I930=MID(S$1,3,20),0.4,0)))</f>
        <v>0</v>
      </c>
      <c r="T930" s="10" t="n">
        <f aca="false">IF($H930="숙박",0,IF($H930=MID(T$1,3,20),IF($I930="",1,0.6),IF($I930=MID(T$1,3,20),0.4,0)))</f>
        <v>0</v>
      </c>
      <c r="U930" s="10" t="n">
        <f aca="false">IF($H930="숙박",0,IF(ISNUMBER(SEARCH("야경",$J930)),1,0))</f>
        <v>0</v>
      </c>
      <c r="V930" s="10" t="n">
        <f aca="false">IF($H930="숙박",0,1)</f>
        <v>1</v>
      </c>
    </row>
    <row r="931" customFormat="false" ht="15" hidden="false" customHeight="false" outlineLevel="0" collapsed="false">
      <c r="A931" s="8" t="n">
        <v>930</v>
      </c>
      <c r="B931" s="8" t="s">
        <v>45</v>
      </c>
      <c r="C931" s="8" t="s">
        <v>170</v>
      </c>
      <c r="D931" s="8" t="s">
        <v>2872</v>
      </c>
      <c r="E931" s="7" t="s">
        <v>2873</v>
      </c>
      <c r="F931" s="8"/>
      <c r="G931" s="8" t="s">
        <v>50</v>
      </c>
      <c r="H931" s="9" t="s">
        <v>50</v>
      </c>
      <c r="I931" s="9"/>
      <c r="J931" s="9" t="s">
        <v>168</v>
      </c>
      <c r="K931" s="9" t="s">
        <v>52</v>
      </c>
      <c r="L931" s="8"/>
      <c r="M931" s="8"/>
      <c r="N931" s="8"/>
      <c r="O931" s="8" t="s">
        <v>2874</v>
      </c>
      <c r="P931" s="10" t="n">
        <f aca="false">IF($H931="숙박",0,IF($H931=MID(P$1,3,20),IF($I931="",1,0.6),IF($I931=MID(P$1,3,20),0.4,0)))</f>
        <v>0</v>
      </c>
      <c r="Q931" s="10" t="n">
        <f aca="false">IF($H931="숙박",0,IF($H931=MID(Q$1,3,20),IF($I931="",1,0.6),IF($I931=MID(Q$1,3,20),0.4,0)))</f>
        <v>0</v>
      </c>
      <c r="R931" s="10" t="n">
        <f aca="false">IF($H931="숙박",0,IF($H931=MID(R$1,3,20),IF($I931="",1,0.6),IF($I931=MID(R$1,3,20),0.4,0)))</f>
        <v>0</v>
      </c>
      <c r="S931" s="10" t="n">
        <f aca="false">IF($H931="숙박",0,IF($H931=MID(S$1,3,20),IF($I931="",1,0.6),IF($I931=MID(S$1,3,20),0.4,0)))</f>
        <v>0</v>
      </c>
      <c r="T931" s="10" t="n">
        <f aca="false">IF($H931="숙박",0,IF($H931=MID(T$1,3,20),IF($I931="",1,0.6),IF($I931=MID(T$1,3,20),0.4,0)))</f>
        <v>1</v>
      </c>
      <c r="U931" s="10" t="n">
        <f aca="false">IF($H931="숙박",0,IF(ISNUMBER(SEARCH("야경",$J931)),1,0))</f>
        <v>0</v>
      </c>
      <c r="V931" s="10" t="n">
        <f aca="false">IF($H931="숙박",0,1)</f>
        <v>1</v>
      </c>
    </row>
    <row r="932" customFormat="false" ht="15" hidden="false" customHeight="false" outlineLevel="0" collapsed="false">
      <c r="A932" s="8" t="n">
        <v>931</v>
      </c>
      <c r="B932" s="8" t="s">
        <v>45</v>
      </c>
      <c r="C932" s="8" t="s">
        <v>1895</v>
      </c>
      <c r="D932" s="8" t="s">
        <v>2875</v>
      </c>
      <c r="E932" s="7" t="s">
        <v>2876</v>
      </c>
      <c r="F932" s="8"/>
      <c r="G932" s="8" t="s">
        <v>49</v>
      </c>
      <c r="H932" s="9" t="s">
        <v>49</v>
      </c>
      <c r="I932" s="9"/>
      <c r="J932" s="9"/>
      <c r="K932" s="9" t="s">
        <v>52</v>
      </c>
      <c r="L932" s="8"/>
      <c r="M932" s="8"/>
      <c r="N932" s="8"/>
      <c r="O932" s="8" t="s">
        <v>2877</v>
      </c>
      <c r="P932" s="10" t="n">
        <f aca="false">IF($H932="숙박",0,IF($H932=MID(P$1,3,20),IF($I932="",1,0.6),IF($I932=MID(P$1,3,20),0.4,0)))</f>
        <v>0</v>
      </c>
      <c r="Q932" s="10" t="n">
        <f aca="false">IF($H932="숙박",0,IF($H932=MID(Q$1,3,20),IF($I932="",1,0.6),IF($I932=MID(Q$1,3,20),0.4,0)))</f>
        <v>1</v>
      </c>
      <c r="R932" s="10" t="n">
        <f aca="false">IF($H932="숙박",0,IF($H932=MID(R$1,3,20),IF($I932="",1,0.6),IF($I932=MID(R$1,3,20),0.4,0)))</f>
        <v>0</v>
      </c>
      <c r="S932" s="10" t="n">
        <f aca="false">IF($H932="숙박",0,IF($H932=MID(S$1,3,20),IF($I932="",1,0.6),IF($I932=MID(S$1,3,20),0.4,0)))</f>
        <v>0</v>
      </c>
      <c r="T932" s="10" t="n">
        <f aca="false">IF($H932="숙박",0,IF($H932=MID(T$1,3,20),IF($I932="",1,0.6),IF($I932=MID(T$1,3,20),0.4,0)))</f>
        <v>0</v>
      </c>
      <c r="U932" s="10" t="n">
        <f aca="false">IF($H932="숙박",0,IF(ISNUMBER(SEARCH("야경",$J932)),1,0))</f>
        <v>0</v>
      </c>
      <c r="V932" s="10" t="n">
        <f aca="false">IF($H932="숙박",0,1)</f>
        <v>1</v>
      </c>
    </row>
    <row r="933" customFormat="false" ht="15" hidden="false" customHeight="false" outlineLevel="0" collapsed="false">
      <c r="A933" s="8" t="n">
        <v>932</v>
      </c>
      <c r="B933" s="8" t="s">
        <v>45</v>
      </c>
      <c r="C933" s="8"/>
      <c r="D933" s="8" t="s">
        <v>2878</v>
      </c>
      <c r="E933" s="7" t="s">
        <v>2879</v>
      </c>
      <c r="F933" s="8"/>
      <c r="G933" s="8"/>
      <c r="H933" s="9" t="s">
        <v>594</v>
      </c>
      <c r="I933" s="9"/>
      <c r="J933" s="9"/>
      <c r="K933" s="9"/>
      <c r="L933" s="8"/>
      <c r="M933" s="8"/>
      <c r="N933" s="8" t="s">
        <v>595</v>
      </c>
      <c r="O933" s="8"/>
      <c r="P933" s="10" t="n">
        <f aca="false">IF($H933="숙박",0,IF($H933=MID(P$1,3,20),IF($I933="",1,0.6),IF($I933=MID(P$1,3,20),0.4,0)))</f>
        <v>0</v>
      </c>
      <c r="Q933" s="10" t="n">
        <f aca="false">IF($H933="숙박",0,IF($H933=MID(Q$1,3,20),IF($I933="",1,0.6),IF($I933=MID(Q$1,3,20),0.4,0)))</f>
        <v>0</v>
      </c>
      <c r="R933" s="10" t="n">
        <f aca="false">IF($H933="숙박",0,IF($H933=MID(R$1,3,20),IF($I933="",1,0.6),IF($I933=MID(R$1,3,20),0.4,0)))</f>
        <v>0</v>
      </c>
      <c r="S933" s="10" t="n">
        <f aca="false">IF($H933="숙박",0,IF($H933=MID(S$1,3,20),IF($I933="",1,0.6),IF($I933=MID(S$1,3,20),0.4,0)))</f>
        <v>0</v>
      </c>
      <c r="T933" s="10" t="n">
        <f aca="false">IF($H933="숙박",0,IF($H933=MID(T$1,3,20),IF($I933="",1,0.6),IF($I933=MID(T$1,3,20),0.4,0)))</f>
        <v>0</v>
      </c>
      <c r="U933" s="10" t="n">
        <f aca="false">IF($H933="숙박",0,IF(ISNUMBER(SEARCH("야경",$J933)),1,0))</f>
        <v>0</v>
      </c>
      <c r="V933" s="10" t="n">
        <f aca="false">IF($H933="숙박",0,1)</f>
        <v>0</v>
      </c>
    </row>
    <row r="934" customFormat="false" ht="15" hidden="false" customHeight="false" outlineLevel="0" collapsed="false">
      <c r="A934" s="8" t="n">
        <v>933</v>
      </c>
      <c r="B934" s="8" t="s">
        <v>45</v>
      </c>
      <c r="C934" s="8"/>
      <c r="D934" s="8" t="s">
        <v>2880</v>
      </c>
      <c r="E934" s="7" t="s">
        <v>2881</v>
      </c>
      <c r="F934" s="8"/>
      <c r="G934" s="8"/>
      <c r="H934" s="9" t="s">
        <v>594</v>
      </c>
      <c r="I934" s="9"/>
      <c r="J934" s="9"/>
      <c r="K934" s="9"/>
      <c r="L934" s="8"/>
      <c r="M934" s="8"/>
      <c r="N934" s="8" t="s">
        <v>595</v>
      </c>
      <c r="O934" s="8"/>
      <c r="P934" s="10" t="n">
        <f aca="false">IF($H934="숙박",0,IF($H934=MID(P$1,3,20),IF($I934="",1,0.6),IF($I934=MID(P$1,3,20),0.4,0)))</f>
        <v>0</v>
      </c>
      <c r="Q934" s="10" t="n">
        <f aca="false">IF($H934="숙박",0,IF($H934=MID(Q$1,3,20),IF($I934="",1,0.6),IF($I934=MID(Q$1,3,20),0.4,0)))</f>
        <v>0</v>
      </c>
      <c r="R934" s="10" t="n">
        <f aca="false">IF($H934="숙박",0,IF($H934=MID(R$1,3,20),IF($I934="",1,0.6),IF($I934=MID(R$1,3,20),0.4,0)))</f>
        <v>0</v>
      </c>
      <c r="S934" s="10" t="n">
        <f aca="false">IF($H934="숙박",0,IF($H934=MID(S$1,3,20),IF($I934="",1,0.6),IF($I934=MID(S$1,3,20),0.4,0)))</f>
        <v>0</v>
      </c>
      <c r="T934" s="10" t="n">
        <f aca="false">IF($H934="숙박",0,IF($H934=MID(T$1,3,20),IF($I934="",1,0.6),IF($I934=MID(T$1,3,20),0.4,0)))</f>
        <v>0</v>
      </c>
      <c r="U934" s="10" t="n">
        <f aca="false">IF($H934="숙박",0,IF(ISNUMBER(SEARCH("야경",$J934)),1,0))</f>
        <v>0</v>
      </c>
      <c r="V934" s="10" t="n">
        <f aca="false">IF($H934="숙박",0,1)</f>
        <v>0</v>
      </c>
    </row>
    <row r="935" customFormat="false" ht="15" hidden="false" customHeight="false" outlineLevel="0" collapsed="false">
      <c r="A935" s="8" t="n">
        <v>934</v>
      </c>
      <c r="B935" s="8" t="s">
        <v>45</v>
      </c>
      <c r="C935" s="8" t="s">
        <v>310</v>
      </c>
      <c r="D935" s="8" t="s">
        <v>2882</v>
      </c>
      <c r="E935" s="7" t="s">
        <v>2883</v>
      </c>
      <c r="F935" s="8"/>
      <c r="G935" s="8" t="s">
        <v>50</v>
      </c>
      <c r="H935" s="9" t="s">
        <v>50</v>
      </c>
      <c r="I935" s="9"/>
      <c r="J935" s="9" t="s">
        <v>340</v>
      </c>
      <c r="K935" s="9" t="s">
        <v>52</v>
      </c>
      <c r="L935" s="8"/>
      <c r="M935" s="8"/>
      <c r="N935" s="8"/>
      <c r="O935" s="8" t="s">
        <v>2884</v>
      </c>
      <c r="P935" s="10" t="n">
        <f aca="false">IF($H935="숙박",0,IF($H935=MID(P$1,3,20),IF($I935="",1,0.6),IF($I935=MID(P$1,3,20),0.4,0)))</f>
        <v>0</v>
      </c>
      <c r="Q935" s="10" t="n">
        <f aca="false">IF($H935="숙박",0,IF($H935=MID(Q$1,3,20),IF($I935="",1,0.6),IF($I935=MID(Q$1,3,20),0.4,0)))</f>
        <v>0</v>
      </c>
      <c r="R935" s="10" t="n">
        <f aca="false">IF($H935="숙박",0,IF($H935=MID(R$1,3,20),IF($I935="",1,0.6),IF($I935=MID(R$1,3,20),0.4,0)))</f>
        <v>0</v>
      </c>
      <c r="S935" s="10" t="n">
        <f aca="false">IF($H935="숙박",0,IF($H935=MID(S$1,3,20),IF($I935="",1,0.6),IF($I935=MID(S$1,3,20),0.4,0)))</f>
        <v>0</v>
      </c>
      <c r="T935" s="10" t="n">
        <f aca="false">IF($H935="숙박",0,IF($H935=MID(T$1,3,20),IF($I935="",1,0.6),IF($I935=MID(T$1,3,20),0.4,0)))</f>
        <v>1</v>
      </c>
      <c r="U935" s="10" t="n">
        <f aca="false">IF($H935="숙박",0,IF(ISNUMBER(SEARCH("야경",$J935)),1,0))</f>
        <v>1</v>
      </c>
      <c r="V935" s="10" t="n">
        <f aca="false">IF($H935="숙박",0,1)</f>
        <v>1</v>
      </c>
    </row>
    <row r="936" customFormat="false" ht="15" hidden="false" customHeight="false" outlineLevel="0" collapsed="false">
      <c r="A936" s="8" t="n">
        <v>935</v>
      </c>
      <c r="B936" s="8" t="s">
        <v>45</v>
      </c>
      <c r="C936" s="8" t="s">
        <v>310</v>
      </c>
      <c r="D936" s="8" t="s">
        <v>2885</v>
      </c>
      <c r="E936" s="7" t="s">
        <v>2886</v>
      </c>
      <c r="F936" s="8"/>
      <c r="G936" s="8" t="s">
        <v>50</v>
      </c>
      <c r="H936" s="9" t="s">
        <v>50</v>
      </c>
      <c r="I936" s="9"/>
      <c r="J936" s="9" t="s">
        <v>168</v>
      </c>
      <c r="K936" s="9" t="s">
        <v>52</v>
      </c>
      <c r="L936" s="8"/>
      <c r="M936" s="8"/>
      <c r="N936" s="8"/>
      <c r="O936" s="8" t="s">
        <v>2887</v>
      </c>
      <c r="P936" s="10" t="n">
        <f aca="false">IF($H936="숙박",0,IF($H936=MID(P$1,3,20),IF($I936="",1,0.6),IF($I936=MID(P$1,3,20),0.4,0)))</f>
        <v>0</v>
      </c>
      <c r="Q936" s="10" t="n">
        <f aca="false">IF($H936="숙박",0,IF($H936=MID(Q$1,3,20),IF($I936="",1,0.6),IF($I936=MID(Q$1,3,20),0.4,0)))</f>
        <v>0</v>
      </c>
      <c r="R936" s="10" t="n">
        <f aca="false">IF($H936="숙박",0,IF($H936=MID(R$1,3,20),IF($I936="",1,0.6),IF($I936=MID(R$1,3,20),0.4,0)))</f>
        <v>0</v>
      </c>
      <c r="S936" s="10" t="n">
        <f aca="false">IF($H936="숙박",0,IF($H936=MID(S$1,3,20),IF($I936="",1,0.6),IF($I936=MID(S$1,3,20),0.4,0)))</f>
        <v>0</v>
      </c>
      <c r="T936" s="10" t="n">
        <f aca="false">IF($H936="숙박",0,IF($H936=MID(T$1,3,20),IF($I936="",1,0.6),IF($I936=MID(T$1,3,20),0.4,0)))</f>
        <v>1</v>
      </c>
      <c r="U936" s="10" t="n">
        <f aca="false">IF($H936="숙박",0,IF(ISNUMBER(SEARCH("야경",$J936)),1,0))</f>
        <v>0</v>
      </c>
      <c r="V936" s="10" t="n">
        <f aca="false">IF($H936="숙박",0,1)</f>
        <v>1</v>
      </c>
    </row>
    <row r="937" customFormat="false" ht="15" hidden="false" customHeight="false" outlineLevel="0" collapsed="false">
      <c r="A937" s="8" t="n">
        <v>936</v>
      </c>
      <c r="B937" s="8" t="s">
        <v>45</v>
      </c>
      <c r="C937" s="8" t="s">
        <v>297</v>
      </c>
      <c r="D937" s="8" t="s">
        <v>2888</v>
      </c>
      <c r="E937" s="7" t="s">
        <v>2889</v>
      </c>
      <c r="F937" s="8"/>
      <c r="G937" s="8" t="s">
        <v>50</v>
      </c>
      <c r="H937" s="9" t="s">
        <v>50</v>
      </c>
      <c r="I937" s="9" t="s">
        <v>216</v>
      </c>
      <c r="J937" s="9" t="s">
        <v>168</v>
      </c>
      <c r="K937" s="9" t="s">
        <v>52</v>
      </c>
      <c r="L937" s="8"/>
      <c r="M937" s="8"/>
      <c r="N937" s="8" t="s">
        <v>483</v>
      </c>
      <c r="O937" s="8" t="s">
        <v>2890</v>
      </c>
      <c r="P937" s="10" t="n">
        <f aca="false">IF($H937="숙박",0,IF($H937=MID(P$1,3,20),IF($I937="",1,0.6),IF($I937=MID(P$1,3,20),0.4,0)))</f>
        <v>0</v>
      </c>
      <c r="Q937" s="10" t="n">
        <f aca="false">IF($H937="숙박",0,IF($H937=MID(Q$1,3,20),IF($I937="",1,0.6),IF($I937=MID(Q$1,3,20),0.4,0)))</f>
        <v>0</v>
      </c>
      <c r="R937" s="10" t="n">
        <f aca="false">IF($H937="숙박",0,IF($H937=MID(R$1,3,20),IF($I937="",1,0.6),IF($I937=MID(R$1,3,20),0.4,0)))</f>
        <v>0</v>
      </c>
      <c r="S937" s="10" t="n">
        <f aca="false">IF($H937="숙박",0,IF($H937=MID(S$1,3,20),IF($I937="",1,0.6),IF($I937=MID(S$1,3,20),0.4,0)))</f>
        <v>0.4</v>
      </c>
      <c r="T937" s="10" t="n">
        <f aca="false">IF($H937="숙박",0,IF($H937=MID(T$1,3,20),IF($I937="",1,0.6),IF($I937=MID(T$1,3,20),0.4,0)))</f>
        <v>0.6</v>
      </c>
      <c r="U937" s="10" t="n">
        <f aca="false">IF($H937="숙박",0,IF(ISNUMBER(SEARCH("야경",$J937)),1,0))</f>
        <v>0</v>
      </c>
      <c r="V937" s="10" t="n">
        <f aca="false">IF($H937="숙박",0,1)</f>
        <v>1</v>
      </c>
    </row>
    <row r="938" customFormat="false" ht="15" hidden="false" customHeight="false" outlineLevel="0" collapsed="false">
      <c r="A938" s="8" t="n">
        <v>937</v>
      </c>
      <c r="B938" s="8" t="s">
        <v>45</v>
      </c>
      <c r="C938" s="8"/>
      <c r="D938" s="8" t="s">
        <v>2891</v>
      </c>
      <c r="E938" s="7" t="s">
        <v>2892</v>
      </c>
      <c r="F938" s="8"/>
      <c r="G938" s="8"/>
      <c r="H938" s="9" t="s">
        <v>594</v>
      </c>
      <c r="I938" s="9"/>
      <c r="J938" s="9"/>
      <c r="K938" s="9"/>
      <c r="L938" s="8"/>
      <c r="M938" s="8"/>
      <c r="N938" s="8" t="s">
        <v>595</v>
      </c>
      <c r="O938" s="8"/>
      <c r="P938" s="10" t="n">
        <f aca="false">IF($H938="숙박",0,IF($H938=MID(P$1,3,20),IF($I938="",1,0.6),IF($I938=MID(P$1,3,20),0.4,0)))</f>
        <v>0</v>
      </c>
      <c r="Q938" s="10" t="n">
        <f aca="false">IF($H938="숙박",0,IF($H938=MID(Q$1,3,20),IF($I938="",1,0.6),IF($I938=MID(Q$1,3,20),0.4,0)))</f>
        <v>0</v>
      </c>
      <c r="R938" s="10" t="n">
        <f aca="false">IF($H938="숙박",0,IF($H938=MID(R$1,3,20),IF($I938="",1,0.6),IF($I938=MID(R$1,3,20),0.4,0)))</f>
        <v>0</v>
      </c>
      <c r="S938" s="10" t="n">
        <f aca="false">IF($H938="숙박",0,IF($H938=MID(S$1,3,20),IF($I938="",1,0.6),IF($I938=MID(S$1,3,20),0.4,0)))</f>
        <v>0</v>
      </c>
      <c r="T938" s="10" t="n">
        <f aca="false">IF($H938="숙박",0,IF($H938=MID(T$1,3,20),IF($I938="",1,0.6),IF($I938=MID(T$1,3,20),0.4,0)))</f>
        <v>0</v>
      </c>
      <c r="U938" s="10" t="n">
        <f aca="false">IF($H938="숙박",0,IF(ISNUMBER(SEARCH("야경",$J938)),1,0))</f>
        <v>0</v>
      </c>
      <c r="V938" s="10" t="n">
        <f aca="false">IF($H938="숙박",0,1)</f>
        <v>0</v>
      </c>
    </row>
    <row r="939" customFormat="false" ht="15" hidden="false" customHeight="false" outlineLevel="0" collapsed="false">
      <c r="A939" s="8" t="n">
        <v>938</v>
      </c>
      <c r="B939" s="8" t="s">
        <v>45</v>
      </c>
      <c r="C939" s="8" t="s">
        <v>2177</v>
      </c>
      <c r="D939" s="8" t="s">
        <v>2893</v>
      </c>
      <c r="E939" s="7" t="s">
        <v>2894</v>
      </c>
      <c r="F939" s="8"/>
      <c r="G939" s="8" t="s">
        <v>190</v>
      </c>
      <c r="H939" s="9" t="s">
        <v>190</v>
      </c>
      <c r="I939" s="9"/>
      <c r="J939" s="9"/>
      <c r="K939" s="9" t="s">
        <v>191</v>
      </c>
      <c r="L939" s="8"/>
      <c r="M939" s="8"/>
      <c r="N939" s="8"/>
      <c r="O939" s="8" t="s">
        <v>2895</v>
      </c>
      <c r="P939" s="10" t="n">
        <f aca="false">IF($H939="숙박",0,IF($H939=MID(P$1,3,20),IF($I939="",1,0.6),IF($I939=MID(P$1,3,20),0.4,0)))</f>
        <v>1</v>
      </c>
      <c r="Q939" s="10" t="n">
        <f aca="false">IF($H939="숙박",0,IF($H939=MID(Q$1,3,20),IF($I939="",1,0.6),IF($I939=MID(Q$1,3,20),0.4,0)))</f>
        <v>0</v>
      </c>
      <c r="R939" s="10" t="n">
        <f aca="false">IF($H939="숙박",0,IF($H939=MID(R$1,3,20),IF($I939="",1,0.6),IF($I939=MID(R$1,3,20),0.4,0)))</f>
        <v>0</v>
      </c>
      <c r="S939" s="10" t="n">
        <f aca="false">IF($H939="숙박",0,IF($H939=MID(S$1,3,20),IF($I939="",1,0.6),IF($I939=MID(S$1,3,20),0.4,0)))</f>
        <v>0</v>
      </c>
      <c r="T939" s="10" t="n">
        <f aca="false">IF($H939="숙박",0,IF($H939=MID(T$1,3,20),IF($I939="",1,0.6),IF($I939=MID(T$1,3,20),0.4,0)))</f>
        <v>0</v>
      </c>
      <c r="U939" s="10" t="n">
        <f aca="false">IF($H939="숙박",0,IF(ISNUMBER(SEARCH("야경",$J939)),1,0))</f>
        <v>0</v>
      </c>
      <c r="V939" s="10" t="n">
        <f aca="false">IF($H939="숙박",0,1)</f>
        <v>1</v>
      </c>
    </row>
    <row r="940" customFormat="false" ht="15" hidden="false" customHeight="false" outlineLevel="0" collapsed="false">
      <c r="A940" s="8" t="n">
        <v>939</v>
      </c>
      <c r="B940" s="8" t="s">
        <v>45</v>
      </c>
      <c r="C940" s="8" t="s">
        <v>317</v>
      </c>
      <c r="D940" s="8" t="s">
        <v>2896</v>
      </c>
      <c r="E940" s="7" t="s">
        <v>2897</v>
      </c>
      <c r="F940" s="8"/>
      <c r="G940" s="8" t="s">
        <v>49</v>
      </c>
      <c r="H940" s="9" t="s">
        <v>49</v>
      </c>
      <c r="I940" s="9"/>
      <c r="J940" s="9"/>
      <c r="K940" s="9" t="s">
        <v>52</v>
      </c>
      <c r="L940" s="8"/>
      <c r="M940" s="8"/>
      <c r="N940" s="8"/>
      <c r="O940" s="7" t="s">
        <v>2898</v>
      </c>
      <c r="P940" s="10" t="n">
        <f aca="false">IF($H940="숙박",0,IF($H940=MID(P$1,3,20),IF($I940="",1,0.6),IF($I940=MID(P$1,3,20),0.4,0)))</f>
        <v>0</v>
      </c>
      <c r="Q940" s="10" t="n">
        <f aca="false">IF($H940="숙박",0,IF($H940=MID(Q$1,3,20),IF($I940="",1,0.6),IF($I940=MID(Q$1,3,20),0.4,0)))</f>
        <v>1</v>
      </c>
      <c r="R940" s="10" t="n">
        <f aca="false">IF($H940="숙박",0,IF($H940=MID(R$1,3,20),IF($I940="",1,0.6),IF($I940=MID(R$1,3,20),0.4,0)))</f>
        <v>0</v>
      </c>
      <c r="S940" s="10" t="n">
        <f aca="false">IF($H940="숙박",0,IF($H940=MID(S$1,3,20),IF($I940="",1,0.6),IF($I940=MID(S$1,3,20),0.4,0)))</f>
        <v>0</v>
      </c>
      <c r="T940" s="10" t="n">
        <f aca="false">IF($H940="숙박",0,IF($H940=MID(T$1,3,20),IF($I940="",1,0.6),IF($I940=MID(T$1,3,20),0.4,0)))</f>
        <v>0</v>
      </c>
      <c r="U940" s="10" t="n">
        <f aca="false">IF($H940="숙박",0,IF(ISNUMBER(SEARCH("야경",$J940)),1,0))</f>
        <v>0</v>
      </c>
      <c r="V940" s="10" t="n">
        <f aca="false">IF($H940="숙박",0,1)</f>
        <v>1</v>
      </c>
    </row>
    <row r="941" customFormat="false" ht="15" hidden="false" customHeight="false" outlineLevel="0" collapsed="false">
      <c r="A941" s="8" t="n">
        <v>940</v>
      </c>
      <c r="B941" s="8" t="s">
        <v>45</v>
      </c>
      <c r="C941" s="8" t="s">
        <v>1489</v>
      </c>
      <c r="D941" s="8" t="s">
        <v>2899</v>
      </c>
      <c r="E941" s="7" t="s">
        <v>2900</v>
      </c>
      <c r="F941" s="8"/>
      <c r="G941" s="8" t="s">
        <v>184</v>
      </c>
      <c r="H941" s="9" t="s">
        <v>184</v>
      </c>
      <c r="I941" s="9" t="s">
        <v>190</v>
      </c>
      <c r="J941" s="9"/>
      <c r="K941" s="9" t="s">
        <v>52</v>
      </c>
      <c r="L941" s="8"/>
      <c r="M941" s="8"/>
      <c r="N941" s="8" t="s">
        <v>483</v>
      </c>
      <c r="O941" s="8" t="s">
        <v>2901</v>
      </c>
      <c r="P941" s="10" t="n">
        <f aca="false">IF($H941="숙박",0,IF($H941=MID(P$1,3,20),IF($I941="",1,0.6),IF($I941=MID(P$1,3,20),0.4,0)))</f>
        <v>0.4</v>
      </c>
      <c r="Q941" s="10" t="n">
        <f aca="false">IF($H941="숙박",0,IF($H941=MID(Q$1,3,20),IF($I941="",1,0.6),IF($I941=MID(Q$1,3,20),0.4,0)))</f>
        <v>0</v>
      </c>
      <c r="R941" s="10" t="n">
        <f aca="false">IF($H941="숙박",0,IF($H941=MID(R$1,3,20),IF($I941="",1,0.6),IF($I941=MID(R$1,3,20),0.4,0)))</f>
        <v>0.6</v>
      </c>
      <c r="S941" s="10" t="n">
        <f aca="false">IF($H941="숙박",0,IF($H941=MID(S$1,3,20),IF($I941="",1,0.6),IF($I941=MID(S$1,3,20),0.4,0)))</f>
        <v>0</v>
      </c>
      <c r="T941" s="10" t="n">
        <f aca="false">IF($H941="숙박",0,IF($H941=MID(T$1,3,20),IF($I941="",1,0.6),IF($I941=MID(T$1,3,20),0.4,0)))</f>
        <v>0</v>
      </c>
      <c r="U941" s="10" t="n">
        <f aca="false">IF($H941="숙박",0,IF(ISNUMBER(SEARCH("야경",$J941)),1,0))</f>
        <v>0</v>
      </c>
      <c r="V941" s="10" t="n">
        <f aca="false">IF($H941="숙박",0,1)</f>
        <v>1</v>
      </c>
    </row>
    <row r="942" customFormat="false" ht="15" hidden="false" customHeight="false" outlineLevel="0" collapsed="false">
      <c r="A942" s="8" t="n">
        <v>941</v>
      </c>
      <c r="B942" s="8" t="s">
        <v>45</v>
      </c>
      <c r="C942" s="8" t="s">
        <v>2597</v>
      </c>
      <c r="D942" s="8" t="s">
        <v>2902</v>
      </c>
      <c r="E942" s="7" t="s">
        <v>2903</v>
      </c>
      <c r="F942" s="8"/>
      <c r="G942" s="8" t="s">
        <v>184</v>
      </c>
      <c r="H942" s="9" t="s">
        <v>184</v>
      </c>
      <c r="I942" s="9" t="s">
        <v>49</v>
      </c>
      <c r="J942" s="9"/>
      <c r="K942" s="9" t="s">
        <v>191</v>
      </c>
      <c r="L942" s="8"/>
      <c r="M942" s="8"/>
      <c r="N942" s="8" t="s">
        <v>483</v>
      </c>
      <c r="O942" s="8" t="s">
        <v>2904</v>
      </c>
      <c r="P942" s="10" t="n">
        <f aca="false">IF($H942="숙박",0,IF($H942=MID(P$1,3,20),IF($I942="",1,0.6),IF($I942=MID(P$1,3,20),0.4,0)))</f>
        <v>0</v>
      </c>
      <c r="Q942" s="10" t="n">
        <f aca="false">IF($H942="숙박",0,IF($H942=MID(Q$1,3,20),IF($I942="",1,0.6),IF($I942=MID(Q$1,3,20),0.4,0)))</f>
        <v>0.4</v>
      </c>
      <c r="R942" s="10" t="n">
        <f aca="false">IF($H942="숙박",0,IF($H942=MID(R$1,3,20),IF($I942="",1,0.6),IF($I942=MID(R$1,3,20),0.4,0)))</f>
        <v>0.6</v>
      </c>
      <c r="S942" s="10" t="n">
        <f aca="false">IF($H942="숙박",0,IF($H942=MID(S$1,3,20),IF($I942="",1,0.6),IF($I942=MID(S$1,3,20),0.4,0)))</f>
        <v>0</v>
      </c>
      <c r="T942" s="10" t="n">
        <f aca="false">IF($H942="숙박",0,IF($H942=MID(T$1,3,20),IF($I942="",1,0.6),IF($I942=MID(T$1,3,20),0.4,0)))</f>
        <v>0</v>
      </c>
      <c r="U942" s="10" t="n">
        <f aca="false">IF($H942="숙박",0,IF(ISNUMBER(SEARCH("야경",$J942)),1,0))</f>
        <v>0</v>
      </c>
      <c r="V942" s="10" t="n">
        <f aca="false">IF($H942="숙박",0,1)</f>
        <v>1</v>
      </c>
    </row>
    <row r="943" customFormat="false" ht="15" hidden="false" customHeight="false" outlineLevel="0" collapsed="false">
      <c r="A943" s="8" t="n">
        <v>942</v>
      </c>
      <c r="B943" s="8" t="s">
        <v>45</v>
      </c>
      <c r="C943" s="8" t="s">
        <v>2597</v>
      </c>
      <c r="D943" s="8" t="s">
        <v>2905</v>
      </c>
      <c r="E943" s="7" t="s">
        <v>2906</v>
      </c>
      <c r="F943" s="8"/>
      <c r="G943" s="8" t="s">
        <v>216</v>
      </c>
      <c r="H943" s="9" t="s">
        <v>216</v>
      </c>
      <c r="I943" s="9"/>
      <c r="J943" s="9"/>
      <c r="K943" s="9" t="s">
        <v>52</v>
      </c>
      <c r="L943" s="8"/>
      <c r="M943" s="8"/>
      <c r="N943" s="8"/>
      <c r="O943" s="8" t="s">
        <v>2907</v>
      </c>
      <c r="P943" s="10" t="n">
        <f aca="false">IF($H943="숙박",0,IF($H943=MID(P$1,3,20),IF($I943="",1,0.6),IF($I943=MID(P$1,3,20),0.4,0)))</f>
        <v>0</v>
      </c>
      <c r="Q943" s="10" t="n">
        <f aca="false">IF($H943="숙박",0,IF($H943=MID(Q$1,3,20),IF($I943="",1,0.6),IF($I943=MID(Q$1,3,20),0.4,0)))</f>
        <v>0</v>
      </c>
      <c r="R943" s="10" t="n">
        <f aca="false">IF($H943="숙박",0,IF($H943=MID(R$1,3,20),IF($I943="",1,0.6),IF($I943=MID(R$1,3,20),0.4,0)))</f>
        <v>0</v>
      </c>
      <c r="S943" s="10" t="n">
        <f aca="false">IF($H943="숙박",0,IF($H943=MID(S$1,3,20),IF($I943="",1,0.6),IF($I943=MID(S$1,3,20),0.4,0)))</f>
        <v>1</v>
      </c>
      <c r="T943" s="10" t="n">
        <f aca="false">IF($H943="숙박",0,IF($H943=MID(T$1,3,20),IF($I943="",1,0.6),IF($I943=MID(T$1,3,20),0.4,0)))</f>
        <v>0</v>
      </c>
      <c r="U943" s="10" t="n">
        <f aca="false">IF($H943="숙박",0,IF(ISNUMBER(SEARCH("야경",$J943)),1,0))</f>
        <v>0</v>
      </c>
      <c r="V943" s="10" t="n">
        <f aca="false">IF($H943="숙박",0,1)</f>
        <v>1</v>
      </c>
    </row>
    <row r="944" customFormat="false" ht="15" hidden="false" customHeight="false" outlineLevel="0" collapsed="false">
      <c r="A944" s="8" t="n">
        <v>943</v>
      </c>
      <c r="B944" s="8" t="s">
        <v>45</v>
      </c>
      <c r="C944" s="8" t="s">
        <v>2199</v>
      </c>
      <c r="D944" s="8" t="s">
        <v>2908</v>
      </c>
      <c r="E944" s="7" t="s">
        <v>2909</v>
      </c>
      <c r="F944" s="8"/>
      <c r="G944" s="8" t="s">
        <v>184</v>
      </c>
      <c r="H944" s="9" t="s">
        <v>184</v>
      </c>
      <c r="I944" s="9" t="s">
        <v>190</v>
      </c>
      <c r="J944" s="9"/>
      <c r="K944" s="9" t="s">
        <v>52</v>
      </c>
      <c r="L944" s="8"/>
      <c r="M944" s="8"/>
      <c r="N944" s="8" t="s">
        <v>483</v>
      </c>
      <c r="O944" s="8" t="s">
        <v>2910</v>
      </c>
      <c r="P944" s="10" t="n">
        <f aca="false">IF($H944="숙박",0,IF($H944=MID(P$1,3,20),IF($I944="",1,0.6),IF($I944=MID(P$1,3,20),0.4,0)))</f>
        <v>0.4</v>
      </c>
      <c r="Q944" s="10" t="n">
        <f aca="false">IF($H944="숙박",0,IF($H944=MID(Q$1,3,20),IF($I944="",1,0.6),IF($I944=MID(Q$1,3,20),0.4,0)))</f>
        <v>0</v>
      </c>
      <c r="R944" s="10" t="n">
        <f aca="false">IF($H944="숙박",0,IF($H944=MID(R$1,3,20),IF($I944="",1,0.6),IF($I944=MID(R$1,3,20),0.4,0)))</f>
        <v>0.6</v>
      </c>
      <c r="S944" s="10" t="n">
        <f aca="false">IF($H944="숙박",0,IF($H944=MID(S$1,3,20),IF($I944="",1,0.6),IF($I944=MID(S$1,3,20),0.4,0)))</f>
        <v>0</v>
      </c>
      <c r="T944" s="10" t="n">
        <f aca="false">IF($H944="숙박",0,IF($H944=MID(T$1,3,20),IF($I944="",1,0.6),IF($I944=MID(T$1,3,20),0.4,0)))</f>
        <v>0</v>
      </c>
      <c r="U944" s="10" t="n">
        <f aca="false">IF($H944="숙박",0,IF(ISNUMBER(SEARCH("야경",$J944)),1,0))</f>
        <v>0</v>
      </c>
      <c r="V944" s="10" t="n">
        <f aca="false">IF($H944="숙박",0,1)</f>
        <v>1</v>
      </c>
    </row>
    <row r="945" customFormat="false" ht="15" hidden="false" customHeight="false" outlineLevel="0" collapsed="false">
      <c r="A945" s="8" t="n">
        <v>944</v>
      </c>
      <c r="B945" s="8" t="s">
        <v>45</v>
      </c>
      <c r="C945" s="8" t="s">
        <v>1855</v>
      </c>
      <c r="D945" s="8" t="s">
        <v>2911</v>
      </c>
      <c r="E945" s="7" t="s">
        <v>2912</v>
      </c>
      <c r="F945" s="8"/>
      <c r="G945" s="8" t="s">
        <v>190</v>
      </c>
      <c r="H945" s="9" t="s">
        <v>190</v>
      </c>
      <c r="I945" s="9" t="s">
        <v>49</v>
      </c>
      <c r="J945" s="9"/>
      <c r="K945" s="9" t="s">
        <v>52</v>
      </c>
      <c r="L945" s="8"/>
      <c r="M945" s="8"/>
      <c r="N945" s="8" t="s">
        <v>483</v>
      </c>
      <c r="O945" s="8" t="s">
        <v>2913</v>
      </c>
      <c r="P945" s="10" t="n">
        <f aca="false">IF($H945="숙박",0,IF($H945=MID(P$1,3,20),IF($I945="",1,0.6),IF($I945=MID(P$1,3,20),0.4,0)))</f>
        <v>0.6</v>
      </c>
      <c r="Q945" s="10" t="n">
        <f aca="false">IF($H945="숙박",0,IF($H945=MID(Q$1,3,20),IF($I945="",1,0.6),IF($I945=MID(Q$1,3,20),0.4,0)))</f>
        <v>0.4</v>
      </c>
      <c r="R945" s="10" t="n">
        <f aca="false">IF($H945="숙박",0,IF($H945=MID(R$1,3,20),IF($I945="",1,0.6),IF($I945=MID(R$1,3,20),0.4,0)))</f>
        <v>0</v>
      </c>
      <c r="S945" s="10" t="n">
        <f aca="false">IF($H945="숙박",0,IF($H945=MID(S$1,3,20),IF($I945="",1,0.6),IF($I945=MID(S$1,3,20),0.4,0)))</f>
        <v>0</v>
      </c>
      <c r="T945" s="10" t="n">
        <f aca="false">IF($H945="숙박",0,IF($H945=MID(T$1,3,20),IF($I945="",1,0.6),IF($I945=MID(T$1,3,20),0.4,0)))</f>
        <v>0</v>
      </c>
      <c r="U945" s="10" t="n">
        <f aca="false">IF($H945="숙박",0,IF(ISNUMBER(SEARCH("야경",$J945)),1,0))</f>
        <v>0</v>
      </c>
      <c r="V945" s="10" t="n">
        <f aca="false">IF($H945="숙박",0,1)</f>
        <v>1</v>
      </c>
    </row>
    <row r="946" customFormat="false" ht="15" hidden="false" customHeight="false" outlineLevel="0" collapsed="false">
      <c r="A946" s="8" t="n">
        <v>945</v>
      </c>
      <c r="B946" s="8" t="s">
        <v>45</v>
      </c>
      <c r="C946" s="8" t="s">
        <v>317</v>
      </c>
      <c r="D946" s="8" t="s">
        <v>2914</v>
      </c>
      <c r="E946" s="7" t="s">
        <v>2915</v>
      </c>
      <c r="F946" s="8"/>
      <c r="G946" s="8" t="s">
        <v>50</v>
      </c>
      <c r="H946" s="9" t="s">
        <v>50</v>
      </c>
      <c r="I946" s="9" t="s">
        <v>49</v>
      </c>
      <c r="J946" s="9" t="s">
        <v>168</v>
      </c>
      <c r="K946" s="9" t="s">
        <v>52</v>
      </c>
      <c r="L946" s="8"/>
      <c r="M946" s="8"/>
      <c r="N946" s="8" t="s">
        <v>483</v>
      </c>
      <c r="O946" s="8" t="s">
        <v>2916</v>
      </c>
      <c r="P946" s="10" t="n">
        <f aca="false">IF($H946="숙박",0,IF($H946=MID(P$1,3,20),IF($I946="",1,0.6),IF($I946=MID(P$1,3,20),0.4,0)))</f>
        <v>0</v>
      </c>
      <c r="Q946" s="10" t="n">
        <f aca="false">IF($H946="숙박",0,IF($H946=MID(Q$1,3,20),IF($I946="",1,0.6),IF($I946=MID(Q$1,3,20),0.4,0)))</f>
        <v>0.4</v>
      </c>
      <c r="R946" s="10" t="n">
        <f aca="false">IF($H946="숙박",0,IF($H946=MID(R$1,3,20),IF($I946="",1,0.6),IF($I946=MID(R$1,3,20),0.4,0)))</f>
        <v>0</v>
      </c>
      <c r="S946" s="10" t="n">
        <f aca="false">IF($H946="숙박",0,IF($H946=MID(S$1,3,20),IF($I946="",1,0.6),IF($I946=MID(S$1,3,20),0.4,0)))</f>
        <v>0</v>
      </c>
      <c r="T946" s="10" t="n">
        <f aca="false">IF($H946="숙박",0,IF($H946=MID(T$1,3,20),IF($I946="",1,0.6),IF($I946=MID(T$1,3,20),0.4,0)))</f>
        <v>0.6</v>
      </c>
      <c r="U946" s="10" t="n">
        <f aca="false">IF($H946="숙박",0,IF(ISNUMBER(SEARCH("야경",$J946)),1,0))</f>
        <v>0</v>
      </c>
      <c r="V946" s="10" t="n">
        <f aca="false">IF($H946="숙박",0,1)</f>
        <v>1</v>
      </c>
    </row>
    <row r="947" customFormat="false" ht="15" hidden="false" customHeight="false" outlineLevel="0" collapsed="false">
      <c r="A947" s="8" t="n">
        <v>946</v>
      </c>
      <c r="B947" s="8" t="s">
        <v>45</v>
      </c>
      <c r="C947" s="8" t="s">
        <v>1367</v>
      </c>
      <c r="D947" s="8" t="s">
        <v>2917</v>
      </c>
      <c r="E947" s="7" t="s">
        <v>2918</v>
      </c>
      <c r="F947" s="8"/>
      <c r="G947" s="8" t="s">
        <v>190</v>
      </c>
      <c r="H947" s="9" t="s">
        <v>190</v>
      </c>
      <c r="I947" s="9" t="s">
        <v>184</v>
      </c>
      <c r="J947" s="9"/>
      <c r="K947" s="9" t="s">
        <v>191</v>
      </c>
      <c r="L947" s="8"/>
      <c r="M947" s="8"/>
      <c r="N947" s="8" t="s">
        <v>483</v>
      </c>
      <c r="O947" s="8" t="s">
        <v>2919</v>
      </c>
      <c r="P947" s="10" t="n">
        <f aca="false">IF($H947="숙박",0,IF($H947=MID(P$1,3,20),IF($I947="",1,0.6),IF($I947=MID(P$1,3,20),0.4,0)))</f>
        <v>0.6</v>
      </c>
      <c r="Q947" s="10" t="n">
        <f aca="false">IF($H947="숙박",0,IF($H947=MID(Q$1,3,20),IF($I947="",1,0.6),IF($I947=MID(Q$1,3,20),0.4,0)))</f>
        <v>0</v>
      </c>
      <c r="R947" s="10" t="n">
        <f aca="false">IF($H947="숙박",0,IF($H947=MID(R$1,3,20),IF($I947="",1,0.6),IF($I947=MID(R$1,3,20),0.4,0)))</f>
        <v>0.4</v>
      </c>
      <c r="S947" s="10" t="n">
        <f aca="false">IF($H947="숙박",0,IF($H947=MID(S$1,3,20),IF($I947="",1,0.6),IF($I947=MID(S$1,3,20),0.4,0)))</f>
        <v>0</v>
      </c>
      <c r="T947" s="10" t="n">
        <f aca="false">IF($H947="숙박",0,IF($H947=MID(T$1,3,20),IF($I947="",1,0.6),IF($I947=MID(T$1,3,20),0.4,0)))</f>
        <v>0</v>
      </c>
      <c r="U947" s="10" t="n">
        <f aca="false">IF($H947="숙박",0,IF(ISNUMBER(SEARCH("야경",$J947)),1,0))</f>
        <v>0</v>
      </c>
      <c r="V947" s="10" t="n">
        <f aca="false">IF($H947="숙박",0,1)</f>
        <v>1</v>
      </c>
    </row>
    <row r="948" customFormat="false" ht="15" hidden="false" customHeight="false" outlineLevel="0" collapsed="false">
      <c r="A948" s="8" t="n">
        <v>947</v>
      </c>
      <c r="B948" s="8" t="s">
        <v>45</v>
      </c>
      <c r="C948" s="8" t="s">
        <v>388</v>
      </c>
      <c r="D948" s="8" t="s">
        <v>2920</v>
      </c>
      <c r="E948" s="7" t="s">
        <v>2921</v>
      </c>
      <c r="F948" s="8"/>
      <c r="G948" s="8" t="s">
        <v>50</v>
      </c>
      <c r="H948" s="9" t="s">
        <v>50</v>
      </c>
      <c r="I948" s="9" t="s">
        <v>49</v>
      </c>
      <c r="J948" s="9" t="s">
        <v>168</v>
      </c>
      <c r="K948" s="9" t="s">
        <v>52</v>
      </c>
      <c r="L948" s="8"/>
      <c r="M948" s="8"/>
      <c r="N948" s="8" t="s">
        <v>483</v>
      </c>
      <c r="O948" s="8" t="s">
        <v>2922</v>
      </c>
      <c r="P948" s="10" t="n">
        <f aca="false">IF($H948="숙박",0,IF($H948=MID(P$1,3,20),IF($I948="",1,0.6),IF($I948=MID(P$1,3,20),0.4,0)))</f>
        <v>0</v>
      </c>
      <c r="Q948" s="10" t="n">
        <f aca="false">IF($H948="숙박",0,IF($H948=MID(Q$1,3,20),IF($I948="",1,0.6),IF($I948=MID(Q$1,3,20),0.4,0)))</f>
        <v>0.4</v>
      </c>
      <c r="R948" s="10" t="n">
        <f aca="false">IF($H948="숙박",0,IF($H948=MID(R$1,3,20),IF($I948="",1,0.6),IF($I948=MID(R$1,3,20),0.4,0)))</f>
        <v>0</v>
      </c>
      <c r="S948" s="10" t="n">
        <f aca="false">IF($H948="숙박",0,IF($H948=MID(S$1,3,20),IF($I948="",1,0.6),IF($I948=MID(S$1,3,20),0.4,0)))</f>
        <v>0</v>
      </c>
      <c r="T948" s="10" t="n">
        <f aca="false">IF($H948="숙박",0,IF($H948=MID(T$1,3,20),IF($I948="",1,0.6),IF($I948=MID(T$1,3,20),0.4,0)))</f>
        <v>0.6</v>
      </c>
      <c r="U948" s="10" t="n">
        <f aca="false">IF($H948="숙박",0,IF(ISNUMBER(SEARCH("야경",$J948)),1,0))</f>
        <v>0</v>
      </c>
      <c r="V948" s="10" t="n">
        <f aca="false">IF($H948="숙박",0,1)</f>
        <v>1</v>
      </c>
    </row>
    <row r="949" customFormat="false" ht="15" hidden="false" customHeight="false" outlineLevel="0" collapsed="false">
      <c r="A949" s="8" t="n">
        <v>948</v>
      </c>
      <c r="B949" s="8" t="s">
        <v>45</v>
      </c>
      <c r="C949" s="8" t="s">
        <v>1444</v>
      </c>
      <c r="D949" s="8" t="s">
        <v>2923</v>
      </c>
      <c r="E949" s="7" t="s">
        <v>2924</v>
      </c>
      <c r="F949" s="8"/>
      <c r="G949" s="8" t="s">
        <v>190</v>
      </c>
      <c r="H949" s="9" t="s">
        <v>190</v>
      </c>
      <c r="I949" s="9"/>
      <c r="J949" s="9"/>
      <c r="K949" s="9" t="s">
        <v>191</v>
      </c>
      <c r="L949" s="8"/>
      <c r="M949" s="8"/>
      <c r="N949" s="8"/>
      <c r="O949" s="8" t="s">
        <v>2925</v>
      </c>
      <c r="P949" s="10" t="n">
        <f aca="false">IF($H949="숙박",0,IF($H949=MID(P$1,3,20),IF($I949="",1,0.6),IF($I949=MID(P$1,3,20),0.4,0)))</f>
        <v>1</v>
      </c>
      <c r="Q949" s="10" t="n">
        <f aca="false">IF($H949="숙박",0,IF($H949=MID(Q$1,3,20),IF($I949="",1,0.6),IF($I949=MID(Q$1,3,20),0.4,0)))</f>
        <v>0</v>
      </c>
      <c r="R949" s="10" t="n">
        <f aca="false">IF($H949="숙박",0,IF($H949=MID(R$1,3,20),IF($I949="",1,0.6),IF($I949=MID(R$1,3,20),0.4,0)))</f>
        <v>0</v>
      </c>
      <c r="S949" s="10" t="n">
        <f aca="false">IF($H949="숙박",0,IF($H949=MID(S$1,3,20),IF($I949="",1,0.6),IF($I949=MID(S$1,3,20),0.4,0)))</f>
        <v>0</v>
      </c>
      <c r="T949" s="10" t="n">
        <f aca="false">IF($H949="숙박",0,IF($H949=MID(T$1,3,20),IF($I949="",1,0.6),IF($I949=MID(T$1,3,20),0.4,0)))</f>
        <v>0</v>
      </c>
      <c r="U949" s="10" t="n">
        <f aca="false">IF($H949="숙박",0,IF(ISNUMBER(SEARCH("야경",$J949)),1,0))</f>
        <v>0</v>
      </c>
      <c r="V949" s="10" t="n">
        <f aca="false">IF($H949="숙박",0,1)</f>
        <v>1</v>
      </c>
    </row>
    <row r="950" customFormat="false" ht="15" hidden="false" customHeight="false" outlineLevel="0" collapsed="false">
      <c r="A950" s="8" t="n">
        <v>949</v>
      </c>
      <c r="B950" s="8" t="s">
        <v>45</v>
      </c>
      <c r="C950" s="8" t="s">
        <v>1829</v>
      </c>
      <c r="D950" s="8" t="s">
        <v>2926</v>
      </c>
      <c r="E950" s="7" t="s">
        <v>2927</v>
      </c>
      <c r="F950" s="8"/>
      <c r="G950" s="8" t="s">
        <v>184</v>
      </c>
      <c r="H950" s="9" t="s">
        <v>184</v>
      </c>
      <c r="I950" s="9" t="s">
        <v>216</v>
      </c>
      <c r="J950" s="9" t="s">
        <v>1361</v>
      </c>
      <c r="K950" s="9" t="s">
        <v>191</v>
      </c>
      <c r="L950" s="8"/>
      <c r="M950" s="8"/>
      <c r="N950" s="8" t="s">
        <v>483</v>
      </c>
      <c r="O950" s="8" t="s">
        <v>2928</v>
      </c>
      <c r="P950" s="10" t="n">
        <f aca="false">IF($H950="숙박",0,IF($H950=MID(P$1,3,20),IF($I950="",1,0.6),IF($I950=MID(P$1,3,20),0.4,0)))</f>
        <v>0</v>
      </c>
      <c r="Q950" s="10" t="n">
        <f aca="false">IF($H950="숙박",0,IF($H950=MID(Q$1,3,20),IF($I950="",1,0.6),IF($I950=MID(Q$1,3,20),0.4,0)))</f>
        <v>0</v>
      </c>
      <c r="R950" s="10" t="n">
        <f aca="false">IF($H950="숙박",0,IF($H950=MID(R$1,3,20),IF($I950="",1,0.6),IF($I950=MID(R$1,3,20),0.4,0)))</f>
        <v>0.6</v>
      </c>
      <c r="S950" s="10" t="n">
        <f aca="false">IF($H950="숙박",0,IF($H950=MID(S$1,3,20),IF($I950="",1,0.6),IF($I950=MID(S$1,3,20),0.4,0)))</f>
        <v>0.4</v>
      </c>
      <c r="T950" s="10" t="n">
        <f aca="false">IF($H950="숙박",0,IF($H950=MID(T$1,3,20),IF($I950="",1,0.6),IF($I950=MID(T$1,3,20),0.4,0)))</f>
        <v>0</v>
      </c>
      <c r="U950" s="10" t="n">
        <f aca="false">IF($H950="숙박",0,IF(ISNUMBER(SEARCH("야경",$J950)),1,0))</f>
        <v>0</v>
      </c>
      <c r="V950" s="10" t="n">
        <f aca="false">IF($H950="숙박",0,1)</f>
        <v>1</v>
      </c>
    </row>
    <row r="951" customFormat="false" ht="15" hidden="false" customHeight="false" outlineLevel="0" collapsed="false">
      <c r="A951" s="8" t="n">
        <v>950</v>
      </c>
      <c r="B951" s="8" t="s">
        <v>45</v>
      </c>
      <c r="C951" s="8" t="s">
        <v>310</v>
      </c>
      <c r="D951" s="8" t="s">
        <v>2929</v>
      </c>
      <c r="E951" s="7" t="s">
        <v>2930</v>
      </c>
      <c r="F951" s="8"/>
      <c r="G951" s="8" t="s">
        <v>49</v>
      </c>
      <c r="H951" s="9" t="s">
        <v>49</v>
      </c>
      <c r="I951" s="9"/>
      <c r="J951" s="9"/>
      <c r="K951" s="9" t="s">
        <v>52</v>
      </c>
      <c r="L951" s="8"/>
      <c r="M951" s="8"/>
      <c r="N951" s="8"/>
      <c r="O951" s="8" t="s">
        <v>2931</v>
      </c>
      <c r="P951" s="10" t="n">
        <f aca="false">IF($H951="숙박",0,IF($H951=MID(P$1,3,20),IF($I951="",1,0.6),IF($I951=MID(P$1,3,20),0.4,0)))</f>
        <v>0</v>
      </c>
      <c r="Q951" s="10" t="n">
        <f aca="false">IF($H951="숙박",0,IF($H951=MID(Q$1,3,20),IF($I951="",1,0.6),IF($I951=MID(Q$1,3,20),0.4,0)))</f>
        <v>1</v>
      </c>
      <c r="R951" s="10" t="n">
        <f aca="false">IF($H951="숙박",0,IF($H951=MID(R$1,3,20),IF($I951="",1,0.6),IF($I951=MID(R$1,3,20),0.4,0)))</f>
        <v>0</v>
      </c>
      <c r="S951" s="10" t="n">
        <f aca="false">IF($H951="숙박",0,IF($H951=MID(S$1,3,20),IF($I951="",1,0.6),IF($I951=MID(S$1,3,20),0.4,0)))</f>
        <v>0</v>
      </c>
      <c r="T951" s="10" t="n">
        <f aca="false">IF($H951="숙박",0,IF($H951=MID(T$1,3,20),IF($I951="",1,0.6),IF($I951=MID(T$1,3,20),0.4,0)))</f>
        <v>0</v>
      </c>
      <c r="U951" s="10" t="n">
        <f aca="false">IF($H951="숙박",0,IF(ISNUMBER(SEARCH("야경",$J951)),1,0))</f>
        <v>0</v>
      </c>
      <c r="V951" s="10" t="n">
        <f aca="false">IF($H951="숙박",0,1)</f>
        <v>1</v>
      </c>
    </row>
    <row r="952" customFormat="false" ht="15" hidden="false" customHeight="false" outlineLevel="0" collapsed="false">
      <c r="A952" s="8" t="n">
        <v>951</v>
      </c>
      <c r="B952" s="8" t="s">
        <v>45</v>
      </c>
      <c r="C952" s="8" t="s">
        <v>301</v>
      </c>
      <c r="D952" s="8" t="s">
        <v>2932</v>
      </c>
      <c r="E952" s="7" t="s">
        <v>2933</v>
      </c>
      <c r="F952" s="8"/>
      <c r="G952" s="8" t="s">
        <v>190</v>
      </c>
      <c r="H952" s="9" t="s">
        <v>190</v>
      </c>
      <c r="I952" s="9"/>
      <c r="J952" s="9"/>
      <c r="K952" s="9" t="s">
        <v>191</v>
      </c>
      <c r="L952" s="8"/>
      <c r="M952" s="8"/>
      <c r="N952" s="8"/>
      <c r="O952" s="8" t="s">
        <v>2934</v>
      </c>
      <c r="P952" s="10" t="n">
        <f aca="false">IF($H952="숙박",0,IF($H952=MID(P$1,3,20),IF($I952="",1,0.6),IF($I952=MID(P$1,3,20),0.4,0)))</f>
        <v>1</v>
      </c>
      <c r="Q952" s="10" t="n">
        <f aca="false">IF($H952="숙박",0,IF($H952=MID(Q$1,3,20),IF($I952="",1,0.6),IF($I952=MID(Q$1,3,20),0.4,0)))</f>
        <v>0</v>
      </c>
      <c r="R952" s="10" t="n">
        <f aca="false">IF($H952="숙박",0,IF($H952=MID(R$1,3,20),IF($I952="",1,0.6),IF($I952=MID(R$1,3,20),0.4,0)))</f>
        <v>0</v>
      </c>
      <c r="S952" s="10" t="n">
        <f aca="false">IF($H952="숙박",0,IF($H952=MID(S$1,3,20),IF($I952="",1,0.6),IF($I952=MID(S$1,3,20),0.4,0)))</f>
        <v>0</v>
      </c>
      <c r="T952" s="10" t="n">
        <f aca="false">IF($H952="숙박",0,IF($H952=MID(T$1,3,20),IF($I952="",1,0.6),IF($I952=MID(T$1,3,20),0.4,0)))</f>
        <v>0</v>
      </c>
      <c r="U952" s="10" t="n">
        <f aca="false">IF($H952="숙박",0,IF(ISNUMBER(SEARCH("야경",$J952)),1,0))</f>
        <v>0</v>
      </c>
      <c r="V952" s="10" t="n">
        <f aca="false">IF($H952="숙박",0,1)</f>
        <v>1</v>
      </c>
    </row>
    <row r="953" customFormat="false" ht="15" hidden="false" customHeight="false" outlineLevel="0" collapsed="false">
      <c r="A953" s="8" t="n">
        <v>952</v>
      </c>
      <c r="B953" s="8" t="s">
        <v>45</v>
      </c>
      <c r="C953" s="8" t="s">
        <v>1809</v>
      </c>
      <c r="D953" s="8" t="s">
        <v>2935</v>
      </c>
      <c r="E953" s="7" t="s">
        <v>2936</v>
      </c>
      <c r="F953" s="8"/>
      <c r="G953" s="8" t="s">
        <v>184</v>
      </c>
      <c r="H953" s="9" t="s">
        <v>184</v>
      </c>
      <c r="I953" s="9"/>
      <c r="J953" s="9"/>
      <c r="K953" s="9" t="s">
        <v>191</v>
      </c>
      <c r="L953" s="8"/>
      <c r="M953" s="8"/>
      <c r="N953" s="8"/>
      <c r="O953" s="8" t="s">
        <v>2937</v>
      </c>
      <c r="P953" s="10" t="n">
        <f aca="false">IF($H953="숙박",0,IF($H953=MID(P$1,3,20),IF($I953="",1,0.6),IF($I953=MID(P$1,3,20),0.4,0)))</f>
        <v>0</v>
      </c>
      <c r="Q953" s="10" t="n">
        <f aca="false">IF($H953="숙박",0,IF($H953=MID(Q$1,3,20),IF($I953="",1,0.6),IF($I953=MID(Q$1,3,20),0.4,0)))</f>
        <v>0</v>
      </c>
      <c r="R953" s="10" t="n">
        <f aca="false">IF($H953="숙박",0,IF($H953=MID(R$1,3,20),IF($I953="",1,0.6),IF($I953=MID(R$1,3,20),0.4,0)))</f>
        <v>1</v>
      </c>
      <c r="S953" s="10" t="n">
        <f aca="false">IF($H953="숙박",0,IF($H953=MID(S$1,3,20),IF($I953="",1,0.6),IF($I953=MID(S$1,3,20),0.4,0)))</f>
        <v>0</v>
      </c>
      <c r="T953" s="10" t="n">
        <f aca="false">IF($H953="숙박",0,IF($H953=MID(T$1,3,20),IF($I953="",1,0.6),IF($I953=MID(T$1,3,20),0.4,0)))</f>
        <v>0</v>
      </c>
      <c r="U953" s="10" t="n">
        <f aca="false">IF($H953="숙박",0,IF(ISNUMBER(SEARCH("야경",$J953)),1,0))</f>
        <v>0</v>
      </c>
      <c r="V953" s="10" t="n">
        <f aca="false">IF($H953="숙박",0,1)</f>
        <v>1</v>
      </c>
    </row>
    <row r="954" customFormat="false" ht="15" hidden="false" customHeight="false" outlineLevel="0" collapsed="false">
      <c r="A954" s="8" t="n">
        <v>953</v>
      </c>
      <c r="B954" s="8" t="s">
        <v>45</v>
      </c>
      <c r="C954" s="8" t="s">
        <v>1504</v>
      </c>
      <c r="D954" s="8" t="s">
        <v>2938</v>
      </c>
      <c r="E954" s="7" t="s">
        <v>2939</v>
      </c>
      <c r="F954" s="8"/>
      <c r="G954" s="8" t="s">
        <v>184</v>
      </c>
      <c r="H954" s="9" t="s">
        <v>184</v>
      </c>
      <c r="I954" s="9"/>
      <c r="J954" s="9" t="s">
        <v>479</v>
      </c>
      <c r="K954" s="9" t="s">
        <v>191</v>
      </c>
      <c r="L954" s="8"/>
      <c r="M954" s="8"/>
      <c r="N954" s="8"/>
      <c r="O954" s="8" t="s">
        <v>2940</v>
      </c>
      <c r="P954" s="10" t="n">
        <f aca="false">IF($H954="숙박",0,IF($H954=MID(P$1,3,20),IF($I954="",1,0.6),IF($I954=MID(P$1,3,20),0.4,0)))</f>
        <v>0</v>
      </c>
      <c r="Q954" s="10" t="n">
        <f aca="false">IF($H954="숙박",0,IF($H954=MID(Q$1,3,20),IF($I954="",1,0.6),IF($I954=MID(Q$1,3,20),0.4,0)))</f>
        <v>0</v>
      </c>
      <c r="R954" s="10" t="n">
        <f aca="false">IF($H954="숙박",0,IF($H954=MID(R$1,3,20),IF($I954="",1,0.6),IF($I954=MID(R$1,3,20),0.4,0)))</f>
        <v>1</v>
      </c>
      <c r="S954" s="10" t="n">
        <f aca="false">IF($H954="숙박",0,IF($H954=MID(S$1,3,20),IF($I954="",1,0.6),IF($I954=MID(S$1,3,20),0.4,0)))</f>
        <v>0</v>
      </c>
      <c r="T954" s="10" t="n">
        <f aca="false">IF($H954="숙박",0,IF($H954=MID(T$1,3,20),IF($I954="",1,0.6),IF($I954=MID(T$1,3,20),0.4,0)))</f>
        <v>0</v>
      </c>
      <c r="U954" s="10" t="n">
        <f aca="false">IF($H954="숙박",0,IF(ISNUMBER(SEARCH("야경",$J954)),1,0))</f>
        <v>0</v>
      </c>
      <c r="V954" s="10" t="n">
        <f aca="false">IF($H954="숙박",0,1)</f>
        <v>1</v>
      </c>
    </row>
    <row r="955" customFormat="false" ht="15" hidden="false" customHeight="false" outlineLevel="0" collapsed="false">
      <c r="A955" s="8" t="n">
        <v>954</v>
      </c>
      <c r="B955" s="8" t="s">
        <v>45</v>
      </c>
      <c r="C955" s="8" t="s">
        <v>1546</v>
      </c>
      <c r="D955" s="8" t="s">
        <v>2941</v>
      </c>
      <c r="E955" s="7" t="s">
        <v>2942</v>
      </c>
      <c r="F955" s="8"/>
      <c r="G955" s="8" t="s">
        <v>49</v>
      </c>
      <c r="H955" s="9" t="s">
        <v>49</v>
      </c>
      <c r="I955" s="9" t="s">
        <v>190</v>
      </c>
      <c r="J955" s="9"/>
      <c r="K955" s="9" t="s">
        <v>52</v>
      </c>
      <c r="L955" s="8"/>
      <c r="M955" s="8"/>
      <c r="N955" s="8" t="s">
        <v>483</v>
      </c>
      <c r="O955" s="8" t="s">
        <v>2943</v>
      </c>
      <c r="P955" s="10" t="n">
        <f aca="false">IF($H955="숙박",0,IF($H955=MID(P$1,3,20),IF($I955="",1,0.6),IF($I955=MID(P$1,3,20),0.4,0)))</f>
        <v>0.4</v>
      </c>
      <c r="Q955" s="10" t="n">
        <f aca="false">IF($H955="숙박",0,IF($H955=MID(Q$1,3,20),IF($I955="",1,0.6),IF($I955=MID(Q$1,3,20),0.4,0)))</f>
        <v>0.6</v>
      </c>
      <c r="R955" s="10" t="n">
        <f aca="false">IF($H955="숙박",0,IF($H955=MID(R$1,3,20),IF($I955="",1,0.6),IF($I955=MID(R$1,3,20),0.4,0)))</f>
        <v>0</v>
      </c>
      <c r="S955" s="10" t="n">
        <f aca="false">IF($H955="숙박",0,IF($H955=MID(S$1,3,20),IF($I955="",1,0.6),IF($I955=MID(S$1,3,20),0.4,0)))</f>
        <v>0</v>
      </c>
      <c r="T955" s="10" t="n">
        <f aca="false">IF($H955="숙박",0,IF($H955=MID(T$1,3,20),IF($I955="",1,0.6),IF($I955=MID(T$1,3,20),0.4,0)))</f>
        <v>0</v>
      </c>
      <c r="U955" s="10" t="n">
        <f aca="false">IF($H955="숙박",0,IF(ISNUMBER(SEARCH("야경",$J955)),1,0))</f>
        <v>0</v>
      </c>
      <c r="V955" s="10" t="n">
        <f aca="false">IF($H955="숙박",0,1)</f>
        <v>1</v>
      </c>
    </row>
    <row r="956" customFormat="false" ht="15" hidden="false" customHeight="false" outlineLevel="0" collapsed="false">
      <c r="A956" s="8" t="n">
        <v>955</v>
      </c>
      <c r="B956" s="8" t="s">
        <v>45</v>
      </c>
      <c r="C956" s="8"/>
      <c r="D956" s="8" t="s">
        <v>2944</v>
      </c>
      <c r="E956" s="7" t="s">
        <v>2945</v>
      </c>
      <c r="F956" s="8"/>
      <c r="G956" s="8"/>
      <c r="H956" s="9" t="s">
        <v>594</v>
      </c>
      <c r="I956" s="9"/>
      <c r="J956" s="9"/>
      <c r="K956" s="9"/>
      <c r="L956" s="8"/>
      <c r="M956" s="8"/>
      <c r="N956" s="8" t="s">
        <v>595</v>
      </c>
      <c r="O956" s="8"/>
      <c r="P956" s="10" t="n">
        <f aca="false">IF($H956="숙박",0,IF($H956=MID(P$1,3,20),IF($I956="",1,0.6),IF($I956=MID(P$1,3,20),0.4,0)))</f>
        <v>0</v>
      </c>
      <c r="Q956" s="10" t="n">
        <f aca="false">IF($H956="숙박",0,IF($H956=MID(Q$1,3,20),IF($I956="",1,0.6),IF($I956=MID(Q$1,3,20),0.4,0)))</f>
        <v>0</v>
      </c>
      <c r="R956" s="10" t="n">
        <f aca="false">IF($H956="숙박",0,IF($H956=MID(R$1,3,20),IF($I956="",1,0.6),IF($I956=MID(R$1,3,20),0.4,0)))</f>
        <v>0</v>
      </c>
      <c r="S956" s="10" t="n">
        <f aca="false">IF($H956="숙박",0,IF($H956=MID(S$1,3,20),IF($I956="",1,0.6),IF($I956=MID(S$1,3,20),0.4,0)))</f>
        <v>0</v>
      </c>
      <c r="T956" s="10" t="n">
        <f aca="false">IF($H956="숙박",0,IF($H956=MID(T$1,3,20),IF($I956="",1,0.6),IF($I956=MID(T$1,3,20),0.4,0)))</f>
        <v>0</v>
      </c>
      <c r="U956" s="10" t="n">
        <f aca="false">IF($H956="숙박",0,IF(ISNUMBER(SEARCH("야경",$J956)),1,0))</f>
        <v>0</v>
      </c>
      <c r="V956" s="10" t="n">
        <f aca="false">IF($H956="숙박",0,1)</f>
        <v>0</v>
      </c>
    </row>
    <row r="957" customFormat="false" ht="15" hidden="false" customHeight="false" outlineLevel="0" collapsed="false">
      <c r="A957" s="8" t="n">
        <v>956</v>
      </c>
      <c r="B957" s="8" t="s">
        <v>45</v>
      </c>
      <c r="C957" s="8" t="s">
        <v>1740</v>
      </c>
      <c r="D957" s="8" t="s">
        <v>2946</v>
      </c>
      <c r="E957" s="7" t="s">
        <v>2947</v>
      </c>
      <c r="F957" s="8"/>
      <c r="G957" s="8" t="s">
        <v>50</v>
      </c>
      <c r="H957" s="9" t="s">
        <v>50</v>
      </c>
      <c r="I957" s="9"/>
      <c r="J957" s="9" t="s">
        <v>168</v>
      </c>
      <c r="K957" s="9" t="s">
        <v>52</v>
      </c>
      <c r="L957" s="8"/>
      <c r="M957" s="8"/>
      <c r="N957" s="8"/>
      <c r="O957" s="8" t="s">
        <v>2948</v>
      </c>
      <c r="P957" s="10" t="n">
        <f aca="false">IF($H957="숙박",0,IF($H957=MID(P$1,3,20),IF($I957="",1,0.6),IF($I957=MID(P$1,3,20),0.4,0)))</f>
        <v>0</v>
      </c>
      <c r="Q957" s="10" t="n">
        <f aca="false">IF($H957="숙박",0,IF($H957=MID(Q$1,3,20),IF($I957="",1,0.6),IF($I957=MID(Q$1,3,20),0.4,0)))</f>
        <v>0</v>
      </c>
      <c r="R957" s="10" t="n">
        <f aca="false">IF($H957="숙박",0,IF($H957=MID(R$1,3,20),IF($I957="",1,0.6),IF($I957=MID(R$1,3,20),0.4,0)))</f>
        <v>0</v>
      </c>
      <c r="S957" s="10" t="n">
        <f aca="false">IF($H957="숙박",0,IF($H957=MID(S$1,3,20),IF($I957="",1,0.6),IF($I957=MID(S$1,3,20),0.4,0)))</f>
        <v>0</v>
      </c>
      <c r="T957" s="10" t="n">
        <f aca="false">IF($H957="숙박",0,IF($H957=MID(T$1,3,20),IF($I957="",1,0.6),IF($I957=MID(T$1,3,20),0.4,0)))</f>
        <v>1</v>
      </c>
      <c r="U957" s="10" t="n">
        <f aca="false">IF($H957="숙박",0,IF(ISNUMBER(SEARCH("야경",$J957)),1,0))</f>
        <v>0</v>
      </c>
      <c r="V957" s="10" t="n">
        <f aca="false">IF($H957="숙박",0,1)</f>
        <v>1</v>
      </c>
    </row>
    <row r="958" customFormat="false" ht="15" hidden="false" customHeight="false" outlineLevel="0" collapsed="false">
      <c r="A958" s="8" t="n">
        <v>957</v>
      </c>
      <c r="B958" s="8" t="s">
        <v>45</v>
      </c>
      <c r="C958" s="8" t="s">
        <v>1440</v>
      </c>
      <c r="D958" s="8" t="s">
        <v>2949</v>
      </c>
      <c r="E958" s="7" t="s">
        <v>2950</v>
      </c>
      <c r="F958" s="8"/>
      <c r="G958" s="8" t="s">
        <v>190</v>
      </c>
      <c r="H958" s="9" t="s">
        <v>190</v>
      </c>
      <c r="I958" s="9"/>
      <c r="J958" s="9"/>
      <c r="K958" s="9" t="s">
        <v>191</v>
      </c>
      <c r="L958" s="8"/>
      <c r="M958" s="8"/>
      <c r="N958" s="8"/>
      <c r="O958" s="8" t="s">
        <v>2951</v>
      </c>
      <c r="P958" s="10" t="n">
        <f aca="false">IF($H958="숙박",0,IF($H958=MID(P$1,3,20),IF($I958="",1,0.6),IF($I958=MID(P$1,3,20),0.4,0)))</f>
        <v>1</v>
      </c>
      <c r="Q958" s="10" t="n">
        <f aca="false">IF($H958="숙박",0,IF($H958=MID(Q$1,3,20),IF($I958="",1,0.6),IF($I958=MID(Q$1,3,20),0.4,0)))</f>
        <v>0</v>
      </c>
      <c r="R958" s="10" t="n">
        <f aca="false">IF($H958="숙박",0,IF($H958=MID(R$1,3,20),IF($I958="",1,0.6),IF($I958=MID(R$1,3,20),0.4,0)))</f>
        <v>0</v>
      </c>
      <c r="S958" s="10" t="n">
        <f aca="false">IF($H958="숙박",0,IF($H958=MID(S$1,3,20),IF($I958="",1,0.6),IF($I958=MID(S$1,3,20),0.4,0)))</f>
        <v>0</v>
      </c>
      <c r="T958" s="10" t="n">
        <f aca="false">IF($H958="숙박",0,IF($H958=MID(T$1,3,20),IF($I958="",1,0.6),IF($I958=MID(T$1,3,20),0.4,0)))</f>
        <v>0</v>
      </c>
      <c r="U958" s="10" t="n">
        <f aca="false">IF($H958="숙박",0,IF(ISNUMBER(SEARCH("야경",$J958)),1,0))</f>
        <v>0</v>
      </c>
      <c r="V958" s="10" t="n">
        <f aca="false">IF($H958="숙박",0,1)</f>
        <v>1</v>
      </c>
    </row>
    <row r="959" customFormat="false" ht="15" hidden="false" customHeight="false" outlineLevel="0" collapsed="false">
      <c r="A959" s="8" t="n">
        <v>958</v>
      </c>
      <c r="B959" s="8" t="s">
        <v>45</v>
      </c>
      <c r="C959" s="8" t="s">
        <v>2057</v>
      </c>
      <c r="D959" s="8" t="s">
        <v>2952</v>
      </c>
      <c r="E959" s="7" t="s">
        <v>2953</v>
      </c>
      <c r="F959" s="8"/>
      <c r="G959" s="8" t="s">
        <v>49</v>
      </c>
      <c r="H959" s="9" t="s">
        <v>49</v>
      </c>
      <c r="I959" s="9"/>
      <c r="J959" s="9"/>
      <c r="K959" s="9" t="s">
        <v>52</v>
      </c>
      <c r="L959" s="8"/>
      <c r="M959" s="8"/>
      <c r="N959" s="8"/>
      <c r="O959" s="8" t="s">
        <v>2954</v>
      </c>
      <c r="P959" s="10" t="n">
        <f aca="false">IF($H959="숙박",0,IF($H959=MID(P$1,3,20),IF($I959="",1,0.6),IF($I959=MID(P$1,3,20),0.4,0)))</f>
        <v>0</v>
      </c>
      <c r="Q959" s="10" t="n">
        <f aca="false">IF($H959="숙박",0,IF($H959=MID(Q$1,3,20),IF($I959="",1,0.6),IF($I959=MID(Q$1,3,20),0.4,0)))</f>
        <v>1</v>
      </c>
      <c r="R959" s="10" t="n">
        <f aca="false">IF($H959="숙박",0,IF($H959=MID(R$1,3,20),IF($I959="",1,0.6),IF($I959=MID(R$1,3,20),0.4,0)))</f>
        <v>0</v>
      </c>
      <c r="S959" s="10" t="n">
        <f aca="false">IF($H959="숙박",0,IF($H959=MID(S$1,3,20),IF($I959="",1,0.6),IF($I959=MID(S$1,3,20),0.4,0)))</f>
        <v>0</v>
      </c>
      <c r="T959" s="10" t="n">
        <f aca="false">IF($H959="숙박",0,IF($H959=MID(T$1,3,20),IF($I959="",1,0.6),IF($I959=MID(T$1,3,20),0.4,0)))</f>
        <v>0</v>
      </c>
      <c r="U959" s="10" t="n">
        <f aca="false">IF($H959="숙박",0,IF(ISNUMBER(SEARCH("야경",$J959)),1,0))</f>
        <v>0</v>
      </c>
      <c r="V959" s="10" t="n">
        <f aca="false">IF($H959="숙박",0,1)</f>
        <v>1</v>
      </c>
    </row>
    <row r="960" customFormat="false" ht="15" hidden="false" customHeight="false" outlineLevel="0" collapsed="false">
      <c r="A960" s="8" t="n">
        <v>959</v>
      </c>
      <c r="B960" s="8" t="s">
        <v>45</v>
      </c>
      <c r="C960" s="8" t="s">
        <v>2057</v>
      </c>
      <c r="D960" s="8" t="s">
        <v>2955</v>
      </c>
      <c r="E960" s="7" t="s">
        <v>2956</v>
      </c>
      <c r="F960" s="8"/>
      <c r="G960" s="8" t="s">
        <v>49</v>
      </c>
      <c r="H960" s="9" t="s">
        <v>49</v>
      </c>
      <c r="I960" s="9" t="s">
        <v>190</v>
      </c>
      <c r="J960" s="9" t="s">
        <v>43</v>
      </c>
      <c r="K960" s="9" t="s">
        <v>52</v>
      </c>
      <c r="L960" s="8"/>
      <c r="M960" s="8"/>
      <c r="N960" s="8" t="s">
        <v>483</v>
      </c>
      <c r="O960" s="8" t="s">
        <v>2957</v>
      </c>
      <c r="P960" s="10" t="n">
        <f aca="false">IF($H960="숙박",0,IF($H960=MID(P$1,3,20),IF($I960="",1,0.6),IF($I960=MID(P$1,3,20),0.4,0)))</f>
        <v>0.4</v>
      </c>
      <c r="Q960" s="10" t="n">
        <f aca="false">IF($H960="숙박",0,IF($H960=MID(Q$1,3,20),IF($I960="",1,0.6),IF($I960=MID(Q$1,3,20),0.4,0)))</f>
        <v>0.6</v>
      </c>
      <c r="R960" s="10" t="n">
        <f aca="false">IF($H960="숙박",0,IF($H960=MID(R$1,3,20),IF($I960="",1,0.6),IF($I960=MID(R$1,3,20),0.4,0)))</f>
        <v>0</v>
      </c>
      <c r="S960" s="10" t="n">
        <f aca="false">IF($H960="숙박",0,IF($H960=MID(S$1,3,20),IF($I960="",1,0.6),IF($I960=MID(S$1,3,20),0.4,0)))</f>
        <v>0</v>
      </c>
      <c r="T960" s="10" t="n">
        <f aca="false">IF($H960="숙박",0,IF($H960=MID(T$1,3,20),IF($I960="",1,0.6),IF($I960=MID(T$1,3,20),0.4,0)))</f>
        <v>0</v>
      </c>
      <c r="U960" s="10" t="n">
        <f aca="false">IF($H960="숙박",0,IF(ISNUMBER(SEARCH("야경",$J960)),1,0))</f>
        <v>1</v>
      </c>
      <c r="V960" s="10" t="n">
        <f aca="false">IF($H960="숙박",0,1)</f>
        <v>1</v>
      </c>
    </row>
    <row r="961" customFormat="false" ht="15" hidden="false" customHeight="false" outlineLevel="0" collapsed="false">
      <c r="A961" s="8" t="n">
        <v>960</v>
      </c>
      <c r="B961" s="8" t="s">
        <v>45</v>
      </c>
      <c r="C961" s="8" t="s">
        <v>1444</v>
      </c>
      <c r="D961" s="8" t="s">
        <v>2958</v>
      </c>
      <c r="E961" s="7" t="s">
        <v>2959</v>
      </c>
      <c r="F961" s="8"/>
      <c r="G961" s="8" t="s">
        <v>49</v>
      </c>
      <c r="H961" s="9" t="s">
        <v>49</v>
      </c>
      <c r="I961" s="9"/>
      <c r="J961" s="9"/>
      <c r="K961" s="9" t="s">
        <v>209</v>
      </c>
      <c r="L961" s="8"/>
      <c r="M961" s="8"/>
      <c r="N961" s="8"/>
      <c r="O961" s="8" t="s">
        <v>2960</v>
      </c>
      <c r="P961" s="10" t="n">
        <f aca="false">IF($H961="숙박",0,IF($H961=MID(P$1,3,20),IF($I961="",1,0.6),IF($I961=MID(P$1,3,20),0.4,0)))</f>
        <v>0</v>
      </c>
      <c r="Q961" s="10" t="n">
        <f aca="false">IF($H961="숙박",0,IF($H961=MID(Q$1,3,20),IF($I961="",1,0.6),IF($I961=MID(Q$1,3,20),0.4,0)))</f>
        <v>1</v>
      </c>
      <c r="R961" s="10" t="n">
        <f aca="false">IF($H961="숙박",0,IF($H961=MID(R$1,3,20),IF($I961="",1,0.6),IF($I961=MID(R$1,3,20),0.4,0)))</f>
        <v>0</v>
      </c>
      <c r="S961" s="10" t="n">
        <f aca="false">IF($H961="숙박",0,IF($H961=MID(S$1,3,20),IF($I961="",1,0.6),IF($I961=MID(S$1,3,20),0.4,0)))</f>
        <v>0</v>
      </c>
      <c r="T961" s="10" t="n">
        <f aca="false">IF($H961="숙박",0,IF($H961=MID(T$1,3,20),IF($I961="",1,0.6),IF($I961=MID(T$1,3,20),0.4,0)))</f>
        <v>0</v>
      </c>
      <c r="U961" s="10" t="n">
        <f aca="false">IF($H961="숙박",0,IF(ISNUMBER(SEARCH("야경",$J961)),1,0))</f>
        <v>0</v>
      </c>
      <c r="V961" s="10" t="n">
        <f aca="false">IF($H961="숙박",0,1)</f>
        <v>1</v>
      </c>
    </row>
    <row r="962" customFormat="false" ht="15" hidden="false" customHeight="false" outlineLevel="0" collapsed="false">
      <c r="A962" s="8" t="n">
        <v>961</v>
      </c>
      <c r="B962" s="8" t="s">
        <v>45</v>
      </c>
      <c r="C962" s="8" t="s">
        <v>1497</v>
      </c>
      <c r="D962" s="8" t="s">
        <v>2961</v>
      </c>
      <c r="E962" s="7" t="s">
        <v>2962</v>
      </c>
      <c r="F962" s="8"/>
      <c r="G962" s="8" t="s">
        <v>190</v>
      </c>
      <c r="H962" s="9" t="s">
        <v>190</v>
      </c>
      <c r="I962" s="9"/>
      <c r="J962" s="9"/>
      <c r="K962" s="9" t="s">
        <v>52</v>
      </c>
      <c r="L962" s="8"/>
      <c r="M962" s="8"/>
      <c r="N962" s="8"/>
      <c r="O962" s="8" t="s">
        <v>2963</v>
      </c>
      <c r="P962" s="10" t="n">
        <f aca="false">IF($H962="숙박",0,IF($H962=MID(P$1,3,20),IF($I962="",1,0.6),IF($I962=MID(P$1,3,20),0.4,0)))</f>
        <v>1</v>
      </c>
      <c r="Q962" s="10" t="n">
        <f aca="false">IF($H962="숙박",0,IF($H962=MID(Q$1,3,20),IF($I962="",1,0.6),IF($I962=MID(Q$1,3,20),0.4,0)))</f>
        <v>0</v>
      </c>
      <c r="R962" s="10" t="n">
        <f aca="false">IF($H962="숙박",0,IF($H962=MID(R$1,3,20),IF($I962="",1,0.6),IF($I962=MID(R$1,3,20),0.4,0)))</f>
        <v>0</v>
      </c>
      <c r="S962" s="10" t="n">
        <f aca="false">IF($H962="숙박",0,IF($H962=MID(S$1,3,20),IF($I962="",1,0.6),IF($I962=MID(S$1,3,20),0.4,0)))</f>
        <v>0</v>
      </c>
      <c r="T962" s="10" t="n">
        <f aca="false">IF($H962="숙박",0,IF($H962=MID(T$1,3,20),IF($I962="",1,0.6),IF($I962=MID(T$1,3,20),0.4,0)))</f>
        <v>0</v>
      </c>
      <c r="U962" s="10" t="n">
        <f aca="false">IF($H962="숙박",0,IF(ISNUMBER(SEARCH("야경",$J962)),1,0))</f>
        <v>0</v>
      </c>
      <c r="V962" s="10" t="n">
        <f aca="false">IF($H962="숙박",0,1)</f>
        <v>1</v>
      </c>
    </row>
    <row r="963" customFormat="false" ht="15" hidden="false" customHeight="false" outlineLevel="0" collapsed="false">
      <c r="A963" s="8" t="n">
        <v>962</v>
      </c>
      <c r="B963" s="8" t="s">
        <v>45</v>
      </c>
      <c r="C963" s="8" t="s">
        <v>1678</v>
      </c>
      <c r="D963" s="8" t="s">
        <v>2964</v>
      </c>
      <c r="E963" s="7" t="s">
        <v>2965</v>
      </c>
      <c r="F963" s="8"/>
      <c r="G963" s="8" t="s">
        <v>190</v>
      </c>
      <c r="H963" s="9" t="s">
        <v>190</v>
      </c>
      <c r="I963" s="9"/>
      <c r="J963" s="9"/>
      <c r="K963" s="9" t="s">
        <v>191</v>
      </c>
      <c r="L963" s="8"/>
      <c r="M963" s="8"/>
      <c r="N963" s="8"/>
      <c r="O963" s="8" t="s">
        <v>2966</v>
      </c>
      <c r="P963" s="10" t="n">
        <f aca="false">IF($H963="숙박",0,IF($H963=MID(P$1,3,20),IF($I963="",1,0.6),IF($I963=MID(P$1,3,20),0.4,0)))</f>
        <v>1</v>
      </c>
      <c r="Q963" s="10" t="n">
        <f aca="false">IF($H963="숙박",0,IF($H963=MID(Q$1,3,20),IF($I963="",1,0.6),IF($I963=MID(Q$1,3,20),0.4,0)))</f>
        <v>0</v>
      </c>
      <c r="R963" s="10" t="n">
        <f aca="false">IF($H963="숙박",0,IF($H963=MID(R$1,3,20),IF($I963="",1,0.6),IF($I963=MID(R$1,3,20),0.4,0)))</f>
        <v>0</v>
      </c>
      <c r="S963" s="10" t="n">
        <f aca="false">IF($H963="숙박",0,IF($H963=MID(S$1,3,20),IF($I963="",1,0.6),IF($I963=MID(S$1,3,20),0.4,0)))</f>
        <v>0</v>
      </c>
      <c r="T963" s="10" t="n">
        <f aca="false">IF($H963="숙박",0,IF($H963=MID(T$1,3,20),IF($I963="",1,0.6),IF($I963=MID(T$1,3,20),0.4,0)))</f>
        <v>0</v>
      </c>
      <c r="U963" s="10" t="n">
        <f aca="false">IF($H963="숙박",0,IF(ISNUMBER(SEARCH("야경",$J963)),1,0))</f>
        <v>0</v>
      </c>
      <c r="V963" s="10" t="n">
        <f aca="false">IF($H963="숙박",0,1)</f>
        <v>1</v>
      </c>
    </row>
    <row r="964" customFormat="false" ht="15" hidden="false" customHeight="false" outlineLevel="0" collapsed="false">
      <c r="A964" s="8" t="n">
        <v>963</v>
      </c>
      <c r="B964" s="8" t="s">
        <v>45</v>
      </c>
      <c r="C964" s="8" t="s">
        <v>2375</v>
      </c>
      <c r="D964" s="8" t="s">
        <v>2967</v>
      </c>
      <c r="E964" s="7" t="s">
        <v>2968</v>
      </c>
      <c r="F964" s="8"/>
      <c r="G964" s="8" t="s">
        <v>50</v>
      </c>
      <c r="H964" s="9" t="s">
        <v>50</v>
      </c>
      <c r="I964" s="9" t="s">
        <v>190</v>
      </c>
      <c r="J964" s="9" t="s">
        <v>168</v>
      </c>
      <c r="K964" s="9" t="s">
        <v>52</v>
      </c>
      <c r="L964" s="8"/>
      <c r="M964" s="8"/>
      <c r="N964" s="8" t="s">
        <v>483</v>
      </c>
      <c r="O964" s="8" t="s">
        <v>2969</v>
      </c>
      <c r="P964" s="10" t="n">
        <f aca="false">IF($H964="숙박",0,IF($H964=MID(P$1,3,20),IF($I964="",1,0.6),IF($I964=MID(P$1,3,20),0.4,0)))</f>
        <v>0.4</v>
      </c>
      <c r="Q964" s="10" t="n">
        <f aca="false">IF($H964="숙박",0,IF($H964=MID(Q$1,3,20),IF($I964="",1,0.6),IF($I964=MID(Q$1,3,20),0.4,0)))</f>
        <v>0</v>
      </c>
      <c r="R964" s="10" t="n">
        <f aca="false">IF($H964="숙박",0,IF($H964=MID(R$1,3,20),IF($I964="",1,0.6),IF($I964=MID(R$1,3,20),0.4,0)))</f>
        <v>0</v>
      </c>
      <c r="S964" s="10" t="n">
        <f aca="false">IF($H964="숙박",0,IF($H964=MID(S$1,3,20),IF($I964="",1,0.6),IF($I964=MID(S$1,3,20),0.4,0)))</f>
        <v>0</v>
      </c>
      <c r="T964" s="10" t="n">
        <f aca="false">IF($H964="숙박",0,IF($H964=MID(T$1,3,20),IF($I964="",1,0.6),IF($I964=MID(T$1,3,20),0.4,0)))</f>
        <v>0.6</v>
      </c>
      <c r="U964" s="10" t="n">
        <f aca="false">IF($H964="숙박",0,IF(ISNUMBER(SEARCH("야경",$J964)),1,0))</f>
        <v>0</v>
      </c>
      <c r="V964" s="10" t="n">
        <f aca="false">IF($H964="숙박",0,1)</f>
        <v>1</v>
      </c>
    </row>
    <row r="965" customFormat="false" ht="15" hidden="false" customHeight="false" outlineLevel="0" collapsed="false">
      <c r="A965" s="8" t="n">
        <v>964</v>
      </c>
      <c r="B965" s="8" t="s">
        <v>45</v>
      </c>
      <c r="C965" s="8"/>
      <c r="D965" s="8" t="s">
        <v>2970</v>
      </c>
      <c r="E965" s="7" t="s">
        <v>2971</v>
      </c>
      <c r="F965" s="8"/>
      <c r="G965" s="8"/>
      <c r="H965" s="9" t="s">
        <v>594</v>
      </c>
      <c r="I965" s="9"/>
      <c r="J965" s="9"/>
      <c r="K965" s="9"/>
      <c r="L965" s="8"/>
      <c r="M965" s="8"/>
      <c r="N965" s="8" t="s">
        <v>595</v>
      </c>
      <c r="O965" s="8"/>
      <c r="P965" s="10" t="n">
        <f aca="false">IF($H965="숙박",0,IF($H965=MID(P$1,3,20),IF($I965="",1,0.6),IF($I965=MID(P$1,3,20),0.4,0)))</f>
        <v>0</v>
      </c>
      <c r="Q965" s="10" t="n">
        <f aca="false">IF($H965="숙박",0,IF($H965=MID(Q$1,3,20),IF($I965="",1,0.6),IF($I965=MID(Q$1,3,20),0.4,0)))</f>
        <v>0</v>
      </c>
      <c r="R965" s="10" t="n">
        <f aca="false">IF($H965="숙박",0,IF($H965=MID(R$1,3,20),IF($I965="",1,0.6),IF($I965=MID(R$1,3,20),0.4,0)))</f>
        <v>0</v>
      </c>
      <c r="S965" s="10" t="n">
        <f aca="false">IF($H965="숙박",0,IF($H965=MID(S$1,3,20),IF($I965="",1,0.6),IF($I965=MID(S$1,3,20),0.4,0)))</f>
        <v>0</v>
      </c>
      <c r="T965" s="10" t="n">
        <f aca="false">IF($H965="숙박",0,IF($H965=MID(T$1,3,20),IF($I965="",1,0.6),IF($I965=MID(T$1,3,20),0.4,0)))</f>
        <v>0</v>
      </c>
      <c r="U965" s="10" t="n">
        <f aca="false">IF($H965="숙박",0,IF(ISNUMBER(SEARCH("야경",$J965)),1,0))</f>
        <v>0</v>
      </c>
      <c r="V965" s="10" t="n">
        <f aca="false">IF($H965="숙박",0,1)</f>
        <v>0</v>
      </c>
    </row>
    <row r="966" customFormat="false" ht="15" hidden="false" customHeight="false" outlineLevel="0" collapsed="false">
      <c r="A966" s="8" t="n">
        <v>965</v>
      </c>
      <c r="B966" s="8" t="s">
        <v>45</v>
      </c>
      <c r="C966" s="8" t="s">
        <v>369</v>
      </c>
      <c r="D966" s="8" t="s">
        <v>2972</v>
      </c>
      <c r="E966" s="7" t="s">
        <v>2973</v>
      </c>
      <c r="F966" s="8"/>
      <c r="G966" s="8" t="s">
        <v>190</v>
      </c>
      <c r="H966" s="9" t="s">
        <v>190</v>
      </c>
      <c r="I966" s="9"/>
      <c r="J966" s="9"/>
      <c r="K966" s="9" t="s">
        <v>52</v>
      </c>
      <c r="L966" s="8"/>
      <c r="M966" s="8"/>
      <c r="N966" s="8"/>
      <c r="O966" s="8" t="s">
        <v>2974</v>
      </c>
      <c r="P966" s="10" t="n">
        <f aca="false">IF($H966="숙박",0,IF($H966=MID(P$1,3,20),IF($I966="",1,0.6),IF($I966=MID(P$1,3,20),0.4,0)))</f>
        <v>1</v>
      </c>
      <c r="Q966" s="10" t="n">
        <f aca="false">IF($H966="숙박",0,IF($H966=MID(Q$1,3,20),IF($I966="",1,0.6),IF($I966=MID(Q$1,3,20),0.4,0)))</f>
        <v>0</v>
      </c>
      <c r="R966" s="10" t="n">
        <f aca="false">IF($H966="숙박",0,IF($H966=MID(R$1,3,20),IF($I966="",1,0.6),IF($I966=MID(R$1,3,20),0.4,0)))</f>
        <v>0</v>
      </c>
      <c r="S966" s="10" t="n">
        <f aca="false">IF($H966="숙박",0,IF($H966=MID(S$1,3,20),IF($I966="",1,0.6),IF($I966=MID(S$1,3,20),0.4,0)))</f>
        <v>0</v>
      </c>
      <c r="T966" s="10" t="n">
        <f aca="false">IF($H966="숙박",0,IF($H966=MID(T$1,3,20),IF($I966="",1,0.6),IF($I966=MID(T$1,3,20),0.4,0)))</f>
        <v>0</v>
      </c>
      <c r="U966" s="10" t="n">
        <f aca="false">IF($H966="숙박",0,IF(ISNUMBER(SEARCH("야경",$J966)),1,0))</f>
        <v>0</v>
      </c>
      <c r="V966" s="10" t="n">
        <f aca="false">IF($H966="숙박",0,1)</f>
        <v>1</v>
      </c>
    </row>
    <row r="967" customFormat="false" ht="15" hidden="false" customHeight="false" outlineLevel="0" collapsed="false">
      <c r="A967" s="8" t="n">
        <v>966</v>
      </c>
      <c r="B967" s="8" t="s">
        <v>45</v>
      </c>
      <c r="C967" s="8" t="s">
        <v>1546</v>
      </c>
      <c r="D967" s="8" t="s">
        <v>2975</v>
      </c>
      <c r="E967" s="7" t="s">
        <v>2976</v>
      </c>
      <c r="F967" s="8"/>
      <c r="G967" s="8" t="s">
        <v>190</v>
      </c>
      <c r="H967" s="9" t="s">
        <v>190</v>
      </c>
      <c r="I967" s="9"/>
      <c r="J967" s="9"/>
      <c r="K967" s="9" t="s">
        <v>52</v>
      </c>
      <c r="L967" s="8"/>
      <c r="M967" s="8"/>
      <c r="N967" s="8"/>
      <c r="O967" s="8" t="s">
        <v>2977</v>
      </c>
      <c r="P967" s="10" t="n">
        <f aca="false">IF($H967="숙박",0,IF($H967=MID(P$1,3,20),IF($I967="",1,0.6),IF($I967=MID(P$1,3,20),0.4,0)))</f>
        <v>1</v>
      </c>
      <c r="Q967" s="10" t="n">
        <f aca="false">IF($H967="숙박",0,IF($H967=MID(Q$1,3,20),IF($I967="",1,0.6),IF($I967=MID(Q$1,3,20),0.4,0)))</f>
        <v>0</v>
      </c>
      <c r="R967" s="10" t="n">
        <f aca="false">IF($H967="숙박",0,IF($H967=MID(R$1,3,20),IF($I967="",1,0.6),IF($I967=MID(R$1,3,20),0.4,0)))</f>
        <v>0</v>
      </c>
      <c r="S967" s="10" t="n">
        <f aca="false">IF($H967="숙박",0,IF($H967=MID(S$1,3,20),IF($I967="",1,0.6),IF($I967=MID(S$1,3,20),0.4,0)))</f>
        <v>0</v>
      </c>
      <c r="T967" s="10" t="n">
        <f aca="false">IF($H967="숙박",0,IF($H967=MID(T$1,3,20),IF($I967="",1,0.6),IF($I967=MID(T$1,3,20),0.4,0)))</f>
        <v>0</v>
      </c>
      <c r="U967" s="10" t="n">
        <f aca="false">IF($H967="숙박",0,IF(ISNUMBER(SEARCH("야경",$J967)),1,0))</f>
        <v>0</v>
      </c>
      <c r="V967" s="10" t="n">
        <f aca="false">IF($H967="숙박",0,1)</f>
        <v>1</v>
      </c>
    </row>
    <row r="968" customFormat="false" ht="15" hidden="false" customHeight="false" outlineLevel="0" collapsed="false">
      <c r="A968" s="8" t="n">
        <v>967</v>
      </c>
      <c r="B968" s="8" t="s">
        <v>45</v>
      </c>
      <c r="C968" s="8" t="s">
        <v>1895</v>
      </c>
      <c r="D968" s="8" t="s">
        <v>2978</v>
      </c>
      <c r="E968" s="7" t="s">
        <v>2979</v>
      </c>
      <c r="F968" s="8"/>
      <c r="G968" s="8" t="s">
        <v>50</v>
      </c>
      <c r="H968" s="9" t="s">
        <v>50</v>
      </c>
      <c r="I968" s="9"/>
      <c r="J968" s="9" t="s">
        <v>168</v>
      </c>
      <c r="K968" s="9" t="s">
        <v>52</v>
      </c>
      <c r="L968" s="8"/>
      <c r="M968" s="8"/>
      <c r="N968" s="8"/>
      <c r="O968" s="8" t="s">
        <v>2980</v>
      </c>
      <c r="P968" s="10" t="n">
        <f aca="false">IF($H968="숙박",0,IF($H968=MID(P$1,3,20),IF($I968="",1,0.6),IF($I968=MID(P$1,3,20),0.4,0)))</f>
        <v>0</v>
      </c>
      <c r="Q968" s="10" t="n">
        <f aca="false">IF($H968="숙박",0,IF($H968=MID(Q$1,3,20),IF($I968="",1,0.6),IF($I968=MID(Q$1,3,20),0.4,0)))</f>
        <v>0</v>
      </c>
      <c r="R968" s="10" t="n">
        <f aca="false">IF($H968="숙박",0,IF($H968=MID(R$1,3,20),IF($I968="",1,0.6),IF($I968=MID(R$1,3,20),0.4,0)))</f>
        <v>0</v>
      </c>
      <c r="S968" s="10" t="n">
        <f aca="false">IF($H968="숙박",0,IF($H968=MID(S$1,3,20),IF($I968="",1,0.6),IF($I968=MID(S$1,3,20),0.4,0)))</f>
        <v>0</v>
      </c>
      <c r="T968" s="10" t="n">
        <f aca="false">IF($H968="숙박",0,IF($H968=MID(T$1,3,20),IF($I968="",1,0.6),IF($I968=MID(T$1,3,20),0.4,0)))</f>
        <v>1</v>
      </c>
      <c r="U968" s="10" t="n">
        <f aca="false">IF($H968="숙박",0,IF(ISNUMBER(SEARCH("야경",$J968)),1,0))</f>
        <v>0</v>
      </c>
      <c r="V968" s="10" t="n">
        <f aca="false">IF($H968="숙박",0,1)</f>
        <v>1</v>
      </c>
    </row>
    <row r="969" customFormat="false" ht="15" hidden="false" customHeight="false" outlineLevel="0" collapsed="false">
      <c r="A969" s="8" t="n">
        <v>968</v>
      </c>
      <c r="B969" s="8" t="s">
        <v>45</v>
      </c>
      <c r="C969" s="8" t="s">
        <v>178</v>
      </c>
      <c r="D969" s="8" t="s">
        <v>2981</v>
      </c>
      <c r="E969" s="7" t="s">
        <v>2982</v>
      </c>
      <c r="F969" s="8"/>
      <c r="G969" s="8" t="s">
        <v>50</v>
      </c>
      <c r="H969" s="9" t="s">
        <v>50</v>
      </c>
      <c r="I969" s="9"/>
      <c r="J969" s="9" t="s">
        <v>168</v>
      </c>
      <c r="K969" s="9" t="s">
        <v>52</v>
      </c>
      <c r="L969" s="8"/>
      <c r="M969" s="8"/>
      <c r="N969" s="8"/>
      <c r="O969" s="8" t="s">
        <v>2983</v>
      </c>
      <c r="P969" s="10" t="n">
        <f aca="false">IF($H969="숙박",0,IF($H969=MID(P$1,3,20),IF($I969="",1,0.6),IF($I969=MID(P$1,3,20),0.4,0)))</f>
        <v>0</v>
      </c>
      <c r="Q969" s="10" t="n">
        <f aca="false">IF($H969="숙박",0,IF($H969=MID(Q$1,3,20),IF($I969="",1,0.6),IF($I969=MID(Q$1,3,20),0.4,0)))</f>
        <v>0</v>
      </c>
      <c r="R969" s="10" t="n">
        <f aca="false">IF($H969="숙박",0,IF($H969=MID(R$1,3,20),IF($I969="",1,0.6),IF($I969=MID(R$1,3,20),0.4,0)))</f>
        <v>0</v>
      </c>
      <c r="S969" s="10" t="n">
        <f aca="false">IF($H969="숙박",0,IF($H969=MID(S$1,3,20),IF($I969="",1,0.6),IF($I969=MID(S$1,3,20),0.4,0)))</f>
        <v>0</v>
      </c>
      <c r="T969" s="10" t="n">
        <f aca="false">IF($H969="숙박",0,IF($H969=MID(T$1,3,20),IF($I969="",1,0.6),IF($I969=MID(T$1,3,20),0.4,0)))</f>
        <v>1</v>
      </c>
      <c r="U969" s="10" t="n">
        <f aca="false">IF($H969="숙박",0,IF(ISNUMBER(SEARCH("야경",$J969)),1,0))</f>
        <v>0</v>
      </c>
      <c r="V969" s="10" t="n">
        <f aca="false">IF($H969="숙박",0,1)</f>
        <v>1</v>
      </c>
    </row>
    <row r="970" customFormat="false" ht="15" hidden="false" customHeight="false" outlineLevel="0" collapsed="false">
      <c r="A970" s="8" t="n">
        <v>969</v>
      </c>
      <c r="B970" s="8" t="s">
        <v>45</v>
      </c>
      <c r="C970" s="8" t="s">
        <v>331</v>
      </c>
      <c r="D970" s="8" t="s">
        <v>2984</v>
      </c>
      <c r="E970" s="7" t="s">
        <v>2816</v>
      </c>
      <c r="F970" s="8"/>
      <c r="G970" s="8" t="s">
        <v>190</v>
      </c>
      <c r="H970" s="9" t="s">
        <v>190</v>
      </c>
      <c r="I970" s="9"/>
      <c r="J970" s="9"/>
      <c r="K970" s="9" t="s">
        <v>191</v>
      </c>
      <c r="L970" s="8"/>
      <c r="M970" s="8"/>
      <c r="N970" s="8"/>
      <c r="O970" s="8" t="s">
        <v>2985</v>
      </c>
      <c r="P970" s="10" t="n">
        <f aca="false">IF($H970="숙박",0,IF($H970=MID(P$1,3,20),IF($I970="",1,0.6),IF($I970=MID(P$1,3,20),0.4,0)))</f>
        <v>1</v>
      </c>
      <c r="Q970" s="10" t="n">
        <f aca="false">IF($H970="숙박",0,IF($H970=MID(Q$1,3,20),IF($I970="",1,0.6),IF($I970=MID(Q$1,3,20),0.4,0)))</f>
        <v>0</v>
      </c>
      <c r="R970" s="10" t="n">
        <f aca="false">IF($H970="숙박",0,IF($H970=MID(R$1,3,20),IF($I970="",1,0.6),IF($I970=MID(R$1,3,20),0.4,0)))</f>
        <v>0</v>
      </c>
      <c r="S970" s="10" t="n">
        <f aca="false">IF($H970="숙박",0,IF($H970=MID(S$1,3,20),IF($I970="",1,0.6),IF($I970=MID(S$1,3,20),0.4,0)))</f>
        <v>0</v>
      </c>
      <c r="T970" s="10" t="n">
        <f aca="false">IF($H970="숙박",0,IF($H970=MID(T$1,3,20),IF($I970="",1,0.6),IF($I970=MID(T$1,3,20),0.4,0)))</f>
        <v>0</v>
      </c>
      <c r="U970" s="10" t="n">
        <f aca="false">IF($H970="숙박",0,IF(ISNUMBER(SEARCH("야경",$J970)),1,0))</f>
        <v>0</v>
      </c>
      <c r="V970" s="10" t="n">
        <f aca="false">IF($H970="숙박",0,1)</f>
        <v>1</v>
      </c>
    </row>
    <row r="971" customFormat="false" ht="15" hidden="false" customHeight="false" outlineLevel="0" collapsed="false">
      <c r="A971" s="8" t="n">
        <v>970</v>
      </c>
      <c r="B971" s="8" t="s">
        <v>45</v>
      </c>
      <c r="C971" s="8" t="s">
        <v>1750</v>
      </c>
      <c r="D971" s="8" t="s">
        <v>2986</v>
      </c>
      <c r="E971" s="7" t="s">
        <v>2987</v>
      </c>
      <c r="F971" s="8"/>
      <c r="G971" s="8" t="s">
        <v>49</v>
      </c>
      <c r="H971" s="9" t="s">
        <v>49</v>
      </c>
      <c r="I971" s="9"/>
      <c r="J971" s="9"/>
      <c r="K971" s="9" t="s">
        <v>209</v>
      </c>
      <c r="L971" s="8"/>
      <c r="M971" s="8"/>
      <c r="N971" s="8"/>
      <c r="O971" s="8" t="s">
        <v>2988</v>
      </c>
      <c r="P971" s="10" t="n">
        <f aca="false">IF($H971="숙박",0,IF($H971=MID(P$1,3,20),IF($I971="",1,0.6),IF($I971=MID(P$1,3,20),0.4,0)))</f>
        <v>0</v>
      </c>
      <c r="Q971" s="10" t="n">
        <f aca="false">IF($H971="숙박",0,IF($H971=MID(Q$1,3,20),IF($I971="",1,0.6),IF($I971=MID(Q$1,3,20),0.4,0)))</f>
        <v>1</v>
      </c>
      <c r="R971" s="10" t="n">
        <f aca="false">IF($H971="숙박",0,IF($H971=MID(R$1,3,20),IF($I971="",1,0.6),IF($I971=MID(R$1,3,20),0.4,0)))</f>
        <v>0</v>
      </c>
      <c r="S971" s="10" t="n">
        <f aca="false">IF($H971="숙박",0,IF($H971=MID(S$1,3,20),IF($I971="",1,0.6),IF($I971=MID(S$1,3,20),0.4,0)))</f>
        <v>0</v>
      </c>
      <c r="T971" s="10" t="n">
        <f aca="false">IF($H971="숙박",0,IF($H971=MID(T$1,3,20),IF($I971="",1,0.6),IF($I971=MID(T$1,3,20),0.4,0)))</f>
        <v>0</v>
      </c>
      <c r="U971" s="10" t="n">
        <f aca="false">IF($H971="숙박",0,IF(ISNUMBER(SEARCH("야경",$J971)),1,0))</f>
        <v>0</v>
      </c>
      <c r="V971" s="10" t="n">
        <f aca="false">IF($H971="숙박",0,1)</f>
        <v>1</v>
      </c>
    </row>
    <row r="972" customFormat="false" ht="15" hidden="false" customHeight="false" outlineLevel="0" collapsed="false">
      <c r="A972" s="8" t="n">
        <v>971</v>
      </c>
      <c r="B972" s="8" t="s">
        <v>45</v>
      </c>
      <c r="C972" s="8" t="s">
        <v>467</v>
      </c>
      <c r="D972" s="8" t="s">
        <v>2989</v>
      </c>
      <c r="E972" s="7" t="s">
        <v>2990</v>
      </c>
      <c r="F972" s="8"/>
      <c r="G972" s="8" t="s">
        <v>49</v>
      </c>
      <c r="H972" s="9" t="s">
        <v>49</v>
      </c>
      <c r="I972" s="9"/>
      <c r="J972" s="9" t="s">
        <v>43</v>
      </c>
      <c r="K972" s="9" t="s">
        <v>52</v>
      </c>
      <c r="L972" s="8"/>
      <c r="M972" s="8"/>
      <c r="N972" s="8"/>
      <c r="O972" s="8" t="s">
        <v>2991</v>
      </c>
      <c r="P972" s="10" t="n">
        <f aca="false">IF($H972="숙박",0,IF($H972=MID(P$1,3,20),IF($I972="",1,0.6),IF($I972=MID(P$1,3,20),0.4,0)))</f>
        <v>0</v>
      </c>
      <c r="Q972" s="10" t="n">
        <f aca="false">IF($H972="숙박",0,IF($H972=MID(Q$1,3,20),IF($I972="",1,0.6),IF($I972=MID(Q$1,3,20),0.4,0)))</f>
        <v>1</v>
      </c>
      <c r="R972" s="10" t="n">
        <f aca="false">IF($H972="숙박",0,IF($H972=MID(R$1,3,20),IF($I972="",1,0.6),IF($I972=MID(R$1,3,20),0.4,0)))</f>
        <v>0</v>
      </c>
      <c r="S972" s="10" t="n">
        <f aca="false">IF($H972="숙박",0,IF($H972=MID(S$1,3,20),IF($I972="",1,0.6),IF($I972=MID(S$1,3,20),0.4,0)))</f>
        <v>0</v>
      </c>
      <c r="T972" s="10" t="n">
        <f aca="false">IF($H972="숙박",0,IF($H972=MID(T$1,3,20),IF($I972="",1,0.6),IF($I972=MID(T$1,3,20),0.4,0)))</f>
        <v>0</v>
      </c>
      <c r="U972" s="10" t="n">
        <f aca="false">IF($H972="숙박",0,IF(ISNUMBER(SEARCH("야경",$J972)),1,0))</f>
        <v>1</v>
      </c>
      <c r="V972" s="10" t="n">
        <f aca="false">IF($H972="숙박",0,1)</f>
        <v>1</v>
      </c>
    </row>
    <row r="973" customFormat="false" ht="15" hidden="false" customHeight="false" outlineLevel="0" collapsed="false">
      <c r="A973" s="8" t="n">
        <v>972</v>
      </c>
      <c r="B973" s="8" t="s">
        <v>45</v>
      </c>
      <c r="C973" s="8" t="s">
        <v>1440</v>
      </c>
      <c r="D973" s="8" t="s">
        <v>2992</v>
      </c>
      <c r="E973" s="7" t="s">
        <v>2993</v>
      </c>
      <c r="F973" s="8"/>
      <c r="G973" s="8" t="s">
        <v>184</v>
      </c>
      <c r="H973" s="9" t="s">
        <v>184</v>
      </c>
      <c r="I973" s="9"/>
      <c r="J973" s="9"/>
      <c r="K973" s="9" t="s">
        <v>191</v>
      </c>
      <c r="L973" s="8"/>
      <c r="M973" s="8"/>
      <c r="N973" s="8"/>
      <c r="O973" s="8" t="s">
        <v>2994</v>
      </c>
      <c r="P973" s="10" t="n">
        <f aca="false">IF($H973="숙박",0,IF($H973=MID(P$1,3,20),IF($I973="",1,0.6),IF($I973=MID(P$1,3,20),0.4,0)))</f>
        <v>0</v>
      </c>
      <c r="Q973" s="10" t="n">
        <f aca="false">IF($H973="숙박",0,IF($H973=MID(Q$1,3,20),IF($I973="",1,0.6),IF($I973=MID(Q$1,3,20),0.4,0)))</f>
        <v>0</v>
      </c>
      <c r="R973" s="10" t="n">
        <f aca="false">IF($H973="숙박",0,IF($H973=MID(R$1,3,20),IF($I973="",1,0.6),IF($I973=MID(R$1,3,20),0.4,0)))</f>
        <v>1</v>
      </c>
      <c r="S973" s="10" t="n">
        <f aca="false">IF($H973="숙박",0,IF($H973=MID(S$1,3,20),IF($I973="",1,0.6),IF($I973=MID(S$1,3,20),0.4,0)))</f>
        <v>0</v>
      </c>
      <c r="T973" s="10" t="n">
        <f aca="false">IF($H973="숙박",0,IF($H973=MID(T$1,3,20),IF($I973="",1,0.6),IF($I973=MID(T$1,3,20),0.4,0)))</f>
        <v>0</v>
      </c>
      <c r="U973" s="10" t="n">
        <f aca="false">IF($H973="숙박",0,IF(ISNUMBER(SEARCH("야경",$J973)),1,0))</f>
        <v>0</v>
      </c>
      <c r="V973" s="10" t="n">
        <f aca="false">IF($H973="숙박",0,1)</f>
        <v>1</v>
      </c>
    </row>
    <row r="974" customFormat="false" ht="15" hidden="false" customHeight="false" outlineLevel="0" collapsed="false">
      <c r="A974" s="8" t="n">
        <v>973</v>
      </c>
      <c r="B974" s="8" t="s">
        <v>45</v>
      </c>
      <c r="C974" s="8" t="s">
        <v>1440</v>
      </c>
      <c r="D974" s="8" t="s">
        <v>2995</v>
      </c>
      <c r="E974" s="7" t="s">
        <v>2996</v>
      </c>
      <c r="F974" s="8"/>
      <c r="G974" s="8" t="s">
        <v>49</v>
      </c>
      <c r="H974" s="9" t="s">
        <v>49</v>
      </c>
      <c r="I974" s="9"/>
      <c r="J974" s="9"/>
      <c r="K974" s="9" t="s">
        <v>52</v>
      </c>
      <c r="L974" s="8"/>
      <c r="M974" s="8"/>
      <c r="N974" s="8"/>
      <c r="O974" s="8" t="s">
        <v>2997</v>
      </c>
      <c r="P974" s="10" t="n">
        <f aca="false">IF($H974="숙박",0,IF($H974=MID(P$1,3,20),IF($I974="",1,0.6),IF($I974=MID(P$1,3,20),0.4,0)))</f>
        <v>0</v>
      </c>
      <c r="Q974" s="10" t="n">
        <f aca="false">IF($H974="숙박",0,IF($H974=MID(Q$1,3,20),IF($I974="",1,0.6),IF($I974=MID(Q$1,3,20),0.4,0)))</f>
        <v>1</v>
      </c>
      <c r="R974" s="10" t="n">
        <f aca="false">IF($H974="숙박",0,IF($H974=MID(R$1,3,20),IF($I974="",1,0.6),IF($I974=MID(R$1,3,20),0.4,0)))</f>
        <v>0</v>
      </c>
      <c r="S974" s="10" t="n">
        <f aca="false">IF($H974="숙박",0,IF($H974=MID(S$1,3,20),IF($I974="",1,0.6),IF($I974=MID(S$1,3,20),0.4,0)))</f>
        <v>0</v>
      </c>
      <c r="T974" s="10" t="n">
        <f aca="false">IF($H974="숙박",0,IF($H974=MID(T$1,3,20),IF($I974="",1,0.6),IF($I974=MID(T$1,3,20),0.4,0)))</f>
        <v>0</v>
      </c>
      <c r="U974" s="10" t="n">
        <f aca="false">IF($H974="숙박",0,IF(ISNUMBER(SEARCH("야경",$J974)),1,0))</f>
        <v>0</v>
      </c>
      <c r="V974" s="10" t="n">
        <f aca="false">IF($H974="숙박",0,1)</f>
        <v>1</v>
      </c>
    </row>
    <row r="975" customFormat="false" ht="15" hidden="false" customHeight="false" outlineLevel="0" collapsed="false">
      <c r="A975" s="8" t="n">
        <v>974</v>
      </c>
      <c r="B975" s="8" t="s">
        <v>45</v>
      </c>
      <c r="C975" s="8" t="s">
        <v>342</v>
      </c>
      <c r="D975" s="8" t="s">
        <v>2998</v>
      </c>
      <c r="E975" s="7" t="s">
        <v>2999</v>
      </c>
      <c r="F975" s="8"/>
      <c r="G975" s="8" t="s">
        <v>49</v>
      </c>
      <c r="H975" s="9" t="s">
        <v>49</v>
      </c>
      <c r="I975" s="9"/>
      <c r="J975" s="9"/>
      <c r="K975" s="9" t="s">
        <v>52</v>
      </c>
      <c r="L975" s="8"/>
      <c r="M975" s="8"/>
      <c r="N975" s="8"/>
      <c r="O975" s="8" t="s">
        <v>3000</v>
      </c>
      <c r="P975" s="10" t="n">
        <f aca="false">IF($H975="숙박",0,IF($H975=MID(P$1,3,20),IF($I975="",1,0.6),IF($I975=MID(P$1,3,20),0.4,0)))</f>
        <v>0</v>
      </c>
      <c r="Q975" s="10" t="n">
        <f aca="false">IF($H975="숙박",0,IF($H975=MID(Q$1,3,20),IF($I975="",1,0.6),IF($I975=MID(Q$1,3,20),0.4,0)))</f>
        <v>1</v>
      </c>
      <c r="R975" s="10" t="n">
        <f aca="false">IF($H975="숙박",0,IF($H975=MID(R$1,3,20),IF($I975="",1,0.6),IF($I975=MID(R$1,3,20),0.4,0)))</f>
        <v>0</v>
      </c>
      <c r="S975" s="10" t="n">
        <f aca="false">IF($H975="숙박",0,IF($H975=MID(S$1,3,20),IF($I975="",1,0.6),IF($I975=MID(S$1,3,20),0.4,0)))</f>
        <v>0</v>
      </c>
      <c r="T975" s="10" t="n">
        <f aca="false">IF($H975="숙박",0,IF($H975=MID(T$1,3,20),IF($I975="",1,0.6),IF($I975=MID(T$1,3,20),0.4,0)))</f>
        <v>0</v>
      </c>
      <c r="U975" s="10" t="n">
        <f aca="false">IF($H975="숙박",0,IF(ISNUMBER(SEARCH("야경",$J975)),1,0))</f>
        <v>0</v>
      </c>
      <c r="V975" s="10" t="n">
        <f aca="false">IF($H975="숙박",0,1)</f>
        <v>1</v>
      </c>
    </row>
    <row r="976" customFormat="false" ht="15" hidden="false" customHeight="false" outlineLevel="0" collapsed="false">
      <c r="A976" s="8" t="n">
        <v>975</v>
      </c>
      <c r="B976" s="8" t="s">
        <v>45</v>
      </c>
      <c r="C976" s="8" t="s">
        <v>1363</v>
      </c>
      <c r="D976" s="8" t="s">
        <v>3001</v>
      </c>
      <c r="E976" s="7" t="s">
        <v>3002</v>
      </c>
      <c r="F976" s="8"/>
      <c r="G976" s="8" t="s">
        <v>184</v>
      </c>
      <c r="H976" s="9" t="s">
        <v>184</v>
      </c>
      <c r="I976" s="9"/>
      <c r="J976" s="9"/>
      <c r="K976" s="9" t="s">
        <v>191</v>
      </c>
      <c r="L976" s="8"/>
      <c r="M976" s="8"/>
      <c r="N976" s="8"/>
      <c r="O976" s="8" t="s">
        <v>3003</v>
      </c>
      <c r="P976" s="10" t="n">
        <f aca="false">IF($H976="숙박",0,IF($H976=MID(P$1,3,20),IF($I976="",1,0.6),IF($I976=MID(P$1,3,20),0.4,0)))</f>
        <v>0</v>
      </c>
      <c r="Q976" s="10" t="n">
        <f aca="false">IF($H976="숙박",0,IF($H976=MID(Q$1,3,20),IF($I976="",1,0.6),IF($I976=MID(Q$1,3,20),0.4,0)))</f>
        <v>0</v>
      </c>
      <c r="R976" s="10" t="n">
        <f aca="false">IF($H976="숙박",0,IF($H976=MID(R$1,3,20),IF($I976="",1,0.6),IF($I976=MID(R$1,3,20),0.4,0)))</f>
        <v>1</v>
      </c>
      <c r="S976" s="10" t="n">
        <f aca="false">IF($H976="숙박",0,IF($H976=MID(S$1,3,20),IF($I976="",1,0.6),IF($I976=MID(S$1,3,20),0.4,0)))</f>
        <v>0</v>
      </c>
      <c r="T976" s="10" t="n">
        <f aca="false">IF($H976="숙박",0,IF($H976=MID(T$1,3,20),IF($I976="",1,0.6),IF($I976=MID(T$1,3,20),0.4,0)))</f>
        <v>0</v>
      </c>
      <c r="U976" s="10" t="n">
        <f aca="false">IF($H976="숙박",0,IF(ISNUMBER(SEARCH("야경",$J976)),1,0))</f>
        <v>0</v>
      </c>
      <c r="V976" s="10" t="n">
        <f aca="false">IF($H976="숙박",0,1)</f>
        <v>1</v>
      </c>
    </row>
    <row r="977" customFormat="false" ht="15" hidden="false" customHeight="false" outlineLevel="0" collapsed="false">
      <c r="A977" s="8" t="n">
        <v>976</v>
      </c>
      <c r="B977" s="8" t="s">
        <v>45</v>
      </c>
      <c r="C977" s="8" t="s">
        <v>1600</v>
      </c>
      <c r="D977" s="8" t="s">
        <v>3004</v>
      </c>
      <c r="E977" s="7" t="s">
        <v>3005</v>
      </c>
      <c r="F977" s="8"/>
      <c r="G977" s="8" t="s">
        <v>49</v>
      </c>
      <c r="H977" s="9" t="s">
        <v>49</v>
      </c>
      <c r="I977" s="9"/>
      <c r="J977" s="9"/>
      <c r="K977" s="9" t="s">
        <v>52</v>
      </c>
      <c r="L977" s="8"/>
      <c r="M977" s="8"/>
      <c r="N977" s="8"/>
      <c r="O977" s="8" t="s">
        <v>3006</v>
      </c>
      <c r="P977" s="10" t="n">
        <f aca="false">IF($H977="숙박",0,IF($H977=MID(P$1,3,20),IF($I977="",1,0.6),IF($I977=MID(P$1,3,20),0.4,0)))</f>
        <v>0</v>
      </c>
      <c r="Q977" s="10" t="n">
        <f aca="false">IF($H977="숙박",0,IF($H977=MID(Q$1,3,20),IF($I977="",1,0.6),IF($I977=MID(Q$1,3,20),0.4,0)))</f>
        <v>1</v>
      </c>
      <c r="R977" s="10" t="n">
        <f aca="false">IF($H977="숙박",0,IF($H977=MID(R$1,3,20),IF($I977="",1,0.6),IF($I977=MID(R$1,3,20),0.4,0)))</f>
        <v>0</v>
      </c>
      <c r="S977" s="10" t="n">
        <f aca="false">IF($H977="숙박",0,IF($H977=MID(S$1,3,20),IF($I977="",1,0.6),IF($I977=MID(S$1,3,20),0.4,0)))</f>
        <v>0</v>
      </c>
      <c r="T977" s="10" t="n">
        <f aca="false">IF($H977="숙박",0,IF($H977=MID(T$1,3,20),IF($I977="",1,0.6),IF($I977=MID(T$1,3,20),0.4,0)))</f>
        <v>0</v>
      </c>
      <c r="U977" s="10" t="n">
        <f aca="false">IF($H977="숙박",0,IF(ISNUMBER(SEARCH("야경",$J977)),1,0))</f>
        <v>0</v>
      </c>
      <c r="V977" s="10" t="n">
        <f aca="false">IF($H977="숙박",0,1)</f>
        <v>1</v>
      </c>
    </row>
    <row r="978" customFormat="false" ht="15" hidden="false" customHeight="false" outlineLevel="0" collapsed="false">
      <c r="A978" s="8" t="n">
        <v>977</v>
      </c>
      <c r="B978" s="8" t="s">
        <v>45</v>
      </c>
      <c r="C978" s="8"/>
      <c r="D978" s="8" t="s">
        <v>3007</v>
      </c>
      <c r="E978" s="7" t="s">
        <v>3008</v>
      </c>
      <c r="F978" s="8"/>
      <c r="G978" s="8"/>
      <c r="H978" s="9" t="s">
        <v>594</v>
      </c>
      <c r="I978" s="9"/>
      <c r="J978" s="9"/>
      <c r="K978" s="9"/>
      <c r="L978" s="8"/>
      <c r="M978" s="8"/>
      <c r="N978" s="8" t="s">
        <v>595</v>
      </c>
      <c r="O978" s="8"/>
      <c r="P978" s="10" t="n">
        <f aca="false">IF($H978="숙박",0,IF($H978=MID(P$1,3,20),IF($I978="",1,0.6),IF($I978=MID(P$1,3,20),0.4,0)))</f>
        <v>0</v>
      </c>
      <c r="Q978" s="10" t="n">
        <f aca="false">IF($H978="숙박",0,IF($H978=MID(Q$1,3,20),IF($I978="",1,0.6),IF($I978=MID(Q$1,3,20),0.4,0)))</f>
        <v>0</v>
      </c>
      <c r="R978" s="10" t="n">
        <f aca="false">IF($H978="숙박",0,IF($H978=MID(R$1,3,20),IF($I978="",1,0.6),IF($I978=MID(R$1,3,20),0.4,0)))</f>
        <v>0</v>
      </c>
      <c r="S978" s="10" t="n">
        <f aca="false">IF($H978="숙박",0,IF($H978=MID(S$1,3,20),IF($I978="",1,0.6),IF($I978=MID(S$1,3,20),0.4,0)))</f>
        <v>0</v>
      </c>
      <c r="T978" s="10" t="n">
        <f aca="false">IF($H978="숙박",0,IF($H978=MID(T$1,3,20),IF($I978="",1,0.6),IF($I978=MID(T$1,3,20),0.4,0)))</f>
        <v>0</v>
      </c>
      <c r="U978" s="10" t="n">
        <f aca="false">IF($H978="숙박",0,IF(ISNUMBER(SEARCH("야경",$J978)),1,0))</f>
        <v>0</v>
      </c>
      <c r="V978" s="10" t="n">
        <f aca="false">IF($H978="숙박",0,1)</f>
        <v>0</v>
      </c>
    </row>
    <row r="979" customFormat="false" ht="15" hidden="false" customHeight="false" outlineLevel="0" collapsed="false">
      <c r="A979" s="8" t="n">
        <v>978</v>
      </c>
      <c r="B979" s="8" t="s">
        <v>45</v>
      </c>
      <c r="C979" s="8" t="s">
        <v>2507</v>
      </c>
      <c r="D979" s="8" t="s">
        <v>3009</v>
      </c>
      <c r="E979" s="7" t="s">
        <v>3010</v>
      </c>
      <c r="F979" s="8"/>
      <c r="G979" s="8" t="s">
        <v>190</v>
      </c>
      <c r="H979" s="9" t="s">
        <v>190</v>
      </c>
      <c r="I979" s="9"/>
      <c r="J979" s="9"/>
      <c r="K979" s="9" t="s">
        <v>191</v>
      </c>
      <c r="L979" s="8"/>
      <c r="M979" s="8"/>
      <c r="N979" s="8"/>
      <c r="O979" s="8" t="s">
        <v>3011</v>
      </c>
      <c r="P979" s="10" t="n">
        <f aca="false">IF($H979="숙박",0,IF($H979=MID(P$1,3,20),IF($I979="",1,0.6),IF($I979=MID(P$1,3,20),0.4,0)))</f>
        <v>1</v>
      </c>
      <c r="Q979" s="10" t="n">
        <f aca="false">IF($H979="숙박",0,IF($H979=MID(Q$1,3,20),IF($I979="",1,0.6),IF($I979=MID(Q$1,3,20),0.4,0)))</f>
        <v>0</v>
      </c>
      <c r="R979" s="10" t="n">
        <f aca="false">IF($H979="숙박",0,IF($H979=MID(R$1,3,20),IF($I979="",1,0.6),IF($I979=MID(R$1,3,20),0.4,0)))</f>
        <v>0</v>
      </c>
      <c r="S979" s="10" t="n">
        <f aca="false">IF($H979="숙박",0,IF($H979=MID(S$1,3,20),IF($I979="",1,0.6),IF($I979=MID(S$1,3,20),0.4,0)))</f>
        <v>0</v>
      </c>
      <c r="T979" s="10" t="n">
        <f aca="false">IF($H979="숙박",0,IF($H979=MID(T$1,3,20),IF($I979="",1,0.6),IF($I979=MID(T$1,3,20),0.4,0)))</f>
        <v>0</v>
      </c>
      <c r="U979" s="10" t="n">
        <f aca="false">IF($H979="숙박",0,IF(ISNUMBER(SEARCH("야경",$J979)),1,0))</f>
        <v>0</v>
      </c>
      <c r="V979" s="10" t="n">
        <f aca="false">IF($H979="숙박",0,1)</f>
        <v>1</v>
      </c>
    </row>
    <row r="980" customFormat="false" ht="15" hidden="false" customHeight="false" outlineLevel="0" collapsed="false">
      <c r="A980" s="8" t="n">
        <v>979</v>
      </c>
      <c r="B980" s="8" t="s">
        <v>45</v>
      </c>
      <c r="C980" s="8" t="s">
        <v>376</v>
      </c>
      <c r="D980" s="8" t="s">
        <v>3012</v>
      </c>
      <c r="E980" s="7" t="s">
        <v>3013</v>
      </c>
      <c r="F980" s="8"/>
      <c r="G980" s="8" t="s">
        <v>184</v>
      </c>
      <c r="H980" s="9" t="s">
        <v>184</v>
      </c>
      <c r="I980" s="9" t="s">
        <v>50</v>
      </c>
      <c r="J980" s="9" t="s">
        <v>168</v>
      </c>
      <c r="K980" s="9" t="s">
        <v>52</v>
      </c>
      <c r="L980" s="8"/>
      <c r="M980" s="8"/>
      <c r="N980" s="8" t="s">
        <v>185</v>
      </c>
      <c r="O980" s="8" t="s">
        <v>3014</v>
      </c>
      <c r="P980" s="10" t="n">
        <f aca="false">IF($H980="숙박",0,IF($H980=MID(P$1,3,20),IF($I980="",1,0.6),IF($I980=MID(P$1,3,20),0.4,0)))</f>
        <v>0</v>
      </c>
      <c r="Q980" s="10" t="n">
        <f aca="false">IF($H980="숙박",0,IF($H980=MID(Q$1,3,20),IF($I980="",1,0.6),IF($I980=MID(Q$1,3,20),0.4,0)))</f>
        <v>0</v>
      </c>
      <c r="R980" s="10" t="n">
        <f aca="false">IF($H980="숙박",0,IF($H980=MID(R$1,3,20),IF($I980="",1,0.6),IF($I980=MID(R$1,3,20),0.4,0)))</f>
        <v>0.6</v>
      </c>
      <c r="S980" s="10" t="n">
        <f aca="false">IF($H980="숙박",0,IF($H980=MID(S$1,3,20),IF($I980="",1,0.6),IF($I980=MID(S$1,3,20),0.4,0)))</f>
        <v>0</v>
      </c>
      <c r="T980" s="10" t="n">
        <f aca="false">IF($H980="숙박",0,IF($H980=MID(T$1,3,20),IF($I980="",1,0.6),IF($I980=MID(T$1,3,20),0.4,0)))</f>
        <v>0.4</v>
      </c>
      <c r="U980" s="10" t="n">
        <f aca="false">IF($H980="숙박",0,IF(ISNUMBER(SEARCH("야경",$J980)),1,0))</f>
        <v>0</v>
      </c>
      <c r="V980" s="10" t="n">
        <f aca="false">IF($H980="숙박",0,1)</f>
        <v>1</v>
      </c>
    </row>
    <row r="981" customFormat="false" ht="15" hidden="false" customHeight="false" outlineLevel="0" collapsed="false">
      <c r="A981" s="8" t="n">
        <v>980</v>
      </c>
      <c r="B981" s="8" t="s">
        <v>45</v>
      </c>
      <c r="C981" s="8" t="s">
        <v>369</v>
      </c>
      <c r="D981" s="8" t="s">
        <v>3015</v>
      </c>
      <c r="E981" s="7" t="s">
        <v>3016</v>
      </c>
      <c r="F981" s="8"/>
      <c r="G981" s="8" t="s">
        <v>49</v>
      </c>
      <c r="H981" s="9" t="s">
        <v>49</v>
      </c>
      <c r="I981" s="9"/>
      <c r="J981" s="9"/>
      <c r="K981" s="9" t="s">
        <v>52</v>
      </c>
      <c r="L981" s="8"/>
      <c r="M981" s="8"/>
      <c r="N981" s="8"/>
      <c r="O981" s="8" t="s">
        <v>3017</v>
      </c>
      <c r="P981" s="10" t="n">
        <f aca="false">IF($H981="숙박",0,IF($H981=MID(P$1,3,20),IF($I981="",1,0.6),IF($I981=MID(P$1,3,20),0.4,0)))</f>
        <v>0</v>
      </c>
      <c r="Q981" s="10" t="n">
        <f aca="false">IF($H981="숙박",0,IF($H981=MID(Q$1,3,20),IF($I981="",1,0.6),IF($I981=MID(Q$1,3,20),0.4,0)))</f>
        <v>1</v>
      </c>
      <c r="R981" s="10" t="n">
        <f aca="false">IF($H981="숙박",0,IF($H981=MID(R$1,3,20),IF($I981="",1,0.6),IF($I981=MID(R$1,3,20),0.4,0)))</f>
        <v>0</v>
      </c>
      <c r="S981" s="10" t="n">
        <f aca="false">IF($H981="숙박",0,IF($H981=MID(S$1,3,20),IF($I981="",1,0.6),IF($I981=MID(S$1,3,20),0.4,0)))</f>
        <v>0</v>
      </c>
      <c r="T981" s="10" t="n">
        <f aca="false">IF($H981="숙박",0,IF($H981=MID(T$1,3,20),IF($I981="",1,0.6),IF($I981=MID(T$1,3,20),0.4,0)))</f>
        <v>0</v>
      </c>
      <c r="U981" s="10" t="n">
        <f aca="false">IF($H981="숙박",0,IF(ISNUMBER(SEARCH("야경",$J981)),1,0))</f>
        <v>0</v>
      </c>
      <c r="V981" s="10" t="n">
        <f aca="false">IF($H981="숙박",0,1)</f>
        <v>1</v>
      </c>
    </row>
    <row r="982" customFormat="false" ht="15" hidden="false" customHeight="false" outlineLevel="0" collapsed="false">
      <c r="A982" s="8" t="n">
        <v>981</v>
      </c>
      <c r="B982" s="8" t="s">
        <v>45</v>
      </c>
      <c r="C982" s="8" t="s">
        <v>369</v>
      </c>
      <c r="D982" s="8" t="s">
        <v>3018</v>
      </c>
      <c r="E982" s="7" t="s">
        <v>3019</v>
      </c>
      <c r="F982" s="8"/>
      <c r="G982" s="8" t="s">
        <v>184</v>
      </c>
      <c r="H982" s="9" t="s">
        <v>184</v>
      </c>
      <c r="I982" s="9"/>
      <c r="J982" s="9" t="s">
        <v>43</v>
      </c>
      <c r="K982" s="9" t="s">
        <v>191</v>
      </c>
      <c r="L982" s="8"/>
      <c r="M982" s="8"/>
      <c r="N982" s="8"/>
      <c r="O982" s="8" t="s">
        <v>3020</v>
      </c>
      <c r="P982" s="10" t="n">
        <f aca="false">IF($H982="숙박",0,IF($H982=MID(P$1,3,20),IF($I982="",1,0.6),IF($I982=MID(P$1,3,20),0.4,0)))</f>
        <v>0</v>
      </c>
      <c r="Q982" s="10" t="n">
        <f aca="false">IF($H982="숙박",0,IF($H982=MID(Q$1,3,20),IF($I982="",1,0.6),IF($I982=MID(Q$1,3,20),0.4,0)))</f>
        <v>0</v>
      </c>
      <c r="R982" s="10" t="n">
        <f aca="false">IF($H982="숙박",0,IF($H982=MID(R$1,3,20),IF($I982="",1,0.6),IF($I982=MID(R$1,3,20),0.4,0)))</f>
        <v>1</v>
      </c>
      <c r="S982" s="10" t="n">
        <f aca="false">IF($H982="숙박",0,IF($H982=MID(S$1,3,20),IF($I982="",1,0.6),IF($I982=MID(S$1,3,20),0.4,0)))</f>
        <v>0</v>
      </c>
      <c r="T982" s="10" t="n">
        <f aca="false">IF($H982="숙박",0,IF($H982=MID(T$1,3,20),IF($I982="",1,0.6),IF($I982=MID(T$1,3,20),0.4,0)))</f>
        <v>0</v>
      </c>
      <c r="U982" s="10" t="n">
        <f aca="false">IF($H982="숙박",0,IF(ISNUMBER(SEARCH("야경",$J982)),1,0))</f>
        <v>1</v>
      </c>
      <c r="V982" s="10" t="n">
        <f aca="false">IF($H982="숙박",0,1)</f>
        <v>1</v>
      </c>
    </row>
    <row r="983" customFormat="false" ht="15" hidden="false" customHeight="false" outlineLevel="0" collapsed="false">
      <c r="A983" s="8" t="n">
        <v>982</v>
      </c>
      <c r="B983" s="8" t="s">
        <v>45</v>
      </c>
      <c r="C983" s="8" t="s">
        <v>369</v>
      </c>
      <c r="D983" s="8" t="s">
        <v>3021</v>
      </c>
      <c r="E983" s="7" t="s">
        <v>3022</v>
      </c>
      <c r="F983" s="8"/>
      <c r="G983" s="8" t="s">
        <v>190</v>
      </c>
      <c r="H983" s="9" t="s">
        <v>190</v>
      </c>
      <c r="I983" s="9"/>
      <c r="J983" s="9" t="s">
        <v>1361</v>
      </c>
      <c r="K983" s="9" t="s">
        <v>191</v>
      </c>
      <c r="L983" s="8"/>
      <c r="M983" s="8"/>
      <c r="N983" s="8"/>
      <c r="O983" s="8" t="s">
        <v>3023</v>
      </c>
      <c r="P983" s="10" t="n">
        <f aca="false">IF($H983="숙박",0,IF($H983=MID(P$1,3,20),IF($I983="",1,0.6),IF($I983=MID(P$1,3,20),0.4,0)))</f>
        <v>1</v>
      </c>
      <c r="Q983" s="10" t="n">
        <f aca="false">IF($H983="숙박",0,IF($H983=MID(Q$1,3,20),IF($I983="",1,0.6),IF($I983=MID(Q$1,3,20),0.4,0)))</f>
        <v>0</v>
      </c>
      <c r="R983" s="10" t="n">
        <f aca="false">IF($H983="숙박",0,IF($H983=MID(R$1,3,20),IF($I983="",1,0.6),IF($I983=MID(R$1,3,20),0.4,0)))</f>
        <v>0</v>
      </c>
      <c r="S983" s="10" t="n">
        <f aca="false">IF($H983="숙박",0,IF($H983=MID(S$1,3,20),IF($I983="",1,0.6),IF($I983=MID(S$1,3,20),0.4,0)))</f>
        <v>0</v>
      </c>
      <c r="T983" s="10" t="n">
        <f aca="false">IF($H983="숙박",0,IF($H983=MID(T$1,3,20),IF($I983="",1,0.6),IF($I983=MID(T$1,3,20),0.4,0)))</f>
        <v>0</v>
      </c>
      <c r="U983" s="10" t="n">
        <f aca="false">IF($H983="숙박",0,IF(ISNUMBER(SEARCH("야경",$J983)),1,0))</f>
        <v>0</v>
      </c>
      <c r="V983" s="10" t="n">
        <f aca="false">IF($H983="숙박",0,1)</f>
        <v>1</v>
      </c>
    </row>
    <row r="984" customFormat="false" ht="15" hidden="false" customHeight="false" outlineLevel="0" collapsed="false">
      <c r="A984" s="8" t="n">
        <v>983</v>
      </c>
      <c r="B984" s="8" t="s">
        <v>45</v>
      </c>
      <c r="C984" s="8" t="s">
        <v>317</v>
      </c>
      <c r="D984" s="8" t="s">
        <v>3024</v>
      </c>
      <c r="E984" s="7" t="s">
        <v>3025</v>
      </c>
      <c r="F984" s="8"/>
      <c r="G984" s="8" t="s">
        <v>50</v>
      </c>
      <c r="H984" s="9" t="s">
        <v>50</v>
      </c>
      <c r="I984" s="9" t="s">
        <v>49</v>
      </c>
      <c r="J984" s="9" t="s">
        <v>168</v>
      </c>
      <c r="K984" s="9" t="s">
        <v>52</v>
      </c>
      <c r="L984" s="8"/>
      <c r="M984" s="8"/>
      <c r="N984" s="8" t="s">
        <v>483</v>
      </c>
      <c r="O984" s="8" t="s">
        <v>3026</v>
      </c>
      <c r="P984" s="10" t="n">
        <f aca="false">IF($H984="숙박",0,IF($H984=MID(P$1,3,20),IF($I984="",1,0.6),IF($I984=MID(P$1,3,20),0.4,0)))</f>
        <v>0</v>
      </c>
      <c r="Q984" s="10" t="n">
        <f aca="false">IF($H984="숙박",0,IF($H984=MID(Q$1,3,20),IF($I984="",1,0.6),IF($I984=MID(Q$1,3,20),0.4,0)))</f>
        <v>0.4</v>
      </c>
      <c r="R984" s="10" t="n">
        <f aca="false">IF($H984="숙박",0,IF($H984=MID(R$1,3,20),IF($I984="",1,0.6),IF($I984=MID(R$1,3,20),0.4,0)))</f>
        <v>0</v>
      </c>
      <c r="S984" s="10" t="n">
        <f aca="false">IF($H984="숙박",0,IF($H984=MID(S$1,3,20),IF($I984="",1,0.6),IF($I984=MID(S$1,3,20),0.4,0)))</f>
        <v>0</v>
      </c>
      <c r="T984" s="10" t="n">
        <f aca="false">IF($H984="숙박",0,IF($H984=MID(T$1,3,20),IF($I984="",1,0.6),IF($I984=MID(T$1,3,20),0.4,0)))</f>
        <v>0.6</v>
      </c>
      <c r="U984" s="10" t="n">
        <f aca="false">IF($H984="숙박",0,IF(ISNUMBER(SEARCH("야경",$J984)),1,0))</f>
        <v>0</v>
      </c>
      <c r="V984" s="10" t="n">
        <f aca="false">IF($H984="숙박",0,1)</f>
        <v>1</v>
      </c>
    </row>
    <row r="985" customFormat="false" ht="15" hidden="false" customHeight="false" outlineLevel="0" collapsed="false">
      <c r="A985" s="8" t="n">
        <v>984</v>
      </c>
      <c r="B985" s="8" t="s">
        <v>45</v>
      </c>
      <c r="C985" s="8" t="s">
        <v>1785</v>
      </c>
      <c r="D985" s="8" t="s">
        <v>3027</v>
      </c>
      <c r="E985" s="7" t="s">
        <v>3028</v>
      </c>
      <c r="F985" s="8"/>
      <c r="G985" s="8" t="s">
        <v>49</v>
      </c>
      <c r="H985" s="9" t="s">
        <v>49</v>
      </c>
      <c r="I985" s="9"/>
      <c r="J985" s="9"/>
      <c r="K985" s="9" t="s">
        <v>52</v>
      </c>
      <c r="L985" s="8"/>
      <c r="M985" s="8"/>
      <c r="N985" s="8"/>
      <c r="O985" s="8" t="s">
        <v>3029</v>
      </c>
      <c r="P985" s="10" t="n">
        <f aca="false">IF($H985="숙박",0,IF($H985=MID(P$1,3,20),IF($I985="",1,0.6),IF($I985=MID(P$1,3,20),0.4,0)))</f>
        <v>0</v>
      </c>
      <c r="Q985" s="10" t="n">
        <f aca="false">IF($H985="숙박",0,IF($H985=MID(Q$1,3,20),IF($I985="",1,0.6),IF($I985=MID(Q$1,3,20),0.4,0)))</f>
        <v>1</v>
      </c>
      <c r="R985" s="10" t="n">
        <f aca="false">IF($H985="숙박",0,IF($H985=MID(R$1,3,20),IF($I985="",1,0.6),IF($I985=MID(R$1,3,20),0.4,0)))</f>
        <v>0</v>
      </c>
      <c r="S985" s="10" t="n">
        <f aca="false">IF($H985="숙박",0,IF($H985=MID(S$1,3,20),IF($I985="",1,0.6),IF($I985=MID(S$1,3,20),0.4,0)))</f>
        <v>0</v>
      </c>
      <c r="T985" s="10" t="n">
        <f aca="false">IF($H985="숙박",0,IF($H985=MID(T$1,3,20),IF($I985="",1,0.6),IF($I985=MID(T$1,3,20),0.4,0)))</f>
        <v>0</v>
      </c>
      <c r="U985" s="10" t="n">
        <f aca="false">IF($H985="숙박",0,IF(ISNUMBER(SEARCH("야경",$J985)),1,0))</f>
        <v>0</v>
      </c>
      <c r="V985" s="10" t="n">
        <f aca="false">IF($H985="숙박",0,1)</f>
        <v>1</v>
      </c>
    </row>
    <row r="986" customFormat="false" ht="15" hidden="false" customHeight="false" outlineLevel="0" collapsed="false">
      <c r="A986" s="8" t="n">
        <v>985</v>
      </c>
      <c r="B986" s="8" t="s">
        <v>45</v>
      </c>
      <c r="C986" s="8" t="s">
        <v>2177</v>
      </c>
      <c r="D986" s="8" t="s">
        <v>3030</v>
      </c>
      <c r="E986" s="7" t="s">
        <v>3031</v>
      </c>
      <c r="F986" s="8"/>
      <c r="G986" s="8" t="s">
        <v>49</v>
      </c>
      <c r="H986" s="9" t="s">
        <v>49</v>
      </c>
      <c r="I986" s="9" t="s">
        <v>190</v>
      </c>
      <c r="J986" s="9"/>
      <c r="K986" s="9" t="s">
        <v>52</v>
      </c>
      <c r="L986" s="8"/>
      <c r="M986" s="8"/>
      <c r="N986" s="8" t="s">
        <v>483</v>
      </c>
      <c r="O986" s="8" t="s">
        <v>3032</v>
      </c>
      <c r="P986" s="10" t="n">
        <f aca="false">IF($H986="숙박",0,IF($H986=MID(P$1,3,20),IF($I986="",1,0.6),IF($I986=MID(P$1,3,20),0.4,0)))</f>
        <v>0.4</v>
      </c>
      <c r="Q986" s="10" t="n">
        <f aca="false">IF($H986="숙박",0,IF($H986=MID(Q$1,3,20),IF($I986="",1,0.6),IF($I986=MID(Q$1,3,20),0.4,0)))</f>
        <v>0.6</v>
      </c>
      <c r="R986" s="10" t="n">
        <f aca="false">IF($H986="숙박",0,IF($H986=MID(R$1,3,20),IF($I986="",1,0.6),IF($I986=MID(R$1,3,20),0.4,0)))</f>
        <v>0</v>
      </c>
      <c r="S986" s="10" t="n">
        <f aca="false">IF($H986="숙박",0,IF($H986=MID(S$1,3,20),IF($I986="",1,0.6),IF($I986=MID(S$1,3,20),0.4,0)))</f>
        <v>0</v>
      </c>
      <c r="T986" s="10" t="n">
        <f aca="false">IF($H986="숙박",0,IF($H986=MID(T$1,3,20),IF($I986="",1,0.6),IF($I986=MID(T$1,3,20),0.4,0)))</f>
        <v>0</v>
      </c>
      <c r="U986" s="10" t="n">
        <f aca="false">IF($H986="숙박",0,IF(ISNUMBER(SEARCH("야경",$J986)),1,0))</f>
        <v>0</v>
      </c>
      <c r="V986" s="10" t="n">
        <f aca="false">IF($H986="숙박",0,1)</f>
        <v>1</v>
      </c>
    </row>
    <row r="987" customFormat="false" ht="15" hidden="false" customHeight="false" outlineLevel="0" collapsed="false">
      <c r="A987" s="8" t="n">
        <v>986</v>
      </c>
      <c r="B987" s="8" t="s">
        <v>45</v>
      </c>
      <c r="C987" s="8" t="s">
        <v>1508</v>
      </c>
      <c r="D987" s="8" t="s">
        <v>3033</v>
      </c>
      <c r="E987" s="7" t="s">
        <v>3034</v>
      </c>
      <c r="F987" s="8"/>
      <c r="G987" s="8" t="s">
        <v>184</v>
      </c>
      <c r="H987" s="9" t="s">
        <v>184</v>
      </c>
      <c r="I987" s="9"/>
      <c r="J987" s="9"/>
      <c r="K987" s="9" t="s">
        <v>191</v>
      </c>
      <c r="L987" s="8"/>
      <c r="M987" s="8"/>
      <c r="N987" s="8"/>
      <c r="O987" s="8" t="s">
        <v>3035</v>
      </c>
      <c r="P987" s="10" t="n">
        <f aca="false">IF($H987="숙박",0,IF($H987=MID(P$1,3,20),IF($I987="",1,0.6),IF($I987=MID(P$1,3,20),0.4,0)))</f>
        <v>0</v>
      </c>
      <c r="Q987" s="10" t="n">
        <f aca="false">IF($H987="숙박",0,IF($H987=MID(Q$1,3,20),IF($I987="",1,0.6),IF($I987=MID(Q$1,3,20),0.4,0)))</f>
        <v>0</v>
      </c>
      <c r="R987" s="10" t="n">
        <f aca="false">IF($H987="숙박",0,IF($H987=MID(R$1,3,20),IF($I987="",1,0.6),IF($I987=MID(R$1,3,20),0.4,0)))</f>
        <v>1</v>
      </c>
      <c r="S987" s="10" t="n">
        <f aca="false">IF($H987="숙박",0,IF($H987=MID(S$1,3,20),IF($I987="",1,0.6),IF($I987=MID(S$1,3,20),0.4,0)))</f>
        <v>0</v>
      </c>
      <c r="T987" s="10" t="n">
        <f aca="false">IF($H987="숙박",0,IF($H987=MID(T$1,3,20),IF($I987="",1,0.6),IF($I987=MID(T$1,3,20),0.4,0)))</f>
        <v>0</v>
      </c>
      <c r="U987" s="10" t="n">
        <f aca="false">IF($H987="숙박",0,IF(ISNUMBER(SEARCH("야경",$J987)),1,0))</f>
        <v>0</v>
      </c>
      <c r="V987" s="10" t="n">
        <f aca="false">IF($H987="숙박",0,1)</f>
        <v>1</v>
      </c>
    </row>
    <row r="988" customFormat="false" ht="15" hidden="false" customHeight="false" outlineLevel="0" collapsed="false">
      <c r="A988" s="8" t="n">
        <v>987</v>
      </c>
      <c r="B988" s="8" t="s">
        <v>45</v>
      </c>
      <c r="C988" s="8"/>
      <c r="D988" s="8" t="s">
        <v>3036</v>
      </c>
      <c r="E988" s="7" t="s">
        <v>3037</v>
      </c>
      <c r="F988" s="8"/>
      <c r="G988" s="8"/>
      <c r="H988" s="9" t="s">
        <v>594</v>
      </c>
      <c r="I988" s="9"/>
      <c r="J988" s="9"/>
      <c r="K988" s="9"/>
      <c r="L988" s="8"/>
      <c r="M988" s="8"/>
      <c r="N988" s="8" t="s">
        <v>595</v>
      </c>
      <c r="O988" s="8"/>
      <c r="P988" s="10" t="n">
        <f aca="false">IF($H988="숙박",0,IF($H988=MID(P$1,3,20),IF($I988="",1,0.6),IF($I988=MID(P$1,3,20),0.4,0)))</f>
        <v>0</v>
      </c>
      <c r="Q988" s="10" t="n">
        <f aca="false">IF($H988="숙박",0,IF($H988=MID(Q$1,3,20),IF($I988="",1,0.6),IF($I988=MID(Q$1,3,20),0.4,0)))</f>
        <v>0</v>
      </c>
      <c r="R988" s="10" t="n">
        <f aca="false">IF($H988="숙박",0,IF($H988=MID(R$1,3,20),IF($I988="",1,0.6),IF($I988=MID(R$1,3,20),0.4,0)))</f>
        <v>0</v>
      </c>
      <c r="S988" s="10" t="n">
        <f aca="false">IF($H988="숙박",0,IF($H988=MID(S$1,3,20),IF($I988="",1,0.6),IF($I988=MID(S$1,3,20),0.4,0)))</f>
        <v>0</v>
      </c>
      <c r="T988" s="10" t="n">
        <f aca="false">IF($H988="숙박",0,IF($H988=MID(T$1,3,20),IF($I988="",1,0.6),IF($I988=MID(T$1,3,20),0.4,0)))</f>
        <v>0</v>
      </c>
      <c r="U988" s="10" t="n">
        <f aca="false">IF($H988="숙박",0,IF(ISNUMBER(SEARCH("야경",$J988)),1,0))</f>
        <v>0</v>
      </c>
      <c r="V988" s="10" t="n">
        <f aca="false">IF($H988="숙박",0,1)</f>
        <v>0</v>
      </c>
    </row>
    <row r="989" customFormat="false" ht="15" hidden="false" customHeight="false" outlineLevel="0" collapsed="false">
      <c r="A989" s="8" t="n">
        <v>988</v>
      </c>
      <c r="B989" s="8" t="s">
        <v>45</v>
      </c>
      <c r="C989" s="8" t="s">
        <v>2133</v>
      </c>
      <c r="D989" s="8" t="s">
        <v>3038</v>
      </c>
      <c r="E989" s="7" t="s">
        <v>3039</v>
      </c>
      <c r="F989" s="8"/>
      <c r="G989" s="8" t="s">
        <v>184</v>
      </c>
      <c r="H989" s="9" t="s">
        <v>184</v>
      </c>
      <c r="I989" s="9" t="s">
        <v>190</v>
      </c>
      <c r="J989" s="9" t="s">
        <v>1361</v>
      </c>
      <c r="K989" s="9" t="s">
        <v>191</v>
      </c>
      <c r="L989" s="8"/>
      <c r="M989" s="8"/>
      <c r="N989" s="8" t="s">
        <v>483</v>
      </c>
      <c r="O989" s="8" t="s">
        <v>3040</v>
      </c>
      <c r="P989" s="10" t="n">
        <f aca="false">IF($H989="숙박",0,IF($H989=MID(P$1,3,20),IF($I989="",1,0.6),IF($I989=MID(P$1,3,20),0.4,0)))</f>
        <v>0.4</v>
      </c>
      <c r="Q989" s="10" t="n">
        <f aca="false">IF($H989="숙박",0,IF($H989=MID(Q$1,3,20),IF($I989="",1,0.6),IF($I989=MID(Q$1,3,20),0.4,0)))</f>
        <v>0</v>
      </c>
      <c r="R989" s="10" t="n">
        <f aca="false">IF($H989="숙박",0,IF($H989=MID(R$1,3,20),IF($I989="",1,0.6),IF($I989=MID(R$1,3,20),0.4,0)))</f>
        <v>0.6</v>
      </c>
      <c r="S989" s="10" t="n">
        <f aca="false">IF($H989="숙박",0,IF($H989=MID(S$1,3,20),IF($I989="",1,0.6),IF($I989=MID(S$1,3,20),0.4,0)))</f>
        <v>0</v>
      </c>
      <c r="T989" s="10" t="n">
        <f aca="false">IF($H989="숙박",0,IF($H989=MID(T$1,3,20),IF($I989="",1,0.6),IF($I989=MID(T$1,3,20),0.4,0)))</f>
        <v>0</v>
      </c>
      <c r="U989" s="10" t="n">
        <f aca="false">IF($H989="숙박",0,IF(ISNUMBER(SEARCH("야경",$J989)),1,0))</f>
        <v>0</v>
      </c>
      <c r="V989" s="10" t="n">
        <f aca="false">IF($H989="숙박",0,1)</f>
        <v>1</v>
      </c>
    </row>
    <row r="990" customFormat="false" ht="15" hidden="false" customHeight="false" outlineLevel="0" collapsed="false">
      <c r="A990" s="8" t="n">
        <v>989</v>
      </c>
      <c r="B990" s="8" t="s">
        <v>45</v>
      </c>
      <c r="C990" s="8" t="s">
        <v>2133</v>
      </c>
      <c r="D990" s="8" t="s">
        <v>3041</v>
      </c>
      <c r="E990" s="7" t="s">
        <v>3042</v>
      </c>
      <c r="F990" s="8"/>
      <c r="G990" s="8" t="s">
        <v>216</v>
      </c>
      <c r="H990" s="9" t="s">
        <v>216</v>
      </c>
      <c r="I990" s="9"/>
      <c r="J990" s="9"/>
      <c r="K990" s="9" t="s">
        <v>52</v>
      </c>
      <c r="L990" s="8"/>
      <c r="M990" s="8"/>
      <c r="N990" s="8"/>
      <c r="O990" s="8" t="s">
        <v>3043</v>
      </c>
      <c r="P990" s="10" t="n">
        <f aca="false">IF($H990="숙박",0,IF($H990=MID(P$1,3,20),IF($I990="",1,0.6),IF($I990=MID(P$1,3,20),0.4,0)))</f>
        <v>0</v>
      </c>
      <c r="Q990" s="10" t="n">
        <f aca="false">IF($H990="숙박",0,IF($H990=MID(Q$1,3,20),IF($I990="",1,0.6),IF($I990=MID(Q$1,3,20),0.4,0)))</f>
        <v>0</v>
      </c>
      <c r="R990" s="10" t="n">
        <f aca="false">IF($H990="숙박",0,IF($H990=MID(R$1,3,20),IF($I990="",1,0.6),IF($I990=MID(R$1,3,20),0.4,0)))</f>
        <v>0</v>
      </c>
      <c r="S990" s="10" t="n">
        <f aca="false">IF($H990="숙박",0,IF($H990=MID(S$1,3,20),IF($I990="",1,0.6),IF($I990=MID(S$1,3,20),0.4,0)))</f>
        <v>1</v>
      </c>
      <c r="T990" s="10" t="n">
        <f aca="false">IF($H990="숙박",0,IF($H990=MID(T$1,3,20),IF($I990="",1,0.6),IF($I990=MID(T$1,3,20),0.4,0)))</f>
        <v>0</v>
      </c>
      <c r="U990" s="10" t="n">
        <f aca="false">IF($H990="숙박",0,IF(ISNUMBER(SEARCH("야경",$J990)),1,0))</f>
        <v>0</v>
      </c>
      <c r="V990" s="10" t="n">
        <f aca="false">IF($H990="숙박",0,1)</f>
        <v>1</v>
      </c>
    </row>
    <row r="991" customFormat="false" ht="15" hidden="false" customHeight="false" outlineLevel="0" collapsed="false">
      <c r="A991" s="8" t="n">
        <v>990</v>
      </c>
      <c r="B991" s="8" t="s">
        <v>45</v>
      </c>
      <c r="C991" s="8" t="s">
        <v>1363</v>
      </c>
      <c r="D991" s="8" t="s">
        <v>3044</v>
      </c>
      <c r="E991" s="7" t="s">
        <v>3045</v>
      </c>
      <c r="F991" s="8"/>
      <c r="G991" s="8" t="s">
        <v>49</v>
      </c>
      <c r="H991" s="9" t="s">
        <v>49</v>
      </c>
      <c r="I991" s="9"/>
      <c r="J991" s="9"/>
      <c r="K991" s="9" t="s">
        <v>52</v>
      </c>
      <c r="L991" s="8"/>
      <c r="M991" s="8"/>
      <c r="N991" s="8"/>
      <c r="O991" s="8" t="s">
        <v>3046</v>
      </c>
      <c r="P991" s="10" t="n">
        <f aca="false">IF($H991="숙박",0,IF($H991=MID(P$1,3,20),IF($I991="",1,0.6),IF($I991=MID(P$1,3,20),0.4,0)))</f>
        <v>0</v>
      </c>
      <c r="Q991" s="10" t="n">
        <f aca="false">IF($H991="숙박",0,IF($H991=MID(Q$1,3,20),IF($I991="",1,0.6),IF($I991=MID(Q$1,3,20),0.4,0)))</f>
        <v>1</v>
      </c>
      <c r="R991" s="10" t="n">
        <f aca="false">IF($H991="숙박",0,IF($H991=MID(R$1,3,20),IF($I991="",1,0.6),IF($I991=MID(R$1,3,20),0.4,0)))</f>
        <v>0</v>
      </c>
      <c r="S991" s="10" t="n">
        <f aca="false">IF($H991="숙박",0,IF($H991=MID(S$1,3,20),IF($I991="",1,0.6),IF($I991=MID(S$1,3,20),0.4,0)))</f>
        <v>0</v>
      </c>
      <c r="T991" s="10" t="n">
        <f aca="false">IF($H991="숙박",0,IF($H991=MID(T$1,3,20),IF($I991="",1,0.6),IF($I991=MID(T$1,3,20),0.4,0)))</f>
        <v>0</v>
      </c>
      <c r="U991" s="10" t="n">
        <f aca="false">IF($H991="숙박",0,IF(ISNUMBER(SEARCH("야경",$J991)),1,0))</f>
        <v>0</v>
      </c>
      <c r="V991" s="10" t="n">
        <f aca="false">IF($H991="숙박",0,1)</f>
        <v>1</v>
      </c>
    </row>
    <row r="992" customFormat="false" ht="15" hidden="false" customHeight="false" outlineLevel="0" collapsed="false">
      <c r="A992" s="8" t="n">
        <v>991</v>
      </c>
      <c r="B992" s="8" t="s">
        <v>45</v>
      </c>
      <c r="C992" s="8" t="s">
        <v>1448</v>
      </c>
      <c r="D992" s="8" t="s">
        <v>3047</v>
      </c>
      <c r="E992" s="7" t="s">
        <v>3048</v>
      </c>
      <c r="F992" s="8"/>
      <c r="G992" s="8" t="s">
        <v>49</v>
      </c>
      <c r="H992" s="9" t="s">
        <v>49</v>
      </c>
      <c r="I992" s="9" t="s">
        <v>184</v>
      </c>
      <c r="J992" s="9"/>
      <c r="K992" s="9" t="s">
        <v>52</v>
      </c>
      <c r="L992" s="8"/>
      <c r="M992" s="8"/>
      <c r="N992" s="8" t="s">
        <v>483</v>
      </c>
      <c r="O992" s="8" t="s">
        <v>3049</v>
      </c>
      <c r="P992" s="10" t="n">
        <f aca="false">IF($H992="숙박",0,IF($H992=MID(P$1,3,20),IF($I992="",1,0.6),IF($I992=MID(P$1,3,20),0.4,0)))</f>
        <v>0</v>
      </c>
      <c r="Q992" s="10" t="n">
        <f aca="false">IF($H992="숙박",0,IF($H992=MID(Q$1,3,20),IF($I992="",1,0.6),IF($I992=MID(Q$1,3,20),0.4,0)))</f>
        <v>0.6</v>
      </c>
      <c r="R992" s="10" t="n">
        <f aca="false">IF($H992="숙박",0,IF($H992=MID(R$1,3,20),IF($I992="",1,0.6),IF($I992=MID(R$1,3,20),0.4,0)))</f>
        <v>0.4</v>
      </c>
      <c r="S992" s="10" t="n">
        <f aca="false">IF($H992="숙박",0,IF($H992=MID(S$1,3,20),IF($I992="",1,0.6),IF($I992=MID(S$1,3,20),0.4,0)))</f>
        <v>0</v>
      </c>
      <c r="T992" s="10" t="n">
        <f aca="false">IF($H992="숙박",0,IF($H992=MID(T$1,3,20),IF($I992="",1,0.6),IF($I992=MID(T$1,3,20),0.4,0)))</f>
        <v>0</v>
      </c>
      <c r="U992" s="10" t="n">
        <f aca="false">IF($H992="숙박",0,IF(ISNUMBER(SEARCH("야경",$J992)),1,0))</f>
        <v>0</v>
      </c>
      <c r="V992" s="10" t="n">
        <f aca="false">IF($H992="숙박",0,1)</f>
        <v>1</v>
      </c>
    </row>
    <row r="993" customFormat="false" ht="15" hidden="false" customHeight="false" outlineLevel="0" collapsed="false">
      <c r="A993" s="8" t="n">
        <v>992</v>
      </c>
      <c r="B993" s="8" t="s">
        <v>45</v>
      </c>
      <c r="C993" s="8" t="s">
        <v>1489</v>
      </c>
      <c r="D993" s="8" t="s">
        <v>3050</v>
      </c>
      <c r="E993" s="7" t="s">
        <v>3051</v>
      </c>
      <c r="F993" s="8"/>
      <c r="G993" s="8" t="s">
        <v>49</v>
      </c>
      <c r="H993" s="9" t="s">
        <v>49</v>
      </c>
      <c r="I993" s="9"/>
      <c r="J993" s="9" t="s">
        <v>43</v>
      </c>
      <c r="K993" s="9" t="s">
        <v>52</v>
      </c>
      <c r="L993" s="8"/>
      <c r="M993" s="8"/>
      <c r="N993" s="8"/>
      <c r="O993" s="8" t="s">
        <v>3052</v>
      </c>
      <c r="P993" s="10" t="n">
        <f aca="false">IF($H993="숙박",0,IF($H993=MID(P$1,3,20),IF($I993="",1,0.6),IF($I993=MID(P$1,3,20),0.4,0)))</f>
        <v>0</v>
      </c>
      <c r="Q993" s="10" t="n">
        <f aca="false">IF($H993="숙박",0,IF($H993=MID(Q$1,3,20),IF($I993="",1,0.6),IF($I993=MID(Q$1,3,20),0.4,0)))</f>
        <v>1</v>
      </c>
      <c r="R993" s="10" t="n">
        <f aca="false">IF($H993="숙박",0,IF($H993=MID(R$1,3,20),IF($I993="",1,0.6),IF($I993=MID(R$1,3,20),0.4,0)))</f>
        <v>0</v>
      </c>
      <c r="S993" s="10" t="n">
        <f aca="false">IF($H993="숙박",0,IF($H993=MID(S$1,3,20),IF($I993="",1,0.6),IF($I993=MID(S$1,3,20),0.4,0)))</f>
        <v>0</v>
      </c>
      <c r="T993" s="10" t="n">
        <f aca="false">IF($H993="숙박",0,IF($H993=MID(T$1,3,20),IF($I993="",1,0.6),IF($I993=MID(T$1,3,20),0.4,0)))</f>
        <v>0</v>
      </c>
      <c r="U993" s="10" t="n">
        <f aca="false">IF($H993="숙박",0,IF(ISNUMBER(SEARCH("야경",$J993)),1,0))</f>
        <v>1</v>
      </c>
      <c r="V993" s="10" t="n">
        <f aca="false">IF($H993="숙박",0,1)</f>
        <v>1</v>
      </c>
    </row>
    <row r="994" customFormat="false" ht="15" hidden="false" customHeight="false" outlineLevel="0" collapsed="false">
      <c r="A994" s="8" t="n">
        <v>993</v>
      </c>
      <c r="B994" s="8" t="s">
        <v>45</v>
      </c>
      <c r="C994" s="8" t="s">
        <v>1493</v>
      </c>
      <c r="D994" s="8" t="s">
        <v>3053</v>
      </c>
      <c r="E994" s="7" t="s">
        <v>3054</v>
      </c>
      <c r="F994" s="8"/>
      <c r="G994" s="8" t="s">
        <v>190</v>
      </c>
      <c r="H994" s="9" t="s">
        <v>190</v>
      </c>
      <c r="I994" s="9"/>
      <c r="J994" s="9"/>
      <c r="K994" s="9" t="s">
        <v>191</v>
      </c>
      <c r="L994" s="8"/>
      <c r="M994" s="8"/>
      <c r="N994" s="8"/>
      <c r="O994" s="8" t="s">
        <v>3055</v>
      </c>
      <c r="P994" s="10" t="n">
        <f aca="false">IF($H994="숙박",0,IF($H994=MID(P$1,3,20),IF($I994="",1,0.6),IF($I994=MID(P$1,3,20),0.4,0)))</f>
        <v>1</v>
      </c>
      <c r="Q994" s="10" t="n">
        <f aca="false">IF($H994="숙박",0,IF($H994=MID(Q$1,3,20),IF($I994="",1,0.6),IF($I994=MID(Q$1,3,20),0.4,0)))</f>
        <v>0</v>
      </c>
      <c r="R994" s="10" t="n">
        <f aca="false">IF($H994="숙박",0,IF($H994=MID(R$1,3,20),IF($I994="",1,0.6),IF($I994=MID(R$1,3,20),0.4,0)))</f>
        <v>0</v>
      </c>
      <c r="S994" s="10" t="n">
        <f aca="false">IF($H994="숙박",0,IF($H994=MID(S$1,3,20),IF($I994="",1,0.6),IF($I994=MID(S$1,3,20),0.4,0)))</f>
        <v>0</v>
      </c>
      <c r="T994" s="10" t="n">
        <f aca="false">IF($H994="숙박",0,IF($H994=MID(T$1,3,20),IF($I994="",1,0.6),IF($I994=MID(T$1,3,20),0.4,0)))</f>
        <v>0</v>
      </c>
      <c r="U994" s="10" t="n">
        <f aca="false">IF($H994="숙박",0,IF(ISNUMBER(SEARCH("야경",$J994)),1,0))</f>
        <v>0</v>
      </c>
      <c r="V994" s="10" t="n">
        <f aca="false">IF($H994="숙박",0,1)</f>
        <v>1</v>
      </c>
    </row>
    <row r="995" customFormat="false" ht="15" hidden="false" customHeight="false" outlineLevel="0" collapsed="false">
      <c r="A995" s="8" t="n">
        <v>994</v>
      </c>
      <c r="B995" s="8" t="s">
        <v>45</v>
      </c>
      <c r="C995" s="8" t="s">
        <v>310</v>
      </c>
      <c r="D995" s="8" t="s">
        <v>3056</v>
      </c>
      <c r="E995" s="7" t="s">
        <v>3057</v>
      </c>
      <c r="F995" s="8"/>
      <c r="G995" s="8" t="s">
        <v>50</v>
      </c>
      <c r="H995" s="9" t="s">
        <v>50</v>
      </c>
      <c r="I995" s="9"/>
      <c r="J995" s="9" t="s">
        <v>168</v>
      </c>
      <c r="K995" s="9" t="s">
        <v>52</v>
      </c>
      <c r="L995" s="8"/>
      <c r="M995" s="8"/>
      <c r="N995" s="8"/>
      <c r="O995" s="8" t="s">
        <v>3058</v>
      </c>
      <c r="P995" s="10" t="n">
        <f aca="false">IF($H995="숙박",0,IF($H995=MID(P$1,3,20),IF($I995="",1,0.6),IF($I995=MID(P$1,3,20),0.4,0)))</f>
        <v>0</v>
      </c>
      <c r="Q995" s="10" t="n">
        <f aca="false">IF($H995="숙박",0,IF($H995=MID(Q$1,3,20),IF($I995="",1,0.6),IF($I995=MID(Q$1,3,20),0.4,0)))</f>
        <v>0</v>
      </c>
      <c r="R995" s="10" t="n">
        <f aca="false">IF($H995="숙박",0,IF($H995=MID(R$1,3,20),IF($I995="",1,0.6),IF($I995=MID(R$1,3,20),0.4,0)))</f>
        <v>0</v>
      </c>
      <c r="S995" s="10" t="n">
        <f aca="false">IF($H995="숙박",0,IF($H995=MID(S$1,3,20),IF($I995="",1,0.6),IF($I995=MID(S$1,3,20),0.4,0)))</f>
        <v>0</v>
      </c>
      <c r="T995" s="10" t="n">
        <f aca="false">IF($H995="숙박",0,IF($H995=MID(T$1,3,20),IF($I995="",1,0.6),IF($I995=MID(T$1,3,20),0.4,0)))</f>
        <v>1</v>
      </c>
      <c r="U995" s="10" t="n">
        <f aca="false">IF($H995="숙박",0,IF(ISNUMBER(SEARCH("야경",$J995)),1,0))</f>
        <v>0</v>
      </c>
      <c r="V995" s="10" t="n">
        <f aca="false">IF($H995="숙박",0,1)</f>
        <v>1</v>
      </c>
    </row>
    <row r="996" customFormat="false" ht="15" hidden="false" customHeight="false" outlineLevel="0" collapsed="false">
      <c r="A996" s="8" t="n">
        <v>995</v>
      </c>
      <c r="B996" s="8" t="s">
        <v>45</v>
      </c>
      <c r="C996" s="8" t="s">
        <v>579</v>
      </c>
      <c r="D996" s="8" t="s">
        <v>3059</v>
      </c>
      <c r="E996" s="7" t="s">
        <v>3060</v>
      </c>
      <c r="F996" s="8"/>
      <c r="G996" s="8" t="s">
        <v>49</v>
      </c>
      <c r="H996" s="9" t="s">
        <v>49</v>
      </c>
      <c r="I996" s="9"/>
      <c r="J996" s="9"/>
      <c r="K996" s="9" t="s">
        <v>52</v>
      </c>
      <c r="L996" s="8"/>
      <c r="M996" s="8"/>
      <c r="N996" s="8"/>
      <c r="O996" s="8" t="s">
        <v>3061</v>
      </c>
      <c r="P996" s="10" t="n">
        <f aca="false">IF($H996="숙박",0,IF($H996=MID(P$1,3,20),IF($I996="",1,0.6),IF($I996=MID(P$1,3,20),0.4,0)))</f>
        <v>0</v>
      </c>
      <c r="Q996" s="10" t="n">
        <f aca="false">IF($H996="숙박",0,IF($H996=MID(Q$1,3,20),IF($I996="",1,0.6),IF($I996=MID(Q$1,3,20),0.4,0)))</f>
        <v>1</v>
      </c>
      <c r="R996" s="10" t="n">
        <f aca="false">IF($H996="숙박",0,IF($H996=MID(R$1,3,20),IF($I996="",1,0.6),IF($I996=MID(R$1,3,20),0.4,0)))</f>
        <v>0</v>
      </c>
      <c r="S996" s="10" t="n">
        <f aca="false">IF($H996="숙박",0,IF($H996=MID(S$1,3,20),IF($I996="",1,0.6),IF($I996=MID(S$1,3,20),0.4,0)))</f>
        <v>0</v>
      </c>
      <c r="T996" s="10" t="n">
        <f aca="false">IF($H996="숙박",0,IF($H996=MID(T$1,3,20),IF($I996="",1,0.6),IF($I996=MID(T$1,3,20),0.4,0)))</f>
        <v>0</v>
      </c>
      <c r="U996" s="10" t="n">
        <f aca="false">IF($H996="숙박",0,IF(ISNUMBER(SEARCH("야경",$J996)),1,0))</f>
        <v>0</v>
      </c>
      <c r="V996" s="10" t="n">
        <f aca="false">IF($H996="숙박",0,1)</f>
        <v>1</v>
      </c>
    </row>
    <row r="997" customFormat="false" ht="15" hidden="false" customHeight="false" outlineLevel="0" collapsed="false">
      <c r="A997" s="8" t="n">
        <v>996</v>
      </c>
      <c r="B997" s="8" t="s">
        <v>45</v>
      </c>
      <c r="C997" s="8" t="s">
        <v>349</v>
      </c>
      <c r="D997" s="8" t="s">
        <v>3062</v>
      </c>
      <c r="E997" s="7" t="s">
        <v>3063</v>
      </c>
      <c r="F997" s="8"/>
      <c r="G997" s="8" t="s">
        <v>49</v>
      </c>
      <c r="H997" s="9" t="s">
        <v>49</v>
      </c>
      <c r="I997" s="9"/>
      <c r="J997" s="9"/>
      <c r="K997" s="9" t="s">
        <v>209</v>
      </c>
      <c r="L997" s="8"/>
      <c r="M997" s="8"/>
      <c r="N997" s="8"/>
      <c r="O997" s="8" t="s">
        <v>3064</v>
      </c>
      <c r="P997" s="10" t="n">
        <f aca="false">IF($H997="숙박",0,IF($H997=MID(P$1,3,20),IF($I997="",1,0.6),IF($I997=MID(P$1,3,20),0.4,0)))</f>
        <v>0</v>
      </c>
      <c r="Q997" s="10" t="n">
        <f aca="false">IF($H997="숙박",0,IF($H997=MID(Q$1,3,20),IF($I997="",1,0.6),IF($I997=MID(Q$1,3,20),0.4,0)))</f>
        <v>1</v>
      </c>
      <c r="R997" s="10" t="n">
        <f aca="false">IF($H997="숙박",0,IF($H997=MID(R$1,3,20),IF($I997="",1,0.6),IF($I997=MID(R$1,3,20),0.4,0)))</f>
        <v>0</v>
      </c>
      <c r="S997" s="10" t="n">
        <f aca="false">IF($H997="숙박",0,IF($H997=MID(S$1,3,20),IF($I997="",1,0.6),IF($I997=MID(S$1,3,20),0.4,0)))</f>
        <v>0</v>
      </c>
      <c r="T997" s="10" t="n">
        <f aca="false">IF($H997="숙박",0,IF($H997=MID(T$1,3,20),IF($I997="",1,0.6),IF($I997=MID(T$1,3,20),0.4,0)))</f>
        <v>0</v>
      </c>
      <c r="U997" s="10" t="n">
        <f aca="false">IF($H997="숙박",0,IF(ISNUMBER(SEARCH("야경",$J997)),1,0))</f>
        <v>0</v>
      </c>
      <c r="V997" s="10" t="n">
        <f aca="false">IF($H997="숙박",0,1)</f>
        <v>1</v>
      </c>
    </row>
    <row r="998" customFormat="false" ht="15" hidden="false" customHeight="false" outlineLevel="0" collapsed="false">
      <c r="A998" s="8" t="n">
        <v>997</v>
      </c>
      <c r="B998" s="8" t="s">
        <v>45</v>
      </c>
      <c r="C998" s="8" t="s">
        <v>1855</v>
      </c>
      <c r="D998" s="8" t="s">
        <v>3065</v>
      </c>
      <c r="E998" s="7" t="s">
        <v>3066</v>
      </c>
      <c r="F998" s="8"/>
      <c r="G998" s="8" t="s">
        <v>49</v>
      </c>
      <c r="H998" s="9" t="s">
        <v>49</v>
      </c>
      <c r="I998" s="9"/>
      <c r="J998" s="9"/>
      <c r="K998" s="9" t="s">
        <v>52</v>
      </c>
      <c r="L998" s="8"/>
      <c r="M998" s="8"/>
      <c r="N998" s="8"/>
      <c r="O998" s="8" t="s">
        <v>3067</v>
      </c>
      <c r="P998" s="10" t="n">
        <f aca="false">IF($H998="숙박",0,IF($H998=MID(P$1,3,20),IF($I998="",1,0.6),IF($I998=MID(P$1,3,20),0.4,0)))</f>
        <v>0</v>
      </c>
      <c r="Q998" s="10" t="n">
        <f aca="false">IF($H998="숙박",0,IF($H998=MID(Q$1,3,20),IF($I998="",1,0.6),IF($I998=MID(Q$1,3,20),0.4,0)))</f>
        <v>1</v>
      </c>
      <c r="R998" s="10" t="n">
        <f aca="false">IF($H998="숙박",0,IF($H998=MID(R$1,3,20),IF($I998="",1,0.6),IF($I998=MID(R$1,3,20),0.4,0)))</f>
        <v>0</v>
      </c>
      <c r="S998" s="10" t="n">
        <f aca="false">IF($H998="숙박",0,IF($H998=MID(S$1,3,20),IF($I998="",1,0.6),IF($I998=MID(S$1,3,20),0.4,0)))</f>
        <v>0</v>
      </c>
      <c r="T998" s="10" t="n">
        <f aca="false">IF($H998="숙박",0,IF($H998=MID(T$1,3,20),IF($I998="",1,0.6),IF($I998=MID(T$1,3,20),0.4,0)))</f>
        <v>0</v>
      </c>
      <c r="U998" s="10" t="n">
        <f aca="false">IF($H998="숙박",0,IF(ISNUMBER(SEARCH("야경",$J998)),1,0))</f>
        <v>0</v>
      </c>
      <c r="V998" s="10" t="n">
        <f aca="false">IF($H998="숙박",0,1)</f>
        <v>1</v>
      </c>
    </row>
    <row r="999" customFormat="false" ht="15" hidden="false" customHeight="false" outlineLevel="0" collapsed="false">
      <c r="A999" s="8" t="n">
        <v>998</v>
      </c>
      <c r="B999" s="8" t="s">
        <v>45</v>
      </c>
      <c r="C999" s="8"/>
      <c r="D999" s="8" t="s">
        <v>3068</v>
      </c>
      <c r="E999" s="7" t="s">
        <v>3069</v>
      </c>
      <c r="F999" s="8"/>
      <c r="G999" s="8"/>
      <c r="H999" s="9" t="s">
        <v>594</v>
      </c>
      <c r="I999" s="9"/>
      <c r="J999" s="9"/>
      <c r="K999" s="9"/>
      <c r="L999" s="8"/>
      <c r="M999" s="8"/>
      <c r="N999" s="8" t="s">
        <v>595</v>
      </c>
      <c r="O999" s="8"/>
      <c r="P999" s="10" t="n">
        <f aca="false">IF($H999="숙박",0,IF($H999=MID(P$1,3,20),IF($I999="",1,0.6),IF($I999=MID(P$1,3,20),0.4,0)))</f>
        <v>0</v>
      </c>
      <c r="Q999" s="10" t="n">
        <f aca="false">IF($H999="숙박",0,IF($H999=MID(Q$1,3,20),IF($I999="",1,0.6),IF($I999=MID(Q$1,3,20),0.4,0)))</f>
        <v>0</v>
      </c>
      <c r="R999" s="10" t="n">
        <f aca="false">IF($H999="숙박",0,IF($H999=MID(R$1,3,20),IF($I999="",1,0.6),IF($I999=MID(R$1,3,20),0.4,0)))</f>
        <v>0</v>
      </c>
      <c r="S999" s="10" t="n">
        <f aca="false">IF($H999="숙박",0,IF($H999=MID(S$1,3,20),IF($I999="",1,0.6),IF($I999=MID(S$1,3,20),0.4,0)))</f>
        <v>0</v>
      </c>
      <c r="T999" s="10" t="n">
        <f aca="false">IF($H999="숙박",0,IF($H999=MID(T$1,3,20),IF($I999="",1,0.6),IF($I999=MID(T$1,3,20),0.4,0)))</f>
        <v>0</v>
      </c>
      <c r="U999" s="10" t="n">
        <f aca="false">IF($H999="숙박",0,IF(ISNUMBER(SEARCH("야경",$J999)),1,0))</f>
        <v>0</v>
      </c>
      <c r="V999" s="10" t="n">
        <f aca="false">IF($H999="숙박",0,1)</f>
        <v>0</v>
      </c>
    </row>
    <row r="1000" customFormat="false" ht="15" hidden="false" customHeight="false" outlineLevel="0" collapsed="false">
      <c r="A1000" s="8" t="n">
        <v>999</v>
      </c>
      <c r="B1000" s="8" t="s">
        <v>45</v>
      </c>
      <c r="C1000" s="8" t="s">
        <v>1899</v>
      </c>
      <c r="D1000" s="8" t="s">
        <v>3070</v>
      </c>
      <c r="E1000" s="7" t="s">
        <v>3071</v>
      </c>
      <c r="F1000" s="8"/>
      <c r="G1000" s="8" t="s">
        <v>50</v>
      </c>
      <c r="H1000" s="9" t="s">
        <v>50</v>
      </c>
      <c r="I1000" s="9" t="s">
        <v>49</v>
      </c>
      <c r="J1000" s="9" t="s">
        <v>168</v>
      </c>
      <c r="K1000" s="9" t="s">
        <v>52</v>
      </c>
      <c r="L1000" s="8"/>
      <c r="M1000" s="8"/>
      <c r="N1000" s="8" t="s">
        <v>483</v>
      </c>
      <c r="O1000" s="8" t="s">
        <v>3072</v>
      </c>
      <c r="P1000" s="10" t="n">
        <f aca="false">IF($H1000="숙박",0,IF($H1000=MID(P$1,3,20),IF($I1000="",1,0.6),IF($I1000=MID(P$1,3,20),0.4,0)))</f>
        <v>0</v>
      </c>
      <c r="Q1000" s="10" t="n">
        <f aca="false">IF($H1000="숙박",0,IF($H1000=MID(Q$1,3,20),IF($I1000="",1,0.6),IF($I1000=MID(Q$1,3,20),0.4,0)))</f>
        <v>0.4</v>
      </c>
      <c r="R1000" s="10" t="n">
        <f aca="false">IF($H1000="숙박",0,IF($H1000=MID(R$1,3,20),IF($I1000="",1,0.6),IF($I1000=MID(R$1,3,20),0.4,0)))</f>
        <v>0</v>
      </c>
      <c r="S1000" s="10" t="n">
        <f aca="false">IF($H1000="숙박",0,IF($H1000=MID(S$1,3,20),IF($I1000="",1,0.6),IF($I1000=MID(S$1,3,20),0.4,0)))</f>
        <v>0</v>
      </c>
      <c r="T1000" s="10" t="n">
        <f aca="false">IF($H1000="숙박",0,IF($H1000=MID(T$1,3,20),IF($I1000="",1,0.6),IF($I1000=MID(T$1,3,20),0.4,0)))</f>
        <v>0.6</v>
      </c>
      <c r="U1000" s="10" t="n">
        <f aca="false">IF($H1000="숙박",0,IF(ISNUMBER(SEARCH("야경",$J1000)),1,0))</f>
        <v>0</v>
      </c>
      <c r="V1000" s="10" t="n">
        <f aca="false">IF($H1000="숙박",0,1)</f>
        <v>1</v>
      </c>
    </row>
    <row r="1001" customFormat="false" ht="15" hidden="false" customHeight="false" outlineLevel="0" collapsed="false">
      <c r="A1001" s="8" t="n">
        <v>1000</v>
      </c>
      <c r="B1001" s="8" t="s">
        <v>45</v>
      </c>
      <c r="C1001" s="8" t="s">
        <v>678</v>
      </c>
      <c r="D1001" s="8" t="s">
        <v>3073</v>
      </c>
      <c r="E1001" s="7" t="s">
        <v>3074</v>
      </c>
      <c r="F1001" s="8"/>
      <c r="G1001" s="8" t="s">
        <v>216</v>
      </c>
      <c r="H1001" s="9" t="s">
        <v>216</v>
      </c>
      <c r="I1001" s="9" t="s">
        <v>184</v>
      </c>
      <c r="J1001" s="9"/>
      <c r="K1001" s="9" t="s">
        <v>52</v>
      </c>
      <c r="L1001" s="8"/>
      <c r="M1001" s="8"/>
      <c r="N1001" s="8" t="s">
        <v>483</v>
      </c>
      <c r="O1001" s="8" t="s">
        <v>3075</v>
      </c>
      <c r="P1001" s="10" t="n">
        <f aca="false">IF($H1001="숙박",0,IF($H1001=MID(P$1,3,20),IF($I1001="",1,0.6),IF($I1001=MID(P$1,3,20),0.4,0)))</f>
        <v>0</v>
      </c>
      <c r="Q1001" s="10" t="n">
        <f aca="false">IF($H1001="숙박",0,IF($H1001=MID(Q$1,3,20),IF($I1001="",1,0.6),IF($I1001=MID(Q$1,3,20),0.4,0)))</f>
        <v>0</v>
      </c>
      <c r="R1001" s="10" t="n">
        <f aca="false">IF($H1001="숙박",0,IF($H1001=MID(R$1,3,20),IF($I1001="",1,0.6),IF($I1001=MID(R$1,3,20),0.4,0)))</f>
        <v>0.4</v>
      </c>
      <c r="S1001" s="10" t="n">
        <f aca="false">IF($H1001="숙박",0,IF($H1001=MID(S$1,3,20),IF($I1001="",1,0.6),IF($I1001=MID(S$1,3,20),0.4,0)))</f>
        <v>0.6</v>
      </c>
      <c r="T1001" s="10" t="n">
        <f aca="false">IF($H1001="숙박",0,IF($H1001=MID(T$1,3,20),IF($I1001="",1,0.6),IF($I1001=MID(T$1,3,20),0.4,0)))</f>
        <v>0</v>
      </c>
      <c r="U1001" s="10" t="n">
        <f aca="false">IF($H1001="숙박",0,IF(ISNUMBER(SEARCH("야경",$J1001)),1,0))</f>
        <v>0</v>
      </c>
      <c r="V1001" s="10" t="n">
        <f aca="false">IF($H1001="숙박",0,1)</f>
        <v>1</v>
      </c>
    </row>
    <row r="1002" customFormat="false" ht="15" hidden="false" customHeight="false" outlineLevel="0" collapsed="false">
      <c r="A1002" s="8" t="n">
        <v>1001</v>
      </c>
      <c r="B1002" s="8" t="s">
        <v>45</v>
      </c>
      <c r="C1002" s="8" t="s">
        <v>438</v>
      </c>
      <c r="D1002" s="8" t="s">
        <v>3076</v>
      </c>
      <c r="E1002" s="7" t="s">
        <v>3077</v>
      </c>
      <c r="F1002" s="8"/>
      <c r="G1002" s="8" t="s">
        <v>49</v>
      </c>
      <c r="H1002" s="9" t="s">
        <v>49</v>
      </c>
      <c r="I1002" s="9"/>
      <c r="J1002" s="9"/>
      <c r="K1002" s="9" t="s">
        <v>52</v>
      </c>
      <c r="L1002" s="8"/>
      <c r="M1002" s="8"/>
      <c r="N1002" s="8"/>
      <c r="O1002" s="8" t="s">
        <v>3078</v>
      </c>
      <c r="P1002" s="10" t="n">
        <f aca="false">IF($H1002="숙박",0,IF($H1002=MID(P$1,3,20),IF($I1002="",1,0.6),IF($I1002=MID(P$1,3,20),0.4,0)))</f>
        <v>0</v>
      </c>
      <c r="Q1002" s="10" t="n">
        <f aca="false">IF($H1002="숙박",0,IF($H1002=MID(Q$1,3,20),IF($I1002="",1,0.6),IF($I1002=MID(Q$1,3,20),0.4,0)))</f>
        <v>1</v>
      </c>
      <c r="R1002" s="10" t="n">
        <f aca="false">IF($H1002="숙박",0,IF($H1002=MID(R$1,3,20),IF($I1002="",1,0.6),IF($I1002=MID(R$1,3,20),0.4,0)))</f>
        <v>0</v>
      </c>
      <c r="S1002" s="10" t="n">
        <f aca="false">IF($H1002="숙박",0,IF($H1002=MID(S$1,3,20),IF($I1002="",1,0.6),IF($I1002=MID(S$1,3,20),0.4,0)))</f>
        <v>0</v>
      </c>
      <c r="T1002" s="10" t="n">
        <f aca="false">IF($H1002="숙박",0,IF($H1002=MID(T$1,3,20),IF($I1002="",1,0.6),IF($I1002=MID(T$1,3,20),0.4,0)))</f>
        <v>0</v>
      </c>
      <c r="U1002" s="10" t="n">
        <f aca="false">IF($H1002="숙박",0,IF(ISNUMBER(SEARCH("야경",$J1002)),1,0))</f>
        <v>0</v>
      </c>
      <c r="V1002" s="10" t="n">
        <f aca="false">IF($H1002="숙박",0,1)</f>
        <v>1</v>
      </c>
    </row>
    <row r="1003" customFormat="false" ht="15" hidden="false" customHeight="false" outlineLevel="0" collapsed="false">
      <c r="A1003" s="8" t="n">
        <v>1002</v>
      </c>
      <c r="B1003" s="8" t="s">
        <v>45</v>
      </c>
      <c r="C1003" s="8" t="s">
        <v>1336</v>
      </c>
      <c r="D1003" s="8" t="s">
        <v>3079</v>
      </c>
      <c r="E1003" s="7" t="s">
        <v>3080</v>
      </c>
      <c r="F1003" s="8"/>
      <c r="G1003" s="8" t="s">
        <v>190</v>
      </c>
      <c r="H1003" s="9" t="s">
        <v>190</v>
      </c>
      <c r="I1003" s="9"/>
      <c r="J1003" s="9"/>
      <c r="K1003" s="9" t="s">
        <v>191</v>
      </c>
      <c r="L1003" s="8"/>
      <c r="M1003" s="8"/>
      <c r="N1003" s="8"/>
      <c r="O1003" s="8" t="s">
        <v>3081</v>
      </c>
      <c r="P1003" s="10" t="n">
        <f aca="false">IF($H1003="숙박",0,IF($H1003=MID(P$1,3,20),IF($I1003="",1,0.6),IF($I1003=MID(P$1,3,20),0.4,0)))</f>
        <v>1</v>
      </c>
      <c r="Q1003" s="10" t="n">
        <f aca="false">IF($H1003="숙박",0,IF($H1003=MID(Q$1,3,20),IF($I1003="",1,0.6),IF($I1003=MID(Q$1,3,20),0.4,0)))</f>
        <v>0</v>
      </c>
      <c r="R1003" s="10" t="n">
        <f aca="false">IF($H1003="숙박",0,IF($H1003=MID(R$1,3,20),IF($I1003="",1,0.6),IF($I1003=MID(R$1,3,20),0.4,0)))</f>
        <v>0</v>
      </c>
      <c r="S1003" s="10" t="n">
        <f aca="false">IF($H1003="숙박",0,IF($H1003=MID(S$1,3,20),IF($I1003="",1,0.6),IF($I1003=MID(S$1,3,20),0.4,0)))</f>
        <v>0</v>
      </c>
      <c r="T1003" s="10" t="n">
        <f aca="false">IF($H1003="숙박",0,IF($H1003=MID(T$1,3,20),IF($I1003="",1,0.6),IF($I1003=MID(T$1,3,20),0.4,0)))</f>
        <v>0</v>
      </c>
      <c r="U1003" s="10" t="n">
        <f aca="false">IF($H1003="숙박",0,IF(ISNUMBER(SEARCH("야경",$J1003)),1,0))</f>
        <v>0</v>
      </c>
      <c r="V1003" s="10" t="n">
        <f aca="false">IF($H1003="숙박",0,1)</f>
        <v>1</v>
      </c>
    </row>
    <row r="1004" customFormat="false" ht="15" hidden="false" customHeight="false" outlineLevel="0" collapsed="false">
      <c r="A1004" s="8" t="n">
        <v>1003</v>
      </c>
      <c r="B1004" s="8" t="s">
        <v>45</v>
      </c>
      <c r="C1004" s="8" t="s">
        <v>388</v>
      </c>
      <c r="D1004" s="8" t="s">
        <v>3082</v>
      </c>
      <c r="E1004" s="7" t="s">
        <v>3083</v>
      </c>
      <c r="F1004" s="8"/>
      <c r="G1004" s="8" t="s">
        <v>49</v>
      </c>
      <c r="H1004" s="9" t="s">
        <v>49</v>
      </c>
      <c r="I1004" s="9"/>
      <c r="J1004" s="9"/>
      <c r="K1004" s="9" t="s">
        <v>52</v>
      </c>
      <c r="L1004" s="8"/>
      <c r="M1004" s="8"/>
      <c r="N1004" s="8"/>
      <c r="O1004" s="8" t="s">
        <v>3084</v>
      </c>
      <c r="P1004" s="10" t="n">
        <f aca="false">IF($H1004="숙박",0,IF($H1004=MID(P$1,3,20),IF($I1004="",1,0.6),IF($I1004=MID(P$1,3,20),0.4,0)))</f>
        <v>0</v>
      </c>
      <c r="Q1004" s="10" t="n">
        <f aca="false">IF($H1004="숙박",0,IF($H1004=MID(Q$1,3,20),IF($I1004="",1,0.6),IF($I1004=MID(Q$1,3,20),0.4,0)))</f>
        <v>1</v>
      </c>
      <c r="R1004" s="10" t="n">
        <f aca="false">IF($H1004="숙박",0,IF($H1004=MID(R$1,3,20),IF($I1004="",1,0.6),IF($I1004=MID(R$1,3,20),0.4,0)))</f>
        <v>0</v>
      </c>
      <c r="S1004" s="10" t="n">
        <f aca="false">IF($H1004="숙박",0,IF($H1004=MID(S$1,3,20),IF($I1004="",1,0.6),IF($I1004=MID(S$1,3,20),0.4,0)))</f>
        <v>0</v>
      </c>
      <c r="T1004" s="10" t="n">
        <f aca="false">IF($H1004="숙박",0,IF($H1004=MID(T$1,3,20),IF($I1004="",1,0.6),IF($I1004=MID(T$1,3,20),0.4,0)))</f>
        <v>0</v>
      </c>
      <c r="U1004" s="10" t="n">
        <f aca="false">IF($H1004="숙박",0,IF(ISNUMBER(SEARCH("야경",$J1004)),1,0))</f>
        <v>0</v>
      </c>
      <c r="V1004" s="10" t="n">
        <f aca="false">IF($H1004="숙박",0,1)</f>
        <v>1</v>
      </c>
    </row>
    <row r="1005" customFormat="false" ht="15" hidden="false" customHeight="false" outlineLevel="0" collapsed="false">
      <c r="A1005" s="8" t="n">
        <v>1004</v>
      </c>
      <c r="B1005" s="8" t="s">
        <v>45</v>
      </c>
      <c r="C1005" s="8" t="s">
        <v>297</v>
      </c>
      <c r="D1005" s="8" t="s">
        <v>3085</v>
      </c>
      <c r="E1005" s="7" t="s">
        <v>3086</v>
      </c>
      <c r="F1005" s="8"/>
      <c r="G1005" s="8" t="s">
        <v>50</v>
      </c>
      <c r="H1005" s="9" t="s">
        <v>50</v>
      </c>
      <c r="I1005" s="9" t="s">
        <v>190</v>
      </c>
      <c r="J1005" s="9" t="s">
        <v>168</v>
      </c>
      <c r="K1005" s="9" t="s">
        <v>52</v>
      </c>
      <c r="L1005" s="8"/>
      <c r="M1005" s="8"/>
      <c r="N1005" s="8" t="s">
        <v>483</v>
      </c>
      <c r="O1005" s="8" t="s">
        <v>3087</v>
      </c>
      <c r="P1005" s="10" t="n">
        <f aca="false">IF($H1005="숙박",0,IF($H1005=MID(P$1,3,20),IF($I1005="",1,0.6),IF($I1005=MID(P$1,3,20),0.4,0)))</f>
        <v>0.4</v>
      </c>
      <c r="Q1005" s="10" t="n">
        <f aca="false">IF($H1005="숙박",0,IF($H1005=MID(Q$1,3,20),IF($I1005="",1,0.6),IF($I1005=MID(Q$1,3,20),0.4,0)))</f>
        <v>0</v>
      </c>
      <c r="R1005" s="10" t="n">
        <f aca="false">IF($H1005="숙박",0,IF($H1005=MID(R$1,3,20),IF($I1005="",1,0.6),IF($I1005=MID(R$1,3,20),0.4,0)))</f>
        <v>0</v>
      </c>
      <c r="S1005" s="10" t="n">
        <f aca="false">IF($H1005="숙박",0,IF($H1005=MID(S$1,3,20),IF($I1005="",1,0.6),IF($I1005=MID(S$1,3,20),0.4,0)))</f>
        <v>0</v>
      </c>
      <c r="T1005" s="10" t="n">
        <f aca="false">IF($H1005="숙박",0,IF($H1005=MID(T$1,3,20),IF($I1005="",1,0.6),IF($I1005=MID(T$1,3,20),0.4,0)))</f>
        <v>0.6</v>
      </c>
      <c r="U1005" s="10" t="n">
        <f aca="false">IF($H1005="숙박",0,IF(ISNUMBER(SEARCH("야경",$J1005)),1,0))</f>
        <v>0</v>
      </c>
      <c r="V1005" s="10" t="n">
        <f aca="false">IF($H1005="숙박",0,1)</f>
        <v>1</v>
      </c>
    </row>
    <row r="1006" customFormat="false" ht="15" hidden="false" customHeight="false" outlineLevel="0" collapsed="false">
      <c r="A1006" s="8" t="n">
        <v>1005</v>
      </c>
      <c r="B1006" s="8" t="s">
        <v>45</v>
      </c>
      <c r="C1006" s="8" t="s">
        <v>380</v>
      </c>
      <c r="D1006" s="8" t="s">
        <v>3088</v>
      </c>
      <c r="E1006" s="7" t="s">
        <v>3089</v>
      </c>
      <c r="F1006" s="8"/>
      <c r="G1006" s="8" t="s">
        <v>49</v>
      </c>
      <c r="H1006" s="9" t="s">
        <v>49</v>
      </c>
      <c r="I1006" s="9"/>
      <c r="J1006" s="9" t="s">
        <v>43</v>
      </c>
      <c r="K1006" s="9" t="s">
        <v>52</v>
      </c>
      <c r="L1006" s="8"/>
      <c r="M1006" s="8"/>
      <c r="N1006" s="8"/>
      <c r="O1006" s="8" t="s">
        <v>3090</v>
      </c>
      <c r="P1006" s="10" t="n">
        <f aca="false">IF($H1006="숙박",0,IF($H1006=MID(P$1,3,20),IF($I1006="",1,0.6),IF($I1006=MID(P$1,3,20),0.4,0)))</f>
        <v>0</v>
      </c>
      <c r="Q1006" s="10" t="n">
        <f aca="false">IF($H1006="숙박",0,IF($H1006=MID(Q$1,3,20),IF($I1006="",1,0.6),IF($I1006=MID(Q$1,3,20),0.4,0)))</f>
        <v>1</v>
      </c>
      <c r="R1006" s="10" t="n">
        <f aca="false">IF($H1006="숙박",0,IF($H1006=MID(R$1,3,20),IF($I1006="",1,0.6),IF($I1006=MID(R$1,3,20),0.4,0)))</f>
        <v>0</v>
      </c>
      <c r="S1006" s="10" t="n">
        <f aca="false">IF($H1006="숙박",0,IF($H1006=MID(S$1,3,20),IF($I1006="",1,0.6),IF($I1006=MID(S$1,3,20),0.4,0)))</f>
        <v>0</v>
      </c>
      <c r="T1006" s="10" t="n">
        <f aca="false">IF($H1006="숙박",0,IF($H1006=MID(T$1,3,20),IF($I1006="",1,0.6),IF($I1006=MID(T$1,3,20),0.4,0)))</f>
        <v>0</v>
      </c>
      <c r="U1006" s="10" t="n">
        <f aca="false">IF($H1006="숙박",0,IF(ISNUMBER(SEARCH("야경",$J1006)),1,0))</f>
        <v>1</v>
      </c>
      <c r="V1006" s="10" t="n">
        <f aca="false">IF($H1006="숙박",0,1)</f>
        <v>1</v>
      </c>
    </row>
    <row r="1007" customFormat="false" ht="15" hidden="false" customHeight="false" outlineLevel="0" collapsed="false">
      <c r="A1007" s="8" t="n">
        <v>1006</v>
      </c>
      <c r="B1007" s="8" t="s">
        <v>45</v>
      </c>
      <c r="C1007" s="8" t="s">
        <v>1809</v>
      </c>
      <c r="D1007" s="8" t="s">
        <v>3091</v>
      </c>
      <c r="E1007" s="7" t="s">
        <v>3092</v>
      </c>
      <c r="F1007" s="8"/>
      <c r="G1007" s="8" t="s">
        <v>49</v>
      </c>
      <c r="H1007" s="9" t="s">
        <v>49</v>
      </c>
      <c r="I1007" s="9"/>
      <c r="J1007" s="9"/>
      <c r="K1007" s="9" t="s">
        <v>52</v>
      </c>
      <c r="L1007" s="8"/>
      <c r="M1007" s="8"/>
      <c r="N1007" s="8"/>
      <c r="O1007" s="8" t="s">
        <v>3093</v>
      </c>
      <c r="P1007" s="10" t="n">
        <f aca="false">IF($H1007="숙박",0,IF($H1007=MID(P$1,3,20),IF($I1007="",1,0.6),IF($I1007=MID(P$1,3,20),0.4,0)))</f>
        <v>0</v>
      </c>
      <c r="Q1007" s="10" t="n">
        <f aca="false">IF($H1007="숙박",0,IF($H1007=MID(Q$1,3,20),IF($I1007="",1,0.6),IF($I1007=MID(Q$1,3,20),0.4,0)))</f>
        <v>1</v>
      </c>
      <c r="R1007" s="10" t="n">
        <f aca="false">IF($H1007="숙박",0,IF($H1007=MID(R$1,3,20),IF($I1007="",1,0.6),IF($I1007=MID(R$1,3,20),0.4,0)))</f>
        <v>0</v>
      </c>
      <c r="S1007" s="10" t="n">
        <f aca="false">IF($H1007="숙박",0,IF($H1007=MID(S$1,3,20),IF($I1007="",1,0.6),IF($I1007=MID(S$1,3,20),0.4,0)))</f>
        <v>0</v>
      </c>
      <c r="T1007" s="10" t="n">
        <f aca="false">IF($H1007="숙박",0,IF($H1007=MID(T$1,3,20),IF($I1007="",1,0.6),IF($I1007=MID(T$1,3,20),0.4,0)))</f>
        <v>0</v>
      </c>
      <c r="U1007" s="10" t="n">
        <f aca="false">IF($H1007="숙박",0,IF(ISNUMBER(SEARCH("야경",$J1007)),1,0))</f>
        <v>0</v>
      </c>
      <c r="V1007" s="10" t="n">
        <f aca="false">IF($H1007="숙박",0,1)</f>
        <v>1</v>
      </c>
    </row>
    <row r="1008" customFormat="false" ht="15" hidden="false" customHeight="false" outlineLevel="0" collapsed="false">
      <c r="A1008" s="8" t="n">
        <v>1007</v>
      </c>
      <c r="B1008" s="8" t="s">
        <v>45</v>
      </c>
      <c r="C1008" s="8" t="s">
        <v>1448</v>
      </c>
      <c r="D1008" s="8" t="s">
        <v>3094</v>
      </c>
      <c r="E1008" s="7" t="s">
        <v>3095</v>
      </c>
      <c r="F1008" s="8"/>
      <c r="G1008" s="8" t="s">
        <v>190</v>
      </c>
      <c r="H1008" s="9" t="s">
        <v>190</v>
      </c>
      <c r="I1008" s="9"/>
      <c r="J1008" s="9"/>
      <c r="K1008" s="9" t="s">
        <v>191</v>
      </c>
      <c r="L1008" s="8"/>
      <c r="M1008" s="8"/>
      <c r="N1008" s="8"/>
      <c r="O1008" s="8" t="s">
        <v>3096</v>
      </c>
      <c r="P1008" s="10" t="n">
        <f aca="false">IF($H1008="숙박",0,IF($H1008=MID(P$1,3,20),IF($I1008="",1,0.6),IF($I1008=MID(P$1,3,20),0.4,0)))</f>
        <v>1</v>
      </c>
      <c r="Q1008" s="10" t="n">
        <f aca="false">IF($H1008="숙박",0,IF($H1008=MID(Q$1,3,20),IF($I1008="",1,0.6),IF($I1008=MID(Q$1,3,20),0.4,0)))</f>
        <v>0</v>
      </c>
      <c r="R1008" s="10" t="n">
        <f aca="false">IF($H1008="숙박",0,IF($H1008=MID(R$1,3,20),IF($I1008="",1,0.6),IF($I1008=MID(R$1,3,20),0.4,0)))</f>
        <v>0</v>
      </c>
      <c r="S1008" s="10" t="n">
        <f aca="false">IF($H1008="숙박",0,IF($H1008=MID(S$1,3,20),IF($I1008="",1,0.6),IF($I1008=MID(S$1,3,20),0.4,0)))</f>
        <v>0</v>
      </c>
      <c r="T1008" s="10" t="n">
        <f aca="false">IF($H1008="숙박",0,IF($H1008=MID(T$1,3,20),IF($I1008="",1,0.6),IF($I1008=MID(T$1,3,20),0.4,0)))</f>
        <v>0</v>
      </c>
      <c r="U1008" s="10" t="n">
        <f aca="false">IF($H1008="숙박",0,IF(ISNUMBER(SEARCH("야경",$J1008)),1,0))</f>
        <v>0</v>
      </c>
      <c r="V1008" s="10" t="n">
        <f aca="false">IF($H1008="숙박",0,1)</f>
        <v>1</v>
      </c>
    </row>
    <row r="1009" customFormat="false" ht="15" hidden="false" customHeight="false" outlineLevel="0" collapsed="false">
      <c r="A1009" s="8" t="n">
        <v>1008</v>
      </c>
      <c r="B1009" s="8" t="s">
        <v>45</v>
      </c>
      <c r="C1009" s="8" t="s">
        <v>327</v>
      </c>
      <c r="D1009" s="8" t="s">
        <v>3097</v>
      </c>
      <c r="E1009" s="7" t="s">
        <v>3098</v>
      </c>
      <c r="F1009" s="8"/>
      <c r="G1009" s="8" t="s">
        <v>49</v>
      </c>
      <c r="H1009" s="9" t="s">
        <v>49</v>
      </c>
      <c r="I1009" s="9"/>
      <c r="J1009" s="9"/>
      <c r="K1009" s="9" t="s">
        <v>52</v>
      </c>
      <c r="L1009" s="8"/>
      <c r="M1009" s="8"/>
      <c r="N1009" s="8"/>
      <c r="O1009" s="8" t="s">
        <v>3099</v>
      </c>
      <c r="P1009" s="10" t="n">
        <f aca="false">IF($H1009="숙박",0,IF($H1009=MID(P$1,3,20),IF($I1009="",1,0.6),IF($I1009=MID(P$1,3,20),0.4,0)))</f>
        <v>0</v>
      </c>
      <c r="Q1009" s="10" t="n">
        <f aca="false">IF($H1009="숙박",0,IF($H1009=MID(Q$1,3,20),IF($I1009="",1,0.6),IF($I1009=MID(Q$1,3,20),0.4,0)))</f>
        <v>1</v>
      </c>
      <c r="R1009" s="10" t="n">
        <f aca="false">IF($H1009="숙박",0,IF($H1009=MID(R$1,3,20),IF($I1009="",1,0.6),IF($I1009=MID(R$1,3,20),0.4,0)))</f>
        <v>0</v>
      </c>
      <c r="S1009" s="10" t="n">
        <f aca="false">IF($H1009="숙박",0,IF($H1009=MID(S$1,3,20),IF($I1009="",1,0.6),IF($I1009=MID(S$1,3,20),0.4,0)))</f>
        <v>0</v>
      </c>
      <c r="T1009" s="10" t="n">
        <f aca="false">IF($H1009="숙박",0,IF($H1009=MID(T$1,3,20),IF($I1009="",1,0.6),IF($I1009=MID(T$1,3,20),0.4,0)))</f>
        <v>0</v>
      </c>
      <c r="U1009" s="10" t="n">
        <f aca="false">IF($H1009="숙박",0,IF(ISNUMBER(SEARCH("야경",$J1009)),1,0))</f>
        <v>0</v>
      </c>
      <c r="V1009" s="10" t="n">
        <f aca="false">IF($H1009="숙박",0,1)</f>
        <v>1</v>
      </c>
    </row>
    <row r="1010" customFormat="false" ht="15" hidden="false" customHeight="false" outlineLevel="0" collapsed="false">
      <c r="A1010" s="8" t="n">
        <v>1009</v>
      </c>
      <c r="B1010" s="8" t="s">
        <v>45</v>
      </c>
      <c r="C1010" s="8" t="s">
        <v>310</v>
      </c>
      <c r="D1010" s="8" t="s">
        <v>3100</v>
      </c>
      <c r="E1010" s="7" t="s">
        <v>3101</v>
      </c>
      <c r="F1010" s="8"/>
      <c r="G1010" s="8" t="s">
        <v>50</v>
      </c>
      <c r="H1010" s="9" t="s">
        <v>50</v>
      </c>
      <c r="I1010" s="9" t="s">
        <v>184</v>
      </c>
      <c r="J1010" s="9" t="s">
        <v>168</v>
      </c>
      <c r="K1010" s="9" t="s">
        <v>52</v>
      </c>
      <c r="L1010" s="8"/>
      <c r="M1010" s="8"/>
      <c r="N1010" s="8" t="s">
        <v>483</v>
      </c>
      <c r="O1010" s="8" t="s">
        <v>3102</v>
      </c>
      <c r="P1010" s="10" t="n">
        <f aca="false">IF($H1010="숙박",0,IF($H1010=MID(P$1,3,20),IF($I1010="",1,0.6),IF($I1010=MID(P$1,3,20),0.4,0)))</f>
        <v>0</v>
      </c>
      <c r="Q1010" s="10" t="n">
        <f aca="false">IF($H1010="숙박",0,IF($H1010=MID(Q$1,3,20),IF($I1010="",1,0.6),IF($I1010=MID(Q$1,3,20),0.4,0)))</f>
        <v>0</v>
      </c>
      <c r="R1010" s="10" t="n">
        <f aca="false">IF($H1010="숙박",0,IF($H1010=MID(R$1,3,20),IF($I1010="",1,0.6),IF($I1010=MID(R$1,3,20),0.4,0)))</f>
        <v>0.4</v>
      </c>
      <c r="S1010" s="10" t="n">
        <f aca="false">IF($H1010="숙박",0,IF($H1010=MID(S$1,3,20),IF($I1010="",1,0.6),IF($I1010=MID(S$1,3,20),0.4,0)))</f>
        <v>0</v>
      </c>
      <c r="T1010" s="10" t="n">
        <f aca="false">IF($H1010="숙박",0,IF($H1010=MID(T$1,3,20),IF($I1010="",1,0.6),IF($I1010=MID(T$1,3,20),0.4,0)))</f>
        <v>0.6</v>
      </c>
      <c r="U1010" s="10" t="n">
        <f aca="false">IF($H1010="숙박",0,IF(ISNUMBER(SEARCH("야경",$J1010)),1,0))</f>
        <v>0</v>
      </c>
      <c r="V1010" s="10" t="n">
        <f aca="false">IF($H1010="숙박",0,1)</f>
        <v>1</v>
      </c>
    </row>
    <row r="1011" customFormat="false" ht="15" hidden="false" customHeight="false" outlineLevel="0" collapsed="false">
      <c r="A1011" s="8" t="n">
        <v>1010</v>
      </c>
      <c r="B1011" s="8" t="s">
        <v>45</v>
      </c>
      <c r="C1011" s="8" t="s">
        <v>438</v>
      </c>
      <c r="D1011" s="8" t="s">
        <v>3103</v>
      </c>
      <c r="E1011" s="7" t="s">
        <v>3104</v>
      </c>
      <c r="F1011" s="8"/>
      <c r="G1011" s="8" t="s">
        <v>216</v>
      </c>
      <c r="H1011" s="9" t="s">
        <v>216</v>
      </c>
      <c r="I1011" s="9" t="s">
        <v>190</v>
      </c>
      <c r="J1011" s="9"/>
      <c r="K1011" s="9" t="s">
        <v>191</v>
      </c>
      <c r="L1011" s="8"/>
      <c r="M1011" s="8"/>
      <c r="N1011" s="8" t="s">
        <v>483</v>
      </c>
      <c r="O1011" s="7" t="s">
        <v>3105</v>
      </c>
      <c r="P1011" s="10" t="n">
        <f aca="false">IF($H1011="숙박",0,IF($H1011=MID(P$1,3,20),IF($I1011="",1,0.6),IF($I1011=MID(P$1,3,20),0.4,0)))</f>
        <v>0.4</v>
      </c>
      <c r="Q1011" s="10" t="n">
        <f aca="false">IF($H1011="숙박",0,IF($H1011=MID(Q$1,3,20),IF($I1011="",1,0.6),IF($I1011=MID(Q$1,3,20),0.4,0)))</f>
        <v>0</v>
      </c>
      <c r="R1011" s="10" t="n">
        <f aca="false">IF($H1011="숙박",0,IF($H1011=MID(R$1,3,20),IF($I1011="",1,0.6),IF($I1011=MID(R$1,3,20),0.4,0)))</f>
        <v>0</v>
      </c>
      <c r="S1011" s="10" t="n">
        <f aca="false">IF($H1011="숙박",0,IF($H1011=MID(S$1,3,20),IF($I1011="",1,0.6),IF($I1011=MID(S$1,3,20),0.4,0)))</f>
        <v>0.6</v>
      </c>
      <c r="T1011" s="10" t="n">
        <f aca="false">IF($H1011="숙박",0,IF($H1011=MID(T$1,3,20),IF($I1011="",1,0.6),IF($I1011=MID(T$1,3,20),0.4,0)))</f>
        <v>0</v>
      </c>
      <c r="U1011" s="10" t="n">
        <f aca="false">IF($H1011="숙박",0,IF(ISNUMBER(SEARCH("야경",$J1011)),1,0))</f>
        <v>0</v>
      </c>
      <c r="V1011" s="10" t="n">
        <f aca="false">IF($H1011="숙박",0,1)</f>
        <v>1</v>
      </c>
    </row>
    <row r="1012" customFormat="false" ht="15" hidden="false" customHeight="false" outlineLevel="0" collapsed="false">
      <c r="A1012" s="8" t="n">
        <v>1011</v>
      </c>
      <c r="B1012" s="8" t="s">
        <v>45</v>
      </c>
      <c r="C1012" s="8" t="s">
        <v>331</v>
      </c>
      <c r="D1012" s="8" t="s">
        <v>3106</v>
      </c>
      <c r="E1012" s="7" t="s">
        <v>3107</v>
      </c>
      <c r="F1012" s="8"/>
      <c r="G1012" s="8" t="s">
        <v>190</v>
      </c>
      <c r="H1012" s="9" t="s">
        <v>190</v>
      </c>
      <c r="I1012" s="9" t="s">
        <v>49</v>
      </c>
      <c r="J1012" s="9"/>
      <c r="K1012" s="9" t="s">
        <v>52</v>
      </c>
      <c r="L1012" s="8"/>
      <c r="M1012" s="8"/>
      <c r="N1012" s="8" t="s">
        <v>483</v>
      </c>
      <c r="O1012" s="8" t="s">
        <v>3108</v>
      </c>
      <c r="P1012" s="10" t="n">
        <f aca="false">IF($H1012="숙박",0,IF($H1012=MID(P$1,3,20),IF($I1012="",1,0.6),IF($I1012=MID(P$1,3,20),0.4,0)))</f>
        <v>0.6</v>
      </c>
      <c r="Q1012" s="10" t="n">
        <f aca="false">IF($H1012="숙박",0,IF($H1012=MID(Q$1,3,20),IF($I1012="",1,0.6),IF($I1012=MID(Q$1,3,20),0.4,0)))</f>
        <v>0.4</v>
      </c>
      <c r="R1012" s="10" t="n">
        <f aca="false">IF($H1012="숙박",0,IF($H1012=MID(R$1,3,20),IF($I1012="",1,0.6),IF($I1012=MID(R$1,3,20),0.4,0)))</f>
        <v>0</v>
      </c>
      <c r="S1012" s="10" t="n">
        <f aca="false">IF($H1012="숙박",0,IF($H1012=MID(S$1,3,20),IF($I1012="",1,0.6),IF($I1012=MID(S$1,3,20),0.4,0)))</f>
        <v>0</v>
      </c>
      <c r="T1012" s="10" t="n">
        <f aca="false">IF($H1012="숙박",0,IF($H1012=MID(T$1,3,20),IF($I1012="",1,0.6),IF($I1012=MID(T$1,3,20),0.4,0)))</f>
        <v>0</v>
      </c>
      <c r="U1012" s="10" t="n">
        <f aca="false">IF($H1012="숙박",0,IF(ISNUMBER(SEARCH("야경",$J1012)),1,0))</f>
        <v>0</v>
      </c>
      <c r="V1012" s="10" t="n">
        <f aca="false">IF($H1012="숙박",0,1)</f>
        <v>1</v>
      </c>
    </row>
    <row r="1013" customFormat="false" ht="15" hidden="false" customHeight="false" outlineLevel="0" collapsed="false">
      <c r="A1013" s="8" t="n">
        <v>1012</v>
      </c>
      <c r="B1013" s="8" t="s">
        <v>45</v>
      </c>
      <c r="C1013" s="8" t="s">
        <v>1636</v>
      </c>
      <c r="D1013" s="8" t="s">
        <v>3109</v>
      </c>
      <c r="E1013" s="7" t="s">
        <v>3110</v>
      </c>
      <c r="F1013" s="8"/>
      <c r="G1013" s="8" t="s">
        <v>184</v>
      </c>
      <c r="H1013" s="9" t="s">
        <v>184</v>
      </c>
      <c r="I1013" s="9" t="s">
        <v>49</v>
      </c>
      <c r="J1013" s="9" t="s">
        <v>43</v>
      </c>
      <c r="K1013" s="9" t="s">
        <v>52</v>
      </c>
      <c r="L1013" s="8"/>
      <c r="M1013" s="8"/>
      <c r="N1013" s="8" t="s">
        <v>483</v>
      </c>
      <c r="O1013" s="8" t="s">
        <v>3111</v>
      </c>
      <c r="P1013" s="10" t="n">
        <f aca="false">IF($H1013="숙박",0,IF($H1013=MID(P$1,3,20),IF($I1013="",1,0.6),IF($I1013=MID(P$1,3,20),0.4,0)))</f>
        <v>0</v>
      </c>
      <c r="Q1013" s="10" t="n">
        <f aca="false">IF($H1013="숙박",0,IF($H1013=MID(Q$1,3,20),IF($I1013="",1,0.6),IF($I1013=MID(Q$1,3,20),0.4,0)))</f>
        <v>0.4</v>
      </c>
      <c r="R1013" s="10" t="n">
        <f aca="false">IF($H1013="숙박",0,IF($H1013=MID(R$1,3,20),IF($I1013="",1,0.6),IF($I1013=MID(R$1,3,20),0.4,0)))</f>
        <v>0.6</v>
      </c>
      <c r="S1013" s="10" t="n">
        <f aca="false">IF($H1013="숙박",0,IF($H1013=MID(S$1,3,20),IF($I1013="",1,0.6),IF($I1013=MID(S$1,3,20),0.4,0)))</f>
        <v>0</v>
      </c>
      <c r="T1013" s="10" t="n">
        <f aca="false">IF($H1013="숙박",0,IF($H1013=MID(T$1,3,20),IF($I1013="",1,0.6),IF($I1013=MID(T$1,3,20),0.4,0)))</f>
        <v>0</v>
      </c>
      <c r="U1013" s="10" t="n">
        <f aca="false">IF($H1013="숙박",0,IF(ISNUMBER(SEARCH("야경",$J1013)),1,0))</f>
        <v>1</v>
      </c>
      <c r="V1013" s="10" t="n">
        <f aca="false">IF($H1013="숙박",0,1)</f>
        <v>1</v>
      </c>
    </row>
    <row r="1014" customFormat="false" ht="15" hidden="false" customHeight="false" outlineLevel="0" collapsed="false">
      <c r="A1014" s="8" t="n">
        <v>1013</v>
      </c>
      <c r="B1014" s="8" t="s">
        <v>45</v>
      </c>
      <c r="C1014" s="8" t="s">
        <v>384</v>
      </c>
      <c r="D1014" s="8" t="s">
        <v>3112</v>
      </c>
      <c r="E1014" s="7" t="s">
        <v>3113</v>
      </c>
      <c r="F1014" s="8"/>
      <c r="G1014" s="8" t="s">
        <v>184</v>
      </c>
      <c r="H1014" s="9" t="s">
        <v>184</v>
      </c>
      <c r="I1014" s="9"/>
      <c r="J1014" s="9"/>
      <c r="K1014" s="9" t="s">
        <v>191</v>
      </c>
      <c r="L1014" s="8"/>
      <c r="M1014" s="8"/>
      <c r="N1014" s="8"/>
      <c r="O1014" s="8" t="s">
        <v>3114</v>
      </c>
      <c r="P1014" s="10" t="n">
        <f aca="false">IF($H1014="숙박",0,IF($H1014=MID(P$1,3,20),IF($I1014="",1,0.6),IF($I1014=MID(P$1,3,20),0.4,0)))</f>
        <v>0</v>
      </c>
      <c r="Q1014" s="10" t="n">
        <f aca="false">IF($H1014="숙박",0,IF($H1014=MID(Q$1,3,20),IF($I1014="",1,0.6),IF($I1014=MID(Q$1,3,20),0.4,0)))</f>
        <v>0</v>
      </c>
      <c r="R1014" s="10" t="n">
        <f aca="false">IF($H1014="숙박",0,IF($H1014=MID(R$1,3,20),IF($I1014="",1,0.6),IF($I1014=MID(R$1,3,20),0.4,0)))</f>
        <v>1</v>
      </c>
      <c r="S1014" s="10" t="n">
        <f aca="false">IF($H1014="숙박",0,IF($H1014=MID(S$1,3,20),IF($I1014="",1,0.6),IF($I1014=MID(S$1,3,20),0.4,0)))</f>
        <v>0</v>
      </c>
      <c r="T1014" s="10" t="n">
        <f aca="false">IF($H1014="숙박",0,IF($H1014=MID(T$1,3,20),IF($I1014="",1,0.6),IF($I1014=MID(T$1,3,20),0.4,0)))</f>
        <v>0</v>
      </c>
      <c r="U1014" s="10" t="n">
        <f aca="false">IF($H1014="숙박",0,IF(ISNUMBER(SEARCH("야경",$J1014)),1,0))</f>
        <v>0</v>
      </c>
      <c r="V1014" s="10" t="n">
        <f aca="false">IF($H1014="숙박",0,1)</f>
        <v>1</v>
      </c>
    </row>
    <row r="1015" customFormat="false" ht="15" hidden="false" customHeight="false" outlineLevel="0" collapsed="false">
      <c r="A1015" s="8" t="n">
        <v>1014</v>
      </c>
      <c r="B1015" s="8" t="s">
        <v>45</v>
      </c>
      <c r="C1015" s="8" t="s">
        <v>2199</v>
      </c>
      <c r="D1015" s="8" t="s">
        <v>3115</v>
      </c>
      <c r="E1015" s="7" t="s">
        <v>3116</v>
      </c>
      <c r="F1015" s="8"/>
      <c r="G1015" s="8" t="s">
        <v>49</v>
      </c>
      <c r="H1015" s="9" t="s">
        <v>49</v>
      </c>
      <c r="I1015" s="9"/>
      <c r="J1015" s="9"/>
      <c r="K1015" s="9" t="s">
        <v>52</v>
      </c>
      <c r="L1015" s="8"/>
      <c r="M1015" s="8"/>
      <c r="N1015" s="8"/>
      <c r="O1015" s="8" t="s">
        <v>3117</v>
      </c>
      <c r="P1015" s="10" t="n">
        <f aca="false">IF($H1015="숙박",0,IF($H1015=MID(P$1,3,20),IF($I1015="",1,0.6),IF($I1015=MID(P$1,3,20),0.4,0)))</f>
        <v>0</v>
      </c>
      <c r="Q1015" s="10" t="n">
        <f aca="false">IF($H1015="숙박",0,IF($H1015=MID(Q$1,3,20),IF($I1015="",1,0.6),IF($I1015=MID(Q$1,3,20),0.4,0)))</f>
        <v>1</v>
      </c>
      <c r="R1015" s="10" t="n">
        <f aca="false">IF($H1015="숙박",0,IF($H1015=MID(R$1,3,20),IF($I1015="",1,0.6),IF($I1015=MID(R$1,3,20),0.4,0)))</f>
        <v>0</v>
      </c>
      <c r="S1015" s="10" t="n">
        <f aca="false">IF($H1015="숙박",0,IF($H1015=MID(S$1,3,20),IF($I1015="",1,0.6),IF($I1015=MID(S$1,3,20),0.4,0)))</f>
        <v>0</v>
      </c>
      <c r="T1015" s="10" t="n">
        <f aca="false">IF($H1015="숙박",0,IF($H1015=MID(T$1,3,20),IF($I1015="",1,0.6),IF($I1015=MID(T$1,3,20),0.4,0)))</f>
        <v>0</v>
      </c>
      <c r="U1015" s="10" t="n">
        <f aca="false">IF($H1015="숙박",0,IF(ISNUMBER(SEARCH("야경",$J1015)),1,0))</f>
        <v>0</v>
      </c>
      <c r="V1015" s="10" t="n">
        <f aca="false">IF($H1015="숙박",0,1)</f>
        <v>1</v>
      </c>
    </row>
    <row r="1016" customFormat="false" ht="15" hidden="false" customHeight="false" outlineLevel="0" collapsed="false">
      <c r="A1016" s="8" t="n">
        <v>1015</v>
      </c>
      <c r="B1016" s="8" t="s">
        <v>45</v>
      </c>
      <c r="C1016" s="8"/>
      <c r="D1016" s="8" t="s">
        <v>3118</v>
      </c>
      <c r="E1016" s="7" t="s">
        <v>3119</v>
      </c>
      <c r="F1016" s="8"/>
      <c r="G1016" s="8"/>
      <c r="H1016" s="9" t="s">
        <v>594</v>
      </c>
      <c r="I1016" s="9"/>
      <c r="J1016" s="9"/>
      <c r="K1016" s="9"/>
      <c r="L1016" s="8"/>
      <c r="M1016" s="8"/>
      <c r="N1016" s="8" t="s">
        <v>595</v>
      </c>
      <c r="O1016" s="8"/>
      <c r="P1016" s="10" t="n">
        <f aca="false">IF($H1016="숙박",0,IF($H1016=MID(P$1,3,20),IF($I1016="",1,0.6),IF($I1016=MID(P$1,3,20),0.4,0)))</f>
        <v>0</v>
      </c>
      <c r="Q1016" s="10" t="n">
        <f aca="false">IF($H1016="숙박",0,IF($H1016=MID(Q$1,3,20),IF($I1016="",1,0.6),IF($I1016=MID(Q$1,3,20),0.4,0)))</f>
        <v>0</v>
      </c>
      <c r="R1016" s="10" t="n">
        <f aca="false">IF($H1016="숙박",0,IF($H1016=MID(R$1,3,20),IF($I1016="",1,0.6),IF($I1016=MID(R$1,3,20),0.4,0)))</f>
        <v>0</v>
      </c>
      <c r="S1016" s="10" t="n">
        <f aca="false">IF($H1016="숙박",0,IF($H1016=MID(S$1,3,20),IF($I1016="",1,0.6),IF($I1016=MID(S$1,3,20),0.4,0)))</f>
        <v>0</v>
      </c>
      <c r="T1016" s="10" t="n">
        <f aca="false">IF($H1016="숙박",0,IF($H1016=MID(T$1,3,20),IF($I1016="",1,0.6),IF($I1016=MID(T$1,3,20),0.4,0)))</f>
        <v>0</v>
      </c>
      <c r="U1016" s="10" t="n">
        <f aca="false">IF($H1016="숙박",0,IF(ISNUMBER(SEARCH("야경",$J1016)),1,0))</f>
        <v>0</v>
      </c>
      <c r="V1016" s="10" t="n">
        <f aca="false">IF($H1016="숙박",0,1)</f>
        <v>0</v>
      </c>
    </row>
    <row r="1017" customFormat="false" ht="15" hidden="false" customHeight="false" outlineLevel="0" collapsed="false">
      <c r="A1017" s="8" t="n">
        <v>1016</v>
      </c>
      <c r="B1017" s="8" t="s">
        <v>45</v>
      </c>
      <c r="C1017" s="8" t="s">
        <v>2199</v>
      </c>
      <c r="D1017" s="8" t="s">
        <v>3120</v>
      </c>
      <c r="E1017" s="7" t="s">
        <v>3121</v>
      </c>
      <c r="F1017" s="8"/>
      <c r="G1017" s="8" t="s">
        <v>49</v>
      </c>
      <c r="H1017" s="9" t="s">
        <v>49</v>
      </c>
      <c r="I1017" s="9"/>
      <c r="J1017" s="9"/>
      <c r="K1017" s="9" t="s">
        <v>52</v>
      </c>
      <c r="L1017" s="8"/>
      <c r="M1017" s="8"/>
      <c r="N1017" s="8"/>
      <c r="O1017" s="8" t="s">
        <v>3122</v>
      </c>
      <c r="P1017" s="10" t="n">
        <f aca="false">IF($H1017="숙박",0,IF($H1017=MID(P$1,3,20),IF($I1017="",1,0.6),IF($I1017=MID(P$1,3,20),0.4,0)))</f>
        <v>0</v>
      </c>
      <c r="Q1017" s="10" t="n">
        <f aca="false">IF($H1017="숙박",0,IF($H1017=MID(Q$1,3,20),IF($I1017="",1,0.6),IF($I1017=MID(Q$1,3,20),0.4,0)))</f>
        <v>1</v>
      </c>
      <c r="R1017" s="10" t="n">
        <f aca="false">IF($H1017="숙박",0,IF($H1017=MID(R$1,3,20),IF($I1017="",1,0.6),IF($I1017=MID(R$1,3,20),0.4,0)))</f>
        <v>0</v>
      </c>
      <c r="S1017" s="10" t="n">
        <f aca="false">IF($H1017="숙박",0,IF($H1017=MID(S$1,3,20),IF($I1017="",1,0.6),IF($I1017=MID(S$1,3,20),0.4,0)))</f>
        <v>0</v>
      </c>
      <c r="T1017" s="10" t="n">
        <f aca="false">IF($H1017="숙박",0,IF($H1017=MID(T$1,3,20),IF($I1017="",1,0.6),IF($I1017=MID(T$1,3,20),0.4,0)))</f>
        <v>0</v>
      </c>
      <c r="U1017" s="10" t="n">
        <f aca="false">IF($H1017="숙박",0,IF(ISNUMBER(SEARCH("야경",$J1017)),1,0))</f>
        <v>0</v>
      </c>
      <c r="V1017" s="10" t="n">
        <f aca="false">IF($H1017="숙박",0,1)</f>
        <v>1</v>
      </c>
    </row>
    <row r="1018" customFormat="false" ht="15" hidden="false" customHeight="false" outlineLevel="0" collapsed="false">
      <c r="A1018" s="8" t="n">
        <v>1017</v>
      </c>
      <c r="B1018" s="8" t="s">
        <v>45</v>
      </c>
      <c r="C1018" s="8" t="s">
        <v>1678</v>
      </c>
      <c r="D1018" s="8" t="s">
        <v>3123</v>
      </c>
      <c r="E1018" s="7" t="s">
        <v>3124</v>
      </c>
      <c r="F1018" s="8"/>
      <c r="G1018" s="8" t="s">
        <v>184</v>
      </c>
      <c r="H1018" s="9" t="s">
        <v>184</v>
      </c>
      <c r="I1018" s="9"/>
      <c r="J1018" s="9" t="s">
        <v>479</v>
      </c>
      <c r="K1018" s="9" t="s">
        <v>191</v>
      </c>
      <c r="L1018" s="8"/>
      <c r="M1018" s="8"/>
      <c r="N1018" s="8"/>
      <c r="O1018" s="8" t="s">
        <v>3125</v>
      </c>
      <c r="P1018" s="10" t="n">
        <f aca="false">IF($H1018="숙박",0,IF($H1018=MID(P$1,3,20),IF($I1018="",1,0.6),IF($I1018=MID(P$1,3,20),0.4,0)))</f>
        <v>0</v>
      </c>
      <c r="Q1018" s="10" t="n">
        <f aca="false">IF($H1018="숙박",0,IF($H1018=MID(Q$1,3,20),IF($I1018="",1,0.6),IF($I1018=MID(Q$1,3,20),0.4,0)))</f>
        <v>0</v>
      </c>
      <c r="R1018" s="10" t="n">
        <f aca="false">IF($H1018="숙박",0,IF($H1018=MID(R$1,3,20),IF($I1018="",1,0.6),IF($I1018=MID(R$1,3,20),0.4,0)))</f>
        <v>1</v>
      </c>
      <c r="S1018" s="10" t="n">
        <f aca="false">IF($H1018="숙박",0,IF($H1018=MID(S$1,3,20),IF($I1018="",1,0.6),IF($I1018=MID(S$1,3,20),0.4,0)))</f>
        <v>0</v>
      </c>
      <c r="T1018" s="10" t="n">
        <f aca="false">IF($H1018="숙박",0,IF($H1018=MID(T$1,3,20),IF($I1018="",1,0.6),IF($I1018=MID(T$1,3,20),0.4,0)))</f>
        <v>0</v>
      </c>
      <c r="U1018" s="10" t="n">
        <f aca="false">IF($H1018="숙박",0,IF(ISNUMBER(SEARCH("야경",$J1018)),1,0))</f>
        <v>0</v>
      </c>
      <c r="V1018" s="10" t="n">
        <f aca="false">IF($H1018="숙박",0,1)</f>
        <v>1</v>
      </c>
    </row>
    <row r="1019" customFormat="false" ht="15" hidden="false" customHeight="false" outlineLevel="0" collapsed="false">
      <c r="A1019" s="8" t="n">
        <v>1018</v>
      </c>
      <c r="B1019" s="8" t="s">
        <v>45</v>
      </c>
      <c r="C1019" s="8" t="s">
        <v>1678</v>
      </c>
      <c r="D1019" s="8" t="s">
        <v>3126</v>
      </c>
      <c r="E1019" s="7" t="s">
        <v>3127</v>
      </c>
      <c r="F1019" s="8"/>
      <c r="G1019" s="8" t="s">
        <v>184</v>
      </c>
      <c r="H1019" s="9" t="s">
        <v>184</v>
      </c>
      <c r="I1019" s="9" t="s">
        <v>190</v>
      </c>
      <c r="J1019" s="9" t="s">
        <v>1361</v>
      </c>
      <c r="K1019" s="9" t="s">
        <v>191</v>
      </c>
      <c r="L1019" s="8"/>
      <c r="M1019" s="8"/>
      <c r="N1019" s="8" t="s">
        <v>483</v>
      </c>
      <c r="O1019" s="8" t="s">
        <v>3128</v>
      </c>
      <c r="P1019" s="10" t="n">
        <f aca="false">IF($H1019="숙박",0,IF($H1019=MID(P$1,3,20),IF($I1019="",1,0.6),IF($I1019=MID(P$1,3,20),0.4,0)))</f>
        <v>0.4</v>
      </c>
      <c r="Q1019" s="10" t="n">
        <f aca="false">IF($H1019="숙박",0,IF($H1019=MID(Q$1,3,20),IF($I1019="",1,0.6),IF($I1019=MID(Q$1,3,20),0.4,0)))</f>
        <v>0</v>
      </c>
      <c r="R1019" s="10" t="n">
        <f aca="false">IF($H1019="숙박",0,IF($H1019=MID(R$1,3,20),IF($I1019="",1,0.6),IF($I1019=MID(R$1,3,20),0.4,0)))</f>
        <v>0.6</v>
      </c>
      <c r="S1019" s="10" t="n">
        <f aca="false">IF($H1019="숙박",0,IF($H1019=MID(S$1,3,20),IF($I1019="",1,0.6),IF($I1019=MID(S$1,3,20),0.4,0)))</f>
        <v>0</v>
      </c>
      <c r="T1019" s="10" t="n">
        <f aca="false">IF($H1019="숙박",0,IF($H1019=MID(T$1,3,20),IF($I1019="",1,0.6),IF($I1019=MID(T$1,3,20),0.4,0)))</f>
        <v>0</v>
      </c>
      <c r="U1019" s="10" t="n">
        <f aca="false">IF($H1019="숙박",0,IF(ISNUMBER(SEARCH("야경",$J1019)),1,0))</f>
        <v>0</v>
      </c>
      <c r="V1019" s="10" t="n">
        <f aca="false">IF($H1019="숙박",0,1)</f>
        <v>1</v>
      </c>
    </row>
    <row r="1020" customFormat="false" ht="15" hidden="false" customHeight="false" outlineLevel="0" collapsed="false">
      <c r="A1020" s="8" t="n">
        <v>1019</v>
      </c>
      <c r="B1020" s="8" t="s">
        <v>45</v>
      </c>
      <c r="C1020" s="8"/>
      <c r="D1020" s="8" t="s">
        <v>3129</v>
      </c>
      <c r="E1020" s="7" t="s">
        <v>3130</v>
      </c>
      <c r="F1020" s="8"/>
      <c r="G1020" s="8"/>
      <c r="H1020" s="9" t="s">
        <v>594</v>
      </c>
      <c r="I1020" s="9"/>
      <c r="J1020" s="9"/>
      <c r="K1020" s="9"/>
      <c r="L1020" s="8"/>
      <c r="M1020" s="8"/>
      <c r="N1020" s="8" t="s">
        <v>595</v>
      </c>
      <c r="O1020" s="8"/>
      <c r="P1020" s="10" t="n">
        <f aca="false">IF($H1020="숙박",0,IF($H1020=MID(P$1,3,20),IF($I1020="",1,0.6),IF($I1020=MID(P$1,3,20),0.4,0)))</f>
        <v>0</v>
      </c>
      <c r="Q1020" s="10" t="n">
        <f aca="false">IF($H1020="숙박",0,IF($H1020=MID(Q$1,3,20),IF($I1020="",1,0.6),IF($I1020=MID(Q$1,3,20),0.4,0)))</f>
        <v>0</v>
      </c>
      <c r="R1020" s="10" t="n">
        <f aca="false">IF($H1020="숙박",0,IF($H1020=MID(R$1,3,20),IF($I1020="",1,0.6),IF($I1020=MID(R$1,3,20),0.4,0)))</f>
        <v>0</v>
      </c>
      <c r="S1020" s="10" t="n">
        <f aca="false">IF($H1020="숙박",0,IF($H1020=MID(S$1,3,20),IF($I1020="",1,0.6),IF($I1020=MID(S$1,3,20),0.4,0)))</f>
        <v>0</v>
      </c>
      <c r="T1020" s="10" t="n">
        <f aca="false">IF($H1020="숙박",0,IF($H1020=MID(T$1,3,20),IF($I1020="",1,0.6),IF($I1020=MID(T$1,3,20),0.4,0)))</f>
        <v>0</v>
      </c>
      <c r="U1020" s="10" t="n">
        <f aca="false">IF($H1020="숙박",0,IF(ISNUMBER(SEARCH("야경",$J1020)),1,0))</f>
        <v>0</v>
      </c>
      <c r="V1020" s="10" t="n">
        <f aca="false">IF($H1020="숙박",0,1)</f>
        <v>0</v>
      </c>
    </row>
    <row r="1021" customFormat="false" ht="15" hidden="false" customHeight="false" outlineLevel="0" collapsed="false">
      <c r="A1021" s="8" t="n">
        <v>1020</v>
      </c>
      <c r="B1021" s="8" t="s">
        <v>45</v>
      </c>
      <c r="C1021" s="8" t="s">
        <v>1785</v>
      </c>
      <c r="D1021" s="8" t="s">
        <v>3131</v>
      </c>
      <c r="E1021" s="7" t="s">
        <v>3132</v>
      </c>
      <c r="F1021" s="8"/>
      <c r="G1021" s="8" t="s">
        <v>184</v>
      </c>
      <c r="H1021" s="9" t="s">
        <v>184</v>
      </c>
      <c r="I1021" s="9"/>
      <c r="J1021" s="9"/>
      <c r="K1021" s="9" t="s">
        <v>191</v>
      </c>
      <c r="L1021" s="8"/>
      <c r="M1021" s="8"/>
      <c r="N1021" s="8"/>
      <c r="O1021" s="8" t="s">
        <v>3133</v>
      </c>
      <c r="P1021" s="10" t="n">
        <f aca="false">IF($H1021="숙박",0,IF($H1021=MID(P$1,3,20),IF($I1021="",1,0.6),IF($I1021=MID(P$1,3,20),0.4,0)))</f>
        <v>0</v>
      </c>
      <c r="Q1021" s="10" t="n">
        <f aca="false">IF($H1021="숙박",0,IF($H1021=MID(Q$1,3,20),IF($I1021="",1,0.6),IF($I1021=MID(Q$1,3,20),0.4,0)))</f>
        <v>0</v>
      </c>
      <c r="R1021" s="10" t="n">
        <f aca="false">IF($H1021="숙박",0,IF($H1021=MID(R$1,3,20),IF($I1021="",1,0.6),IF($I1021=MID(R$1,3,20),0.4,0)))</f>
        <v>1</v>
      </c>
      <c r="S1021" s="10" t="n">
        <f aca="false">IF($H1021="숙박",0,IF($H1021=MID(S$1,3,20),IF($I1021="",1,0.6),IF($I1021=MID(S$1,3,20),0.4,0)))</f>
        <v>0</v>
      </c>
      <c r="T1021" s="10" t="n">
        <f aca="false">IF($H1021="숙박",0,IF($H1021=MID(T$1,3,20),IF($I1021="",1,0.6),IF($I1021=MID(T$1,3,20),0.4,0)))</f>
        <v>0</v>
      </c>
      <c r="U1021" s="10" t="n">
        <f aca="false">IF($H1021="숙박",0,IF(ISNUMBER(SEARCH("야경",$J1021)),1,0))</f>
        <v>0</v>
      </c>
      <c r="V1021" s="10" t="n">
        <f aca="false">IF($H1021="숙박",0,1)</f>
        <v>1</v>
      </c>
    </row>
    <row r="1022" customFormat="false" ht="15" hidden="false" customHeight="false" outlineLevel="0" collapsed="false">
      <c r="A1022" s="8" t="n">
        <v>1021</v>
      </c>
      <c r="B1022" s="8" t="s">
        <v>45</v>
      </c>
      <c r="C1022" s="8" t="s">
        <v>297</v>
      </c>
      <c r="D1022" s="8" t="s">
        <v>3134</v>
      </c>
      <c r="E1022" s="7" t="s">
        <v>3135</v>
      </c>
      <c r="F1022" s="8"/>
      <c r="G1022" s="8" t="s">
        <v>190</v>
      </c>
      <c r="H1022" s="9" t="s">
        <v>190</v>
      </c>
      <c r="I1022" s="9"/>
      <c r="J1022" s="9"/>
      <c r="K1022" s="9" t="s">
        <v>191</v>
      </c>
      <c r="L1022" s="8"/>
      <c r="M1022" s="8"/>
      <c r="N1022" s="8"/>
      <c r="O1022" s="8" t="s">
        <v>3136</v>
      </c>
      <c r="P1022" s="10" t="n">
        <f aca="false">IF($H1022="숙박",0,IF($H1022=MID(P$1,3,20),IF($I1022="",1,0.6),IF($I1022=MID(P$1,3,20),0.4,0)))</f>
        <v>1</v>
      </c>
      <c r="Q1022" s="10" t="n">
        <f aca="false">IF($H1022="숙박",0,IF($H1022=MID(Q$1,3,20),IF($I1022="",1,0.6),IF($I1022=MID(Q$1,3,20),0.4,0)))</f>
        <v>0</v>
      </c>
      <c r="R1022" s="10" t="n">
        <f aca="false">IF($H1022="숙박",0,IF($H1022=MID(R$1,3,20),IF($I1022="",1,0.6),IF($I1022=MID(R$1,3,20),0.4,0)))</f>
        <v>0</v>
      </c>
      <c r="S1022" s="10" t="n">
        <f aca="false">IF($H1022="숙박",0,IF($H1022=MID(S$1,3,20),IF($I1022="",1,0.6),IF($I1022=MID(S$1,3,20),0.4,0)))</f>
        <v>0</v>
      </c>
      <c r="T1022" s="10" t="n">
        <f aca="false">IF($H1022="숙박",0,IF($H1022=MID(T$1,3,20),IF($I1022="",1,0.6),IF($I1022=MID(T$1,3,20),0.4,0)))</f>
        <v>0</v>
      </c>
      <c r="U1022" s="10" t="n">
        <f aca="false">IF($H1022="숙박",0,IF(ISNUMBER(SEARCH("야경",$J1022)),1,0))</f>
        <v>0</v>
      </c>
      <c r="V1022" s="10" t="n">
        <f aca="false">IF($H1022="숙박",0,1)</f>
        <v>1</v>
      </c>
    </row>
    <row r="1023" customFormat="false" ht="15" hidden="false" customHeight="false" outlineLevel="0" collapsed="false">
      <c r="A1023" s="8" t="n">
        <v>1022</v>
      </c>
      <c r="B1023" s="8" t="s">
        <v>45</v>
      </c>
      <c r="C1023" s="8" t="s">
        <v>297</v>
      </c>
      <c r="D1023" s="8" t="s">
        <v>3137</v>
      </c>
      <c r="E1023" s="7" t="s">
        <v>3138</v>
      </c>
      <c r="F1023" s="8"/>
      <c r="G1023" s="8" t="s">
        <v>184</v>
      </c>
      <c r="H1023" s="9" t="s">
        <v>184</v>
      </c>
      <c r="I1023" s="9"/>
      <c r="J1023" s="9"/>
      <c r="K1023" s="9" t="s">
        <v>191</v>
      </c>
      <c r="L1023" s="8"/>
      <c r="M1023" s="8"/>
      <c r="N1023" s="8"/>
      <c r="O1023" s="8" t="s">
        <v>3139</v>
      </c>
      <c r="P1023" s="10" t="n">
        <f aca="false">IF($H1023="숙박",0,IF($H1023=MID(P$1,3,20),IF($I1023="",1,0.6),IF($I1023=MID(P$1,3,20),0.4,0)))</f>
        <v>0</v>
      </c>
      <c r="Q1023" s="10" t="n">
        <f aca="false">IF($H1023="숙박",0,IF($H1023=MID(Q$1,3,20),IF($I1023="",1,0.6),IF($I1023=MID(Q$1,3,20),0.4,0)))</f>
        <v>0</v>
      </c>
      <c r="R1023" s="10" t="n">
        <f aca="false">IF($H1023="숙박",0,IF($H1023=MID(R$1,3,20),IF($I1023="",1,0.6),IF($I1023=MID(R$1,3,20),0.4,0)))</f>
        <v>1</v>
      </c>
      <c r="S1023" s="10" t="n">
        <f aca="false">IF($H1023="숙박",0,IF($H1023=MID(S$1,3,20),IF($I1023="",1,0.6),IF($I1023=MID(S$1,3,20),0.4,0)))</f>
        <v>0</v>
      </c>
      <c r="T1023" s="10" t="n">
        <f aca="false">IF($H1023="숙박",0,IF($H1023=MID(T$1,3,20),IF($I1023="",1,0.6),IF($I1023=MID(T$1,3,20),0.4,0)))</f>
        <v>0</v>
      </c>
      <c r="U1023" s="10" t="n">
        <f aca="false">IF($H1023="숙박",0,IF(ISNUMBER(SEARCH("야경",$J1023)),1,0))</f>
        <v>0</v>
      </c>
      <c r="V1023" s="10" t="n">
        <f aca="false">IF($H1023="숙박",0,1)</f>
        <v>1</v>
      </c>
    </row>
    <row r="1024" customFormat="false" ht="15" hidden="false" customHeight="false" outlineLevel="0" collapsed="false">
      <c r="A1024" s="8" t="n">
        <v>1023</v>
      </c>
      <c r="B1024" s="8" t="s">
        <v>45</v>
      </c>
      <c r="C1024" s="8" t="s">
        <v>297</v>
      </c>
      <c r="D1024" s="8" t="s">
        <v>3140</v>
      </c>
      <c r="E1024" s="7" t="s">
        <v>3141</v>
      </c>
      <c r="F1024" s="8"/>
      <c r="G1024" s="8" t="s">
        <v>216</v>
      </c>
      <c r="H1024" s="9" t="s">
        <v>216</v>
      </c>
      <c r="I1024" s="9"/>
      <c r="J1024" s="9" t="s">
        <v>479</v>
      </c>
      <c r="K1024" s="9" t="s">
        <v>191</v>
      </c>
      <c r="L1024" s="8"/>
      <c r="M1024" s="8"/>
      <c r="N1024" s="8"/>
      <c r="O1024" s="8" t="s">
        <v>3142</v>
      </c>
      <c r="P1024" s="10" t="n">
        <f aca="false">IF($H1024="숙박",0,IF($H1024=MID(P$1,3,20),IF($I1024="",1,0.6),IF($I1024=MID(P$1,3,20),0.4,0)))</f>
        <v>0</v>
      </c>
      <c r="Q1024" s="10" t="n">
        <f aca="false">IF($H1024="숙박",0,IF($H1024=MID(Q$1,3,20),IF($I1024="",1,0.6),IF($I1024=MID(Q$1,3,20),0.4,0)))</f>
        <v>0</v>
      </c>
      <c r="R1024" s="10" t="n">
        <f aca="false">IF($H1024="숙박",0,IF($H1024=MID(R$1,3,20),IF($I1024="",1,0.6),IF($I1024=MID(R$1,3,20),0.4,0)))</f>
        <v>0</v>
      </c>
      <c r="S1024" s="10" t="n">
        <f aca="false">IF($H1024="숙박",0,IF($H1024=MID(S$1,3,20),IF($I1024="",1,0.6),IF($I1024=MID(S$1,3,20),0.4,0)))</f>
        <v>1</v>
      </c>
      <c r="T1024" s="10" t="n">
        <f aca="false">IF($H1024="숙박",0,IF($H1024=MID(T$1,3,20),IF($I1024="",1,0.6),IF($I1024=MID(T$1,3,20),0.4,0)))</f>
        <v>0</v>
      </c>
      <c r="U1024" s="10" t="n">
        <f aca="false">IF($H1024="숙박",0,IF(ISNUMBER(SEARCH("야경",$J1024)),1,0))</f>
        <v>0</v>
      </c>
      <c r="V1024" s="10" t="n">
        <f aca="false">IF($H1024="숙박",0,1)</f>
        <v>1</v>
      </c>
    </row>
    <row r="1025" customFormat="false" ht="15" hidden="false" customHeight="false" outlineLevel="0" collapsed="false">
      <c r="A1025" s="8" t="n">
        <v>1024</v>
      </c>
      <c r="B1025" s="8" t="s">
        <v>45</v>
      </c>
      <c r="C1025" s="8" t="s">
        <v>297</v>
      </c>
      <c r="D1025" s="8" t="s">
        <v>3143</v>
      </c>
      <c r="E1025" s="7" t="s">
        <v>3144</v>
      </c>
      <c r="F1025" s="8"/>
      <c r="G1025" s="8" t="s">
        <v>49</v>
      </c>
      <c r="H1025" s="9" t="s">
        <v>49</v>
      </c>
      <c r="I1025" s="9"/>
      <c r="J1025" s="9"/>
      <c r="K1025" s="9" t="s">
        <v>52</v>
      </c>
      <c r="L1025" s="8"/>
      <c r="M1025" s="8"/>
      <c r="N1025" s="8"/>
      <c r="O1025" s="8" t="s">
        <v>3145</v>
      </c>
      <c r="P1025" s="10" t="n">
        <f aca="false">IF($H1025="숙박",0,IF($H1025=MID(P$1,3,20),IF($I1025="",1,0.6),IF($I1025=MID(P$1,3,20),0.4,0)))</f>
        <v>0</v>
      </c>
      <c r="Q1025" s="10" t="n">
        <f aca="false">IF($H1025="숙박",0,IF($H1025=MID(Q$1,3,20),IF($I1025="",1,0.6),IF($I1025=MID(Q$1,3,20),0.4,0)))</f>
        <v>1</v>
      </c>
      <c r="R1025" s="10" t="n">
        <f aca="false">IF($H1025="숙박",0,IF($H1025=MID(R$1,3,20),IF($I1025="",1,0.6),IF($I1025=MID(R$1,3,20),0.4,0)))</f>
        <v>0</v>
      </c>
      <c r="S1025" s="10" t="n">
        <f aca="false">IF($H1025="숙박",0,IF($H1025=MID(S$1,3,20),IF($I1025="",1,0.6),IF($I1025=MID(S$1,3,20),0.4,0)))</f>
        <v>0</v>
      </c>
      <c r="T1025" s="10" t="n">
        <f aca="false">IF($H1025="숙박",0,IF($H1025=MID(T$1,3,20),IF($I1025="",1,0.6),IF($I1025=MID(T$1,3,20),0.4,0)))</f>
        <v>0</v>
      </c>
      <c r="U1025" s="10" t="n">
        <f aca="false">IF($H1025="숙박",0,IF(ISNUMBER(SEARCH("야경",$J1025)),1,0))</f>
        <v>0</v>
      </c>
      <c r="V1025" s="10" t="n">
        <f aca="false">IF($H1025="숙박",0,1)</f>
        <v>1</v>
      </c>
    </row>
    <row r="1026" customFormat="false" ht="15" hidden="false" customHeight="false" outlineLevel="0" collapsed="false">
      <c r="A1026" s="8" t="n">
        <v>1025</v>
      </c>
      <c r="B1026" s="8" t="s">
        <v>45</v>
      </c>
      <c r="C1026" s="8" t="s">
        <v>297</v>
      </c>
      <c r="D1026" s="8" t="s">
        <v>3146</v>
      </c>
      <c r="E1026" s="7" t="s">
        <v>3147</v>
      </c>
      <c r="F1026" s="8"/>
      <c r="G1026" s="8" t="s">
        <v>190</v>
      </c>
      <c r="H1026" s="9" t="s">
        <v>190</v>
      </c>
      <c r="I1026" s="9"/>
      <c r="J1026" s="9" t="s">
        <v>1361</v>
      </c>
      <c r="K1026" s="9" t="s">
        <v>191</v>
      </c>
      <c r="L1026" s="8"/>
      <c r="M1026" s="8"/>
      <c r="N1026" s="8"/>
      <c r="O1026" s="7" t="s">
        <v>3148</v>
      </c>
      <c r="P1026" s="10" t="n">
        <f aca="false">IF($H1026="숙박",0,IF($H1026=MID(P$1,3,20),IF($I1026="",1,0.6),IF($I1026=MID(P$1,3,20),0.4,0)))</f>
        <v>1</v>
      </c>
      <c r="Q1026" s="10" t="n">
        <f aca="false">IF($H1026="숙박",0,IF($H1026=MID(Q$1,3,20),IF($I1026="",1,0.6),IF($I1026=MID(Q$1,3,20),0.4,0)))</f>
        <v>0</v>
      </c>
      <c r="R1026" s="10" t="n">
        <f aca="false">IF($H1026="숙박",0,IF($H1026=MID(R$1,3,20),IF($I1026="",1,0.6),IF($I1026=MID(R$1,3,20),0.4,0)))</f>
        <v>0</v>
      </c>
      <c r="S1026" s="10" t="n">
        <f aca="false">IF($H1026="숙박",0,IF($H1026=MID(S$1,3,20),IF($I1026="",1,0.6),IF($I1026=MID(S$1,3,20),0.4,0)))</f>
        <v>0</v>
      </c>
      <c r="T1026" s="10" t="n">
        <f aca="false">IF($H1026="숙박",0,IF($H1026=MID(T$1,3,20),IF($I1026="",1,0.6),IF($I1026=MID(T$1,3,20),0.4,0)))</f>
        <v>0</v>
      </c>
      <c r="U1026" s="10" t="n">
        <f aca="false">IF($H1026="숙박",0,IF(ISNUMBER(SEARCH("야경",$J1026)),1,0))</f>
        <v>0</v>
      </c>
      <c r="V1026" s="10" t="n">
        <f aca="false">IF($H1026="숙박",0,1)</f>
        <v>1</v>
      </c>
    </row>
    <row r="1027" customFormat="false" ht="15" hidden="false" customHeight="false" outlineLevel="0" collapsed="false">
      <c r="A1027" s="8" t="n">
        <v>1026</v>
      </c>
      <c r="B1027" s="8" t="s">
        <v>45</v>
      </c>
      <c r="C1027" s="8"/>
      <c r="D1027" s="8" t="s">
        <v>3149</v>
      </c>
      <c r="E1027" s="7" t="s">
        <v>3150</v>
      </c>
      <c r="F1027" s="8"/>
      <c r="G1027" s="8"/>
      <c r="H1027" s="9" t="s">
        <v>594</v>
      </c>
      <c r="I1027" s="9"/>
      <c r="J1027" s="9"/>
      <c r="K1027" s="9"/>
      <c r="L1027" s="8"/>
      <c r="M1027" s="8"/>
      <c r="N1027" s="8" t="s">
        <v>595</v>
      </c>
      <c r="O1027" s="8"/>
      <c r="P1027" s="10" t="n">
        <f aca="false">IF($H1027="숙박",0,IF($H1027=MID(P$1,3,20),IF($I1027="",1,0.6),IF($I1027=MID(P$1,3,20),0.4,0)))</f>
        <v>0</v>
      </c>
      <c r="Q1027" s="10" t="n">
        <f aca="false">IF($H1027="숙박",0,IF($H1027=MID(Q$1,3,20),IF($I1027="",1,0.6),IF($I1027=MID(Q$1,3,20),0.4,0)))</f>
        <v>0</v>
      </c>
      <c r="R1027" s="10" t="n">
        <f aca="false">IF($H1027="숙박",0,IF($H1027=MID(R$1,3,20),IF($I1027="",1,0.6),IF($I1027=MID(R$1,3,20),0.4,0)))</f>
        <v>0</v>
      </c>
      <c r="S1027" s="10" t="n">
        <f aca="false">IF($H1027="숙박",0,IF($H1027=MID(S$1,3,20),IF($I1027="",1,0.6),IF($I1027=MID(S$1,3,20),0.4,0)))</f>
        <v>0</v>
      </c>
      <c r="T1027" s="10" t="n">
        <f aca="false">IF($H1027="숙박",0,IF($H1027=MID(T$1,3,20),IF($I1027="",1,0.6),IF($I1027=MID(T$1,3,20),0.4,0)))</f>
        <v>0</v>
      </c>
      <c r="U1027" s="10" t="n">
        <f aca="false">IF($H1027="숙박",0,IF(ISNUMBER(SEARCH("야경",$J1027)),1,0))</f>
        <v>0</v>
      </c>
      <c r="V1027" s="10" t="n">
        <f aca="false">IF($H1027="숙박",0,1)</f>
        <v>0</v>
      </c>
    </row>
    <row r="1028" customFormat="false" ht="15" hidden="false" customHeight="false" outlineLevel="0" collapsed="false">
      <c r="A1028" s="8" t="n">
        <v>1027</v>
      </c>
      <c r="B1028" s="8" t="s">
        <v>45</v>
      </c>
      <c r="C1028" s="8" t="s">
        <v>1508</v>
      </c>
      <c r="D1028" s="8" t="s">
        <v>3151</v>
      </c>
      <c r="E1028" s="7" t="s">
        <v>3152</v>
      </c>
      <c r="F1028" s="8"/>
      <c r="G1028" s="8" t="s">
        <v>49</v>
      </c>
      <c r="H1028" s="9" t="s">
        <v>49</v>
      </c>
      <c r="I1028" s="9"/>
      <c r="J1028" s="9"/>
      <c r="K1028" s="9" t="s">
        <v>52</v>
      </c>
      <c r="L1028" s="8"/>
      <c r="M1028" s="8"/>
      <c r="N1028" s="8"/>
      <c r="O1028" s="8" t="s">
        <v>3153</v>
      </c>
      <c r="P1028" s="10" t="n">
        <f aca="false">IF($H1028="숙박",0,IF($H1028=MID(P$1,3,20),IF($I1028="",1,0.6),IF($I1028=MID(P$1,3,20),0.4,0)))</f>
        <v>0</v>
      </c>
      <c r="Q1028" s="10" t="n">
        <f aca="false">IF($H1028="숙박",0,IF($H1028=MID(Q$1,3,20),IF($I1028="",1,0.6),IF($I1028=MID(Q$1,3,20),0.4,0)))</f>
        <v>1</v>
      </c>
      <c r="R1028" s="10" t="n">
        <f aca="false">IF($H1028="숙박",0,IF($H1028=MID(R$1,3,20),IF($I1028="",1,0.6),IF($I1028=MID(R$1,3,20),0.4,0)))</f>
        <v>0</v>
      </c>
      <c r="S1028" s="10" t="n">
        <f aca="false">IF($H1028="숙박",0,IF($H1028=MID(S$1,3,20),IF($I1028="",1,0.6),IF($I1028=MID(S$1,3,20),0.4,0)))</f>
        <v>0</v>
      </c>
      <c r="T1028" s="10" t="n">
        <f aca="false">IF($H1028="숙박",0,IF($H1028=MID(T$1,3,20),IF($I1028="",1,0.6),IF($I1028=MID(T$1,3,20),0.4,0)))</f>
        <v>0</v>
      </c>
      <c r="U1028" s="10" t="n">
        <f aca="false">IF($H1028="숙박",0,IF(ISNUMBER(SEARCH("야경",$J1028)),1,0))</f>
        <v>0</v>
      </c>
      <c r="V1028" s="10" t="n">
        <f aca="false">IF($H1028="숙박",0,1)</f>
        <v>1</v>
      </c>
    </row>
    <row r="1029" customFormat="false" ht="15" hidden="false" customHeight="false" outlineLevel="0" collapsed="false">
      <c r="A1029" s="8" t="n">
        <v>1028</v>
      </c>
      <c r="B1029" s="8" t="s">
        <v>45</v>
      </c>
      <c r="C1029" s="8"/>
      <c r="D1029" s="8" t="s">
        <v>3154</v>
      </c>
      <c r="E1029" s="7" t="s">
        <v>3155</v>
      </c>
      <c r="F1029" s="8"/>
      <c r="G1029" s="8"/>
      <c r="H1029" s="9" t="s">
        <v>594</v>
      </c>
      <c r="I1029" s="9"/>
      <c r="J1029" s="9"/>
      <c r="K1029" s="9"/>
      <c r="L1029" s="8"/>
      <c r="M1029" s="8"/>
      <c r="N1029" s="8" t="s">
        <v>595</v>
      </c>
      <c r="O1029" s="8"/>
      <c r="P1029" s="10" t="n">
        <f aca="false">IF($H1029="숙박",0,IF($H1029=MID(P$1,3,20),IF($I1029="",1,0.6),IF($I1029=MID(P$1,3,20),0.4,0)))</f>
        <v>0</v>
      </c>
      <c r="Q1029" s="10" t="n">
        <f aca="false">IF($H1029="숙박",0,IF($H1029=MID(Q$1,3,20),IF($I1029="",1,0.6),IF($I1029=MID(Q$1,3,20),0.4,0)))</f>
        <v>0</v>
      </c>
      <c r="R1029" s="10" t="n">
        <f aca="false">IF($H1029="숙박",0,IF($H1029=MID(R$1,3,20),IF($I1029="",1,0.6),IF($I1029=MID(R$1,3,20),0.4,0)))</f>
        <v>0</v>
      </c>
      <c r="S1029" s="10" t="n">
        <f aca="false">IF($H1029="숙박",0,IF($H1029=MID(S$1,3,20),IF($I1029="",1,0.6),IF($I1029=MID(S$1,3,20),0.4,0)))</f>
        <v>0</v>
      </c>
      <c r="T1029" s="10" t="n">
        <f aca="false">IF($H1029="숙박",0,IF($H1029=MID(T$1,3,20),IF($I1029="",1,0.6),IF($I1029=MID(T$1,3,20),0.4,0)))</f>
        <v>0</v>
      </c>
      <c r="U1029" s="10" t="n">
        <f aca="false">IF($H1029="숙박",0,IF(ISNUMBER(SEARCH("야경",$J1029)),1,0))</f>
        <v>0</v>
      </c>
      <c r="V1029" s="10" t="n">
        <f aca="false">IF($H1029="숙박",0,1)</f>
        <v>0</v>
      </c>
    </row>
    <row r="1030" customFormat="false" ht="15" hidden="false" customHeight="false" outlineLevel="0" collapsed="false">
      <c r="A1030" s="8" t="n">
        <v>1029</v>
      </c>
      <c r="B1030" s="8" t="s">
        <v>45</v>
      </c>
      <c r="C1030" s="8" t="s">
        <v>388</v>
      </c>
      <c r="D1030" s="8" t="s">
        <v>3156</v>
      </c>
      <c r="E1030" s="7" t="s">
        <v>3157</v>
      </c>
      <c r="F1030" s="8"/>
      <c r="G1030" s="8" t="s">
        <v>50</v>
      </c>
      <c r="H1030" s="9" t="s">
        <v>50</v>
      </c>
      <c r="I1030" s="9" t="s">
        <v>49</v>
      </c>
      <c r="J1030" s="9" t="s">
        <v>168</v>
      </c>
      <c r="K1030" s="9" t="s">
        <v>52</v>
      </c>
      <c r="L1030" s="8"/>
      <c r="M1030" s="8"/>
      <c r="N1030" s="8" t="s">
        <v>483</v>
      </c>
      <c r="O1030" s="8" t="s">
        <v>3158</v>
      </c>
      <c r="P1030" s="10" t="n">
        <f aca="false">IF($H1030="숙박",0,IF($H1030=MID(P$1,3,20),IF($I1030="",1,0.6),IF($I1030=MID(P$1,3,20),0.4,0)))</f>
        <v>0</v>
      </c>
      <c r="Q1030" s="10" t="n">
        <f aca="false">IF($H1030="숙박",0,IF($H1030=MID(Q$1,3,20),IF($I1030="",1,0.6),IF($I1030=MID(Q$1,3,20),0.4,0)))</f>
        <v>0.4</v>
      </c>
      <c r="R1030" s="10" t="n">
        <f aca="false">IF($H1030="숙박",0,IF($H1030=MID(R$1,3,20),IF($I1030="",1,0.6),IF($I1030=MID(R$1,3,20),0.4,0)))</f>
        <v>0</v>
      </c>
      <c r="S1030" s="10" t="n">
        <f aca="false">IF($H1030="숙박",0,IF($H1030=MID(S$1,3,20),IF($I1030="",1,0.6),IF($I1030=MID(S$1,3,20),0.4,0)))</f>
        <v>0</v>
      </c>
      <c r="T1030" s="10" t="n">
        <f aca="false">IF($H1030="숙박",0,IF($H1030=MID(T$1,3,20),IF($I1030="",1,0.6),IF($I1030=MID(T$1,3,20),0.4,0)))</f>
        <v>0.6</v>
      </c>
      <c r="U1030" s="10" t="n">
        <f aca="false">IF($H1030="숙박",0,IF(ISNUMBER(SEARCH("야경",$J1030)),1,0))</f>
        <v>0</v>
      </c>
      <c r="V1030" s="10" t="n">
        <f aca="false">IF($H1030="숙박",0,1)</f>
        <v>1</v>
      </c>
    </row>
    <row r="1031" customFormat="false" ht="15" hidden="false" customHeight="false" outlineLevel="0" collapsed="false">
      <c r="A1031" s="8" t="n">
        <v>1030</v>
      </c>
      <c r="B1031" s="8" t="s">
        <v>45</v>
      </c>
      <c r="C1031" s="8" t="s">
        <v>1367</v>
      </c>
      <c r="D1031" s="8" t="s">
        <v>3159</v>
      </c>
      <c r="E1031" s="7" t="s">
        <v>3160</v>
      </c>
      <c r="F1031" s="8"/>
      <c r="G1031" s="8" t="s">
        <v>190</v>
      </c>
      <c r="H1031" s="9" t="s">
        <v>190</v>
      </c>
      <c r="I1031" s="9" t="s">
        <v>49</v>
      </c>
      <c r="J1031" s="9"/>
      <c r="K1031" s="9" t="s">
        <v>52</v>
      </c>
      <c r="L1031" s="8"/>
      <c r="M1031" s="8"/>
      <c r="N1031" s="8" t="s">
        <v>483</v>
      </c>
      <c r="O1031" s="8" t="s">
        <v>3161</v>
      </c>
      <c r="P1031" s="10" t="n">
        <f aca="false">IF($H1031="숙박",0,IF($H1031=MID(P$1,3,20),IF($I1031="",1,0.6),IF($I1031=MID(P$1,3,20),0.4,0)))</f>
        <v>0.6</v>
      </c>
      <c r="Q1031" s="10" t="n">
        <f aca="false">IF($H1031="숙박",0,IF($H1031=MID(Q$1,3,20),IF($I1031="",1,0.6),IF($I1031=MID(Q$1,3,20),0.4,0)))</f>
        <v>0.4</v>
      </c>
      <c r="R1031" s="10" t="n">
        <f aca="false">IF($H1031="숙박",0,IF($H1031=MID(R$1,3,20),IF($I1031="",1,0.6),IF($I1031=MID(R$1,3,20),0.4,0)))</f>
        <v>0</v>
      </c>
      <c r="S1031" s="10" t="n">
        <f aca="false">IF($H1031="숙박",0,IF($H1031=MID(S$1,3,20),IF($I1031="",1,0.6),IF($I1031=MID(S$1,3,20),0.4,0)))</f>
        <v>0</v>
      </c>
      <c r="T1031" s="10" t="n">
        <f aca="false">IF($H1031="숙박",0,IF($H1031=MID(T$1,3,20),IF($I1031="",1,0.6),IF($I1031=MID(T$1,3,20),0.4,0)))</f>
        <v>0</v>
      </c>
      <c r="U1031" s="10" t="n">
        <f aca="false">IF($H1031="숙박",0,IF(ISNUMBER(SEARCH("야경",$J1031)),1,0))</f>
        <v>0</v>
      </c>
      <c r="V1031" s="10" t="n">
        <f aca="false">IF($H1031="숙박",0,1)</f>
        <v>1</v>
      </c>
    </row>
    <row r="1032" customFormat="false" ht="15" hidden="false" customHeight="false" outlineLevel="0" collapsed="false">
      <c r="A1032" s="8" t="n">
        <v>1031</v>
      </c>
      <c r="B1032" s="8" t="s">
        <v>45</v>
      </c>
      <c r="C1032" s="8" t="s">
        <v>1489</v>
      </c>
      <c r="D1032" s="8" t="s">
        <v>3162</v>
      </c>
      <c r="E1032" s="7" t="s">
        <v>3163</v>
      </c>
      <c r="F1032" s="8"/>
      <c r="G1032" s="8" t="s">
        <v>190</v>
      </c>
      <c r="H1032" s="9" t="s">
        <v>190</v>
      </c>
      <c r="I1032" s="9"/>
      <c r="J1032" s="9"/>
      <c r="K1032" s="9" t="s">
        <v>191</v>
      </c>
      <c r="L1032" s="8"/>
      <c r="M1032" s="8"/>
      <c r="N1032" s="8"/>
      <c r="O1032" s="8" t="s">
        <v>3164</v>
      </c>
      <c r="P1032" s="10" t="n">
        <f aca="false">IF($H1032="숙박",0,IF($H1032=MID(P$1,3,20),IF($I1032="",1,0.6),IF($I1032=MID(P$1,3,20),0.4,0)))</f>
        <v>1</v>
      </c>
      <c r="Q1032" s="10" t="n">
        <f aca="false">IF($H1032="숙박",0,IF($H1032=MID(Q$1,3,20),IF($I1032="",1,0.6),IF($I1032=MID(Q$1,3,20),0.4,0)))</f>
        <v>0</v>
      </c>
      <c r="R1032" s="10" t="n">
        <f aca="false">IF($H1032="숙박",0,IF($H1032=MID(R$1,3,20),IF($I1032="",1,0.6),IF($I1032=MID(R$1,3,20),0.4,0)))</f>
        <v>0</v>
      </c>
      <c r="S1032" s="10" t="n">
        <f aca="false">IF($H1032="숙박",0,IF($H1032=MID(S$1,3,20),IF($I1032="",1,0.6),IF($I1032=MID(S$1,3,20),0.4,0)))</f>
        <v>0</v>
      </c>
      <c r="T1032" s="10" t="n">
        <f aca="false">IF($H1032="숙박",0,IF($H1032=MID(T$1,3,20),IF($I1032="",1,0.6),IF($I1032=MID(T$1,3,20),0.4,0)))</f>
        <v>0</v>
      </c>
      <c r="U1032" s="10" t="n">
        <f aca="false">IF($H1032="숙박",0,IF(ISNUMBER(SEARCH("야경",$J1032)),1,0))</f>
        <v>0</v>
      </c>
      <c r="V1032" s="10" t="n">
        <f aca="false">IF($H1032="숙박",0,1)</f>
        <v>1</v>
      </c>
    </row>
    <row r="1033" customFormat="false" ht="15" hidden="false" customHeight="false" outlineLevel="0" collapsed="false">
      <c r="A1033" s="8" t="n">
        <v>1032</v>
      </c>
      <c r="B1033" s="8" t="s">
        <v>45</v>
      </c>
      <c r="C1033" s="8"/>
      <c r="D1033" s="8" t="s">
        <v>3165</v>
      </c>
      <c r="E1033" s="7" t="s">
        <v>3166</v>
      </c>
      <c r="F1033" s="8"/>
      <c r="G1033" s="8"/>
      <c r="H1033" s="9" t="s">
        <v>594</v>
      </c>
      <c r="I1033" s="9"/>
      <c r="J1033" s="9"/>
      <c r="K1033" s="9"/>
      <c r="L1033" s="8"/>
      <c r="M1033" s="8"/>
      <c r="N1033" s="8" t="s">
        <v>595</v>
      </c>
      <c r="O1033" s="8"/>
      <c r="P1033" s="10" t="n">
        <f aca="false">IF($H1033="숙박",0,IF($H1033=MID(P$1,3,20),IF($I1033="",1,0.6),IF($I1033=MID(P$1,3,20),0.4,0)))</f>
        <v>0</v>
      </c>
      <c r="Q1033" s="10" t="n">
        <f aca="false">IF($H1033="숙박",0,IF($H1033=MID(Q$1,3,20),IF($I1033="",1,0.6),IF($I1033=MID(Q$1,3,20),0.4,0)))</f>
        <v>0</v>
      </c>
      <c r="R1033" s="10" t="n">
        <f aca="false">IF($H1033="숙박",0,IF($H1033=MID(R$1,3,20),IF($I1033="",1,0.6),IF($I1033=MID(R$1,3,20),0.4,0)))</f>
        <v>0</v>
      </c>
      <c r="S1033" s="10" t="n">
        <f aca="false">IF($H1033="숙박",0,IF($H1033=MID(S$1,3,20),IF($I1033="",1,0.6),IF($I1033=MID(S$1,3,20),0.4,0)))</f>
        <v>0</v>
      </c>
      <c r="T1033" s="10" t="n">
        <f aca="false">IF($H1033="숙박",0,IF($H1033=MID(T$1,3,20),IF($I1033="",1,0.6),IF($I1033=MID(T$1,3,20),0.4,0)))</f>
        <v>0</v>
      </c>
      <c r="U1033" s="10" t="n">
        <f aca="false">IF($H1033="숙박",0,IF(ISNUMBER(SEARCH("야경",$J1033)),1,0))</f>
        <v>0</v>
      </c>
      <c r="V1033" s="10" t="n">
        <f aca="false">IF($H1033="숙박",0,1)</f>
        <v>0</v>
      </c>
    </row>
    <row r="1034" customFormat="false" ht="15" hidden="false" customHeight="false" outlineLevel="0" collapsed="false">
      <c r="A1034" s="8" t="n">
        <v>1033</v>
      </c>
      <c r="B1034" s="8" t="s">
        <v>45</v>
      </c>
      <c r="C1034" s="8" t="s">
        <v>1444</v>
      </c>
      <c r="D1034" s="8" t="s">
        <v>3167</v>
      </c>
      <c r="E1034" s="7" t="s">
        <v>3168</v>
      </c>
      <c r="F1034" s="8"/>
      <c r="G1034" s="8" t="s">
        <v>184</v>
      </c>
      <c r="H1034" s="9" t="s">
        <v>184</v>
      </c>
      <c r="I1034" s="9" t="s">
        <v>190</v>
      </c>
      <c r="J1034" s="9"/>
      <c r="K1034" s="9" t="s">
        <v>52</v>
      </c>
      <c r="L1034" s="8"/>
      <c r="M1034" s="8"/>
      <c r="N1034" s="8" t="s">
        <v>483</v>
      </c>
      <c r="O1034" s="8" t="s">
        <v>3169</v>
      </c>
      <c r="P1034" s="10" t="n">
        <f aca="false">IF($H1034="숙박",0,IF($H1034=MID(P$1,3,20),IF($I1034="",1,0.6),IF($I1034=MID(P$1,3,20),0.4,0)))</f>
        <v>0.4</v>
      </c>
      <c r="Q1034" s="10" t="n">
        <f aca="false">IF($H1034="숙박",0,IF($H1034=MID(Q$1,3,20),IF($I1034="",1,0.6),IF($I1034=MID(Q$1,3,20),0.4,0)))</f>
        <v>0</v>
      </c>
      <c r="R1034" s="10" t="n">
        <f aca="false">IF($H1034="숙박",0,IF($H1034=MID(R$1,3,20),IF($I1034="",1,0.6),IF($I1034=MID(R$1,3,20),0.4,0)))</f>
        <v>0.6</v>
      </c>
      <c r="S1034" s="10" t="n">
        <f aca="false">IF($H1034="숙박",0,IF($H1034=MID(S$1,3,20),IF($I1034="",1,0.6),IF($I1034=MID(S$1,3,20),0.4,0)))</f>
        <v>0</v>
      </c>
      <c r="T1034" s="10" t="n">
        <f aca="false">IF($H1034="숙박",0,IF($H1034=MID(T$1,3,20),IF($I1034="",1,0.6),IF($I1034=MID(T$1,3,20),0.4,0)))</f>
        <v>0</v>
      </c>
      <c r="U1034" s="10" t="n">
        <f aca="false">IF($H1034="숙박",0,IF(ISNUMBER(SEARCH("야경",$J1034)),1,0))</f>
        <v>0</v>
      </c>
      <c r="V1034" s="10" t="n">
        <f aca="false">IF($H1034="숙박",0,1)</f>
        <v>1</v>
      </c>
    </row>
    <row r="1035" customFormat="false" ht="15" hidden="false" customHeight="false" outlineLevel="0" collapsed="false">
      <c r="A1035" s="8" t="n">
        <v>1034</v>
      </c>
      <c r="B1035" s="8" t="s">
        <v>45</v>
      </c>
      <c r="C1035" s="8"/>
      <c r="D1035" s="8" t="s">
        <v>3170</v>
      </c>
      <c r="E1035" s="7" t="s">
        <v>3171</v>
      </c>
      <c r="F1035" s="8"/>
      <c r="G1035" s="8"/>
      <c r="H1035" s="9" t="s">
        <v>594</v>
      </c>
      <c r="I1035" s="9"/>
      <c r="J1035" s="9"/>
      <c r="K1035" s="9"/>
      <c r="L1035" s="8"/>
      <c r="M1035" s="8"/>
      <c r="N1035" s="8" t="s">
        <v>595</v>
      </c>
      <c r="O1035" s="8"/>
      <c r="P1035" s="10" t="n">
        <f aca="false">IF($H1035="숙박",0,IF($H1035=MID(P$1,3,20),IF($I1035="",1,0.6),IF($I1035=MID(P$1,3,20),0.4,0)))</f>
        <v>0</v>
      </c>
      <c r="Q1035" s="10" t="n">
        <f aca="false">IF($H1035="숙박",0,IF($H1035=MID(Q$1,3,20),IF($I1035="",1,0.6),IF($I1035=MID(Q$1,3,20),0.4,0)))</f>
        <v>0</v>
      </c>
      <c r="R1035" s="10" t="n">
        <f aca="false">IF($H1035="숙박",0,IF($H1035=MID(R$1,3,20),IF($I1035="",1,0.6),IF($I1035=MID(R$1,3,20),0.4,0)))</f>
        <v>0</v>
      </c>
      <c r="S1035" s="10" t="n">
        <f aca="false">IF($H1035="숙박",0,IF($H1035=MID(S$1,3,20),IF($I1035="",1,0.6),IF($I1035=MID(S$1,3,20),0.4,0)))</f>
        <v>0</v>
      </c>
      <c r="T1035" s="10" t="n">
        <f aca="false">IF($H1035="숙박",0,IF($H1035=MID(T$1,3,20),IF($I1035="",1,0.6),IF($I1035=MID(T$1,3,20),0.4,0)))</f>
        <v>0</v>
      </c>
      <c r="U1035" s="10" t="n">
        <f aca="false">IF($H1035="숙박",0,IF(ISNUMBER(SEARCH("야경",$J1035)),1,0))</f>
        <v>0</v>
      </c>
      <c r="V1035" s="10" t="n">
        <f aca="false">IF($H1035="숙박",0,1)</f>
        <v>0</v>
      </c>
    </row>
    <row r="1036" customFormat="false" ht="15" hidden="false" customHeight="false" outlineLevel="0" collapsed="false">
      <c r="A1036" s="8" t="n">
        <v>1035</v>
      </c>
      <c r="B1036" s="8" t="s">
        <v>45</v>
      </c>
      <c r="C1036" s="8"/>
      <c r="D1036" s="8" t="s">
        <v>3172</v>
      </c>
      <c r="E1036" s="7" t="s">
        <v>3173</v>
      </c>
      <c r="F1036" s="8"/>
      <c r="G1036" s="8"/>
      <c r="H1036" s="9" t="s">
        <v>594</v>
      </c>
      <c r="I1036" s="9"/>
      <c r="J1036" s="9"/>
      <c r="K1036" s="9"/>
      <c r="L1036" s="8"/>
      <c r="M1036" s="8"/>
      <c r="N1036" s="8" t="s">
        <v>595</v>
      </c>
      <c r="O1036" s="8"/>
      <c r="P1036" s="10" t="n">
        <f aca="false">IF($H1036="숙박",0,IF($H1036=MID(P$1,3,20),IF($I1036="",1,0.6),IF($I1036=MID(P$1,3,20),0.4,0)))</f>
        <v>0</v>
      </c>
      <c r="Q1036" s="10" t="n">
        <f aca="false">IF($H1036="숙박",0,IF($H1036=MID(Q$1,3,20),IF($I1036="",1,0.6),IF($I1036=MID(Q$1,3,20),0.4,0)))</f>
        <v>0</v>
      </c>
      <c r="R1036" s="10" t="n">
        <f aca="false">IF($H1036="숙박",0,IF($H1036=MID(R$1,3,20),IF($I1036="",1,0.6),IF($I1036=MID(R$1,3,20),0.4,0)))</f>
        <v>0</v>
      </c>
      <c r="S1036" s="10" t="n">
        <f aca="false">IF($H1036="숙박",0,IF($H1036=MID(S$1,3,20),IF($I1036="",1,0.6),IF($I1036=MID(S$1,3,20),0.4,0)))</f>
        <v>0</v>
      </c>
      <c r="T1036" s="10" t="n">
        <f aca="false">IF($H1036="숙박",0,IF($H1036=MID(T$1,3,20),IF($I1036="",1,0.6),IF($I1036=MID(T$1,3,20),0.4,0)))</f>
        <v>0</v>
      </c>
      <c r="U1036" s="10" t="n">
        <f aca="false">IF($H1036="숙박",0,IF(ISNUMBER(SEARCH("야경",$J1036)),1,0))</f>
        <v>0</v>
      </c>
      <c r="V1036" s="10" t="n">
        <f aca="false">IF($H1036="숙박",0,1)</f>
        <v>0</v>
      </c>
    </row>
    <row r="1037" customFormat="false" ht="15" hidden="false" customHeight="false" outlineLevel="0" collapsed="false">
      <c r="A1037" s="8" t="n">
        <v>1036</v>
      </c>
      <c r="B1037" s="8" t="s">
        <v>45</v>
      </c>
      <c r="C1037" s="8" t="s">
        <v>380</v>
      </c>
      <c r="D1037" s="8" t="s">
        <v>3174</v>
      </c>
      <c r="E1037" s="7" t="s">
        <v>3175</v>
      </c>
      <c r="F1037" s="8"/>
      <c r="G1037" s="8" t="s">
        <v>184</v>
      </c>
      <c r="H1037" s="9" t="s">
        <v>184</v>
      </c>
      <c r="I1037" s="9"/>
      <c r="J1037" s="9"/>
      <c r="K1037" s="9" t="s">
        <v>191</v>
      </c>
      <c r="L1037" s="8"/>
      <c r="M1037" s="8"/>
      <c r="N1037" s="8"/>
      <c r="O1037" s="8" t="s">
        <v>3176</v>
      </c>
      <c r="P1037" s="10" t="n">
        <f aca="false">IF($H1037="숙박",0,IF($H1037=MID(P$1,3,20),IF($I1037="",1,0.6),IF($I1037=MID(P$1,3,20),0.4,0)))</f>
        <v>0</v>
      </c>
      <c r="Q1037" s="10" t="n">
        <f aca="false">IF($H1037="숙박",0,IF($H1037=MID(Q$1,3,20),IF($I1037="",1,0.6),IF($I1037=MID(Q$1,3,20),0.4,0)))</f>
        <v>0</v>
      </c>
      <c r="R1037" s="10" t="n">
        <f aca="false">IF($H1037="숙박",0,IF($H1037=MID(R$1,3,20),IF($I1037="",1,0.6),IF($I1037=MID(R$1,3,20),0.4,0)))</f>
        <v>1</v>
      </c>
      <c r="S1037" s="10" t="n">
        <f aca="false">IF($H1037="숙박",0,IF($H1037=MID(S$1,3,20),IF($I1037="",1,0.6),IF($I1037=MID(S$1,3,20),0.4,0)))</f>
        <v>0</v>
      </c>
      <c r="T1037" s="10" t="n">
        <f aca="false">IF($H1037="숙박",0,IF($H1037=MID(T$1,3,20),IF($I1037="",1,0.6),IF($I1037=MID(T$1,3,20),0.4,0)))</f>
        <v>0</v>
      </c>
      <c r="U1037" s="10" t="n">
        <f aca="false">IF($H1037="숙박",0,IF(ISNUMBER(SEARCH("야경",$J1037)),1,0))</f>
        <v>0</v>
      </c>
      <c r="V1037" s="10" t="n">
        <f aca="false">IF($H1037="숙박",0,1)</f>
        <v>1</v>
      </c>
    </row>
    <row r="1038" customFormat="false" ht="15" hidden="false" customHeight="false" outlineLevel="0" collapsed="false">
      <c r="A1038" s="8" t="n">
        <v>1037</v>
      </c>
      <c r="B1038" s="8" t="s">
        <v>45</v>
      </c>
      <c r="C1038" s="8" t="s">
        <v>421</v>
      </c>
      <c r="D1038" s="8" t="s">
        <v>3177</v>
      </c>
      <c r="E1038" s="7" t="s">
        <v>3178</v>
      </c>
      <c r="F1038" s="8"/>
      <c r="G1038" s="8" t="s">
        <v>49</v>
      </c>
      <c r="H1038" s="9" t="s">
        <v>49</v>
      </c>
      <c r="I1038" s="9"/>
      <c r="J1038" s="9"/>
      <c r="K1038" s="9" t="s">
        <v>52</v>
      </c>
      <c r="L1038" s="8"/>
      <c r="M1038" s="8"/>
      <c r="N1038" s="8"/>
      <c r="O1038" s="8" t="s">
        <v>3179</v>
      </c>
      <c r="P1038" s="10" t="n">
        <f aca="false">IF($H1038="숙박",0,IF($H1038=MID(P$1,3,20),IF($I1038="",1,0.6),IF($I1038=MID(P$1,3,20),0.4,0)))</f>
        <v>0</v>
      </c>
      <c r="Q1038" s="10" t="n">
        <f aca="false">IF($H1038="숙박",0,IF($H1038=MID(Q$1,3,20),IF($I1038="",1,0.6),IF($I1038=MID(Q$1,3,20),0.4,0)))</f>
        <v>1</v>
      </c>
      <c r="R1038" s="10" t="n">
        <f aca="false">IF($H1038="숙박",0,IF($H1038=MID(R$1,3,20),IF($I1038="",1,0.6),IF($I1038=MID(R$1,3,20),0.4,0)))</f>
        <v>0</v>
      </c>
      <c r="S1038" s="10" t="n">
        <f aca="false">IF($H1038="숙박",0,IF($H1038=MID(S$1,3,20),IF($I1038="",1,0.6),IF($I1038=MID(S$1,3,20),0.4,0)))</f>
        <v>0</v>
      </c>
      <c r="T1038" s="10" t="n">
        <f aca="false">IF($H1038="숙박",0,IF($H1038=MID(T$1,3,20),IF($I1038="",1,0.6),IF($I1038=MID(T$1,3,20),0.4,0)))</f>
        <v>0</v>
      </c>
      <c r="U1038" s="10" t="n">
        <f aca="false">IF($H1038="숙박",0,IF(ISNUMBER(SEARCH("야경",$J1038)),1,0))</f>
        <v>0</v>
      </c>
      <c r="V1038" s="10" t="n">
        <f aca="false">IF($H1038="숙박",0,1)</f>
        <v>1</v>
      </c>
    </row>
    <row r="1039" customFormat="false" ht="15" hidden="false" customHeight="false" outlineLevel="0" collapsed="false">
      <c r="A1039" s="8" t="n">
        <v>1038</v>
      </c>
      <c r="B1039" s="8" t="s">
        <v>45</v>
      </c>
      <c r="C1039" s="8" t="s">
        <v>310</v>
      </c>
      <c r="D1039" s="8" t="s">
        <v>3180</v>
      </c>
      <c r="E1039" s="7" t="s">
        <v>3181</v>
      </c>
      <c r="F1039" s="8"/>
      <c r="G1039" s="8" t="s">
        <v>190</v>
      </c>
      <c r="H1039" s="9" t="s">
        <v>190</v>
      </c>
      <c r="I1039" s="9"/>
      <c r="J1039" s="9"/>
      <c r="K1039" s="9" t="s">
        <v>191</v>
      </c>
      <c r="L1039" s="8"/>
      <c r="M1039" s="8"/>
      <c r="N1039" s="8"/>
      <c r="O1039" s="8" t="s">
        <v>3182</v>
      </c>
      <c r="P1039" s="10" t="n">
        <f aca="false">IF($H1039="숙박",0,IF($H1039=MID(P$1,3,20),IF($I1039="",1,0.6),IF($I1039=MID(P$1,3,20),0.4,0)))</f>
        <v>1</v>
      </c>
      <c r="Q1039" s="10" t="n">
        <f aca="false">IF($H1039="숙박",0,IF($H1039=MID(Q$1,3,20),IF($I1039="",1,0.6),IF($I1039=MID(Q$1,3,20),0.4,0)))</f>
        <v>0</v>
      </c>
      <c r="R1039" s="10" t="n">
        <f aca="false">IF($H1039="숙박",0,IF($H1039=MID(R$1,3,20),IF($I1039="",1,0.6),IF($I1039=MID(R$1,3,20),0.4,0)))</f>
        <v>0</v>
      </c>
      <c r="S1039" s="10" t="n">
        <f aca="false">IF($H1039="숙박",0,IF($H1039=MID(S$1,3,20),IF($I1039="",1,0.6),IF($I1039=MID(S$1,3,20),0.4,0)))</f>
        <v>0</v>
      </c>
      <c r="T1039" s="10" t="n">
        <f aca="false">IF($H1039="숙박",0,IF($H1039=MID(T$1,3,20),IF($I1039="",1,0.6),IF($I1039=MID(T$1,3,20),0.4,0)))</f>
        <v>0</v>
      </c>
      <c r="U1039" s="10" t="n">
        <f aca="false">IF($H1039="숙박",0,IF(ISNUMBER(SEARCH("야경",$J1039)),1,0))</f>
        <v>0</v>
      </c>
      <c r="V1039" s="10" t="n">
        <f aca="false">IF($H1039="숙박",0,1)</f>
        <v>1</v>
      </c>
    </row>
    <row r="1040" customFormat="false" ht="15" hidden="false" customHeight="false" outlineLevel="0" collapsed="false">
      <c r="A1040" s="8" t="n">
        <v>1039</v>
      </c>
      <c r="B1040" s="8" t="s">
        <v>45</v>
      </c>
      <c r="C1040" s="8"/>
      <c r="D1040" s="8" t="s">
        <v>3183</v>
      </c>
      <c r="E1040" s="7" t="s">
        <v>3184</v>
      </c>
      <c r="F1040" s="8"/>
      <c r="G1040" s="8"/>
      <c r="H1040" s="9" t="s">
        <v>594</v>
      </c>
      <c r="I1040" s="9"/>
      <c r="J1040" s="9"/>
      <c r="K1040" s="9"/>
      <c r="L1040" s="8"/>
      <c r="M1040" s="8"/>
      <c r="N1040" s="8" t="s">
        <v>595</v>
      </c>
      <c r="O1040" s="8"/>
      <c r="P1040" s="10" t="n">
        <f aca="false">IF($H1040="숙박",0,IF($H1040=MID(P$1,3,20),IF($I1040="",1,0.6),IF($I1040=MID(P$1,3,20),0.4,0)))</f>
        <v>0</v>
      </c>
      <c r="Q1040" s="10" t="n">
        <f aca="false">IF($H1040="숙박",0,IF($H1040=MID(Q$1,3,20),IF($I1040="",1,0.6),IF($I1040=MID(Q$1,3,20),0.4,0)))</f>
        <v>0</v>
      </c>
      <c r="R1040" s="10" t="n">
        <f aca="false">IF($H1040="숙박",0,IF($H1040=MID(R$1,3,20),IF($I1040="",1,0.6),IF($I1040=MID(R$1,3,20),0.4,0)))</f>
        <v>0</v>
      </c>
      <c r="S1040" s="10" t="n">
        <f aca="false">IF($H1040="숙박",0,IF($H1040=MID(S$1,3,20),IF($I1040="",1,0.6),IF($I1040=MID(S$1,3,20),0.4,0)))</f>
        <v>0</v>
      </c>
      <c r="T1040" s="10" t="n">
        <f aca="false">IF($H1040="숙박",0,IF($H1040=MID(T$1,3,20),IF($I1040="",1,0.6),IF($I1040=MID(T$1,3,20),0.4,0)))</f>
        <v>0</v>
      </c>
      <c r="U1040" s="10" t="n">
        <f aca="false">IF($H1040="숙박",0,IF(ISNUMBER(SEARCH("야경",$J1040)),1,0))</f>
        <v>0</v>
      </c>
      <c r="V1040" s="10" t="n">
        <f aca="false">IF($H1040="숙박",0,1)</f>
        <v>0</v>
      </c>
    </row>
    <row r="1041" customFormat="false" ht="15" hidden="false" customHeight="false" outlineLevel="0" collapsed="false">
      <c r="A1041" s="8" t="n">
        <v>1040</v>
      </c>
      <c r="B1041" s="8" t="s">
        <v>45</v>
      </c>
      <c r="C1041" s="8" t="s">
        <v>170</v>
      </c>
      <c r="D1041" s="8" t="s">
        <v>3185</v>
      </c>
      <c r="E1041" s="7" t="s">
        <v>3186</v>
      </c>
      <c r="F1041" s="8"/>
      <c r="G1041" s="8" t="s">
        <v>50</v>
      </c>
      <c r="H1041" s="9" t="s">
        <v>50</v>
      </c>
      <c r="I1041" s="9" t="s">
        <v>190</v>
      </c>
      <c r="J1041" s="9" t="s">
        <v>367</v>
      </c>
      <c r="K1041" s="9" t="s">
        <v>52</v>
      </c>
      <c r="L1041" s="8"/>
      <c r="M1041" s="8"/>
      <c r="N1041" s="8" t="s">
        <v>483</v>
      </c>
      <c r="O1041" s="8" t="s">
        <v>3187</v>
      </c>
      <c r="P1041" s="10" t="n">
        <f aca="false">IF($H1041="숙박",0,IF($H1041=MID(P$1,3,20),IF($I1041="",1,0.6),IF($I1041=MID(P$1,3,20),0.4,0)))</f>
        <v>0.4</v>
      </c>
      <c r="Q1041" s="10" t="n">
        <f aca="false">IF($H1041="숙박",0,IF($H1041=MID(Q$1,3,20),IF($I1041="",1,0.6),IF($I1041=MID(Q$1,3,20),0.4,0)))</f>
        <v>0</v>
      </c>
      <c r="R1041" s="10" t="n">
        <f aca="false">IF($H1041="숙박",0,IF($H1041=MID(R$1,3,20),IF($I1041="",1,0.6),IF($I1041=MID(R$1,3,20),0.4,0)))</f>
        <v>0</v>
      </c>
      <c r="S1041" s="10" t="n">
        <f aca="false">IF($H1041="숙박",0,IF($H1041=MID(S$1,3,20),IF($I1041="",1,0.6),IF($I1041=MID(S$1,3,20),0.4,0)))</f>
        <v>0</v>
      </c>
      <c r="T1041" s="10" t="n">
        <f aca="false">IF($H1041="숙박",0,IF($H1041=MID(T$1,3,20),IF($I1041="",1,0.6),IF($I1041=MID(T$1,3,20),0.4,0)))</f>
        <v>0.6</v>
      </c>
      <c r="U1041" s="10" t="n">
        <f aca="false">IF($H1041="숙박",0,IF(ISNUMBER(SEARCH("야경",$J1041)),1,0))</f>
        <v>0</v>
      </c>
      <c r="V1041" s="10" t="n">
        <f aca="false">IF($H1041="숙박",0,1)</f>
        <v>1</v>
      </c>
    </row>
    <row r="1042" customFormat="false" ht="15" hidden="false" customHeight="false" outlineLevel="0" collapsed="false">
      <c r="A1042" s="8" t="n">
        <v>1041</v>
      </c>
      <c r="B1042" s="8" t="s">
        <v>45</v>
      </c>
      <c r="C1042" s="8" t="s">
        <v>369</v>
      </c>
      <c r="D1042" s="8" t="s">
        <v>3188</v>
      </c>
      <c r="E1042" s="7" t="s">
        <v>3189</v>
      </c>
      <c r="F1042" s="8"/>
      <c r="G1042" s="8" t="s">
        <v>184</v>
      </c>
      <c r="H1042" s="9" t="s">
        <v>184</v>
      </c>
      <c r="I1042" s="9" t="s">
        <v>190</v>
      </c>
      <c r="J1042" s="9" t="s">
        <v>1361</v>
      </c>
      <c r="K1042" s="9" t="s">
        <v>52</v>
      </c>
      <c r="L1042" s="8"/>
      <c r="M1042" s="8"/>
      <c r="N1042" s="8" t="s">
        <v>483</v>
      </c>
      <c r="O1042" s="8" t="s">
        <v>3190</v>
      </c>
      <c r="P1042" s="10" t="n">
        <f aca="false">IF($H1042="숙박",0,IF($H1042=MID(P$1,3,20),IF($I1042="",1,0.6),IF($I1042=MID(P$1,3,20),0.4,0)))</f>
        <v>0.4</v>
      </c>
      <c r="Q1042" s="10" t="n">
        <f aca="false">IF($H1042="숙박",0,IF($H1042=MID(Q$1,3,20),IF($I1042="",1,0.6),IF($I1042=MID(Q$1,3,20),0.4,0)))</f>
        <v>0</v>
      </c>
      <c r="R1042" s="10" t="n">
        <f aca="false">IF($H1042="숙박",0,IF($H1042=MID(R$1,3,20),IF($I1042="",1,0.6),IF($I1042=MID(R$1,3,20),0.4,0)))</f>
        <v>0.6</v>
      </c>
      <c r="S1042" s="10" t="n">
        <f aca="false">IF($H1042="숙박",0,IF($H1042=MID(S$1,3,20),IF($I1042="",1,0.6),IF($I1042=MID(S$1,3,20),0.4,0)))</f>
        <v>0</v>
      </c>
      <c r="T1042" s="10" t="n">
        <f aca="false">IF($H1042="숙박",0,IF($H1042=MID(T$1,3,20),IF($I1042="",1,0.6),IF($I1042=MID(T$1,3,20),0.4,0)))</f>
        <v>0</v>
      </c>
      <c r="U1042" s="10" t="n">
        <f aca="false">IF($H1042="숙박",0,IF(ISNUMBER(SEARCH("야경",$J1042)),1,0))</f>
        <v>0</v>
      </c>
      <c r="V1042" s="10" t="n">
        <f aca="false">IF($H1042="숙박",0,1)</f>
        <v>1</v>
      </c>
    </row>
    <row r="1043" customFormat="false" ht="15" hidden="false" customHeight="false" outlineLevel="0" collapsed="false">
      <c r="A1043" s="8" t="n">
        <v>1042</v>
      </c>
      <c r="B1043" s="8" t="s">
        <v>45</v>
      </c>
      <c r="C1043" s="8" t="s">
        <v>2203</v>
      </c>
      <c r="D1043" s="8" t="s">
        <v>3191</v>
      </c>
      <c r="E1043" s="7" t="s">
        <v>3192</v>
      </c>
      <c r="F1043" s="8"/>
      <c r="G1043" s="8" t="s">
        <v>49</v>
      </c>
      <c r="H1043" s="9" t="s">
        <v>49</v>
      </c>
      <c r="I1043" s="9"/>
      <c r="J1043" s="9"/>
      <c r="K1043" s="9" t="s">
        <v>52</v>
      </c>
      <c r="L1043" s="8"/>
      <c r="M1043" s="8"/>
      <c r="N1043" s="8"/>
      <c r="O1043" s="8" t="s">
        <v>3193</v>
      </c>
      <c r="P1043" s="10" t="n">
        <f aca="false">IF($H1043="숙박",0,IF($H1043=MID(P$1,3,20),IF($I1043="",1,0.6),IF($I1043=MID(P$1,3,20),0.4,0)))</f>
        <v>0</v>
      </c>
      <c r="Q1043" s="10" t="n">
        <f aca="false">IF($H1043="숙박",0,IF($H1043=MID(Q$1,3,20),IF($I1043="",1,0.6),IF($I1043=MID(Q$1,3,20),0.4,0)))</f>
        <v>1</v>
      </c>
      <c r="R1043" s="10" t="n">
        <f aca="false">IF($H1043="숙박",0,IF($H1043=MID(R$1,3,20),IF($I1043="",1,0.6),IF($I1043=MID(R$1,3,20),0.4,0)))</f>
        <v>0</v>
      </c>
      <c r="S1043" s="10" t="n">
        <f aca="false">IF($H1043="숙박",0,IF($H1043=MID(S$1,3,20),IF($I1043="",1,0.6),IF($I1043=MID(S$1,3,20),0.4,0)))</f>
        <v>0</v>
      </c>
      <c r="T1043" s="10" t="n">
        <f aca="false">IF($H1043="숙박",0,IF($H1043=MID(T$1,3,20),IF($I1043="",1,0.6),IF($I1043=MID(T$1,3,20),0.4,0)))</f>
        <v>0</v>
      </c>
      <c r="U1043" s="10" t="n">
        <f aca="false">IF($H1043="숙박",0,IF(ISNUMBER(SEARCH("야경",$J1043)),1,0))</f>
        <v>0</v>
      </c>
      <c r="V1043" s="10" t="n">
        <f aca="false">IF($H1043="숙박",0,1)</f>
        <v>1</v>
      </c>
    </row>
    <row r="1044" customFormat="false" ht="15" hidden="false" customHeight="false" outlineLevel="0" collapsed="false">
      <c r="A1044" s="8" t="n">
        <v>1043</v>
      </c>
      <c r="B1044" s="8" t="s">
        <v>45</v>
      </c>
      <c r="C1044" s="8" t="s">
        <v>1336</v>
      </c>
      <c r="D1044" s="8" t="s">
        <v>3194</v>
      </c>
      <c r="E1044" s="7" t="s">
        <v>3195</v>
      </c>
      <c r="F1044" s="8"/>
      <c r="G1044" s="8" t="s">
        <v>49</v>
      </c>
      <c r="H1044" s="9" t="s">
        <v>49</v>
      </c>
      <c r="I1044" s="9"/>
      <c r="J1044" s="9"/>
      <c r="K1044" s="9" t="s">
        <v>52</v>
      </c>
      <c r="L1044" s="8"/>
      <c r="M1044" s="8"/>
      <c r="N1044" s="8"/>
      <c r="O1044" s="8" t="s">
        <v>3196</v>
      </c>
      <c r="P1044" s="10" t="n">
        <f aca="false">IF($H1044="숙박",0,IF($H1044=MID(P$1,3,20),IF($I1044="",1,0.6),IF($I1044=MID(P$1,3,20),0.4,0)))</f>
        <v>0</v>
      </c>
      <c r="Q1044" s="10" t="n">
        <f aca="false">IF($H1044="숙박",0,IF($H1044=MID(Q$1,3,20),IF($I1044="",1,0.6),IF($I1044=MID(Q$1,3,20),0.4,0)))</f>
        <v>1</v>
      </c>
      <c r="R1044" s="10" t="n">
        <f aca="false">IF($H1044="숙박",0,IF($H1044=MID(R$1,3,20),IF($I1044="",1,0.6),IF($I1044=MID(R$1,3,20),0.4,0)))</f>
        <v>0</v>
      </c>
      <c r="S1044" s="10" t="n">
        <f aca="false">IF($H1044="숙박",0,IF($H1044=MID(S$1,3,20),IF($I1044="",1,0.6),IF($I1044=MID(S$1,3,20),0.4,0)))</f>
        <v>0</v>
      </c>
      <c r="T1044" s="10" t="n">
        <f aca="false">IF($H1044="숙박",0,IF($H1044=MID(T$1,3,20),IF($I1044="",1,0.6),IF($I1044=MID(T$1,3,20),0.4,0)))</f>
        <v>0</v>
      </c>
      <c r="U1044" s="10" t="n">
        <f aca="false">IF($H1044="숙박",0,IF(ISNUMBER(SEARCH("야경",$J1044)),1,0))</f>
        <v>0</v>
      </c>
      <c r="V1044" s="10" t="n">
        <f aca="false">IF($H1044="숙박",0,1)</f>
        <v>1</v>
      </c>
    </row>
    <row r="1045" customFormat="false" ht="15" hidden="false" customHeight="false" outlineLevel="0" collapsed="false">
      <c r="A1045" s="8" t="n">
        <v>1044</v>
      </c>
      <c r="B1045" s="8" t="s">
        <v>45</v>
      </c>
      <c r="C1045" s="8" t="s">
        <v>678</v>
      </c>
      <c r="D1045" s="8" t="s">
        <v>3197</v>
      </c>
      <c r="E1045" s="7" t="s">
        <v>3198</v>
      </c>
      <c r="F1045" s="8"/>
      <c r="G1045" s="8" t="s">
        <v>49</v>
      </c>
      <c r="H1045" s="9" t="s">
        <v>49</v>
      </c>
      <c r="I1045" s="9" t="s">
        <v>184</v>
      </c>
      <c r="J1045" s="9"/>
      <c r="K1045" s="9" t="s">
        <v>52</v>
      </c>
      <c r="L1045" s="8"/>
      <c r="M1045" s="8"/>
      <c r="N1045" s="8" t="s">
        <v>483</v>
      </c>
      <c r="O1045" s="8" t="s">
        <v>3199</v>
      </c>
      <c r="P1045" s="10" t="n">
        <f aca="false">IF($H1045="숙박",0,IF($H1045=MID(P$1,3,20),IF($I1045="",1,0.6),IF($I1045=MID(P$1,3,20),0.4,0)))</f>
        <v>0</v>
      </c>
      <c r="Q1045" s="10" t="n">
        <f aca="false">IF($H1045="숙박",0,IF($H1045=MID(Q$1,3,20),IF($I1045="",1,0.6),IF($I1045=MID(Q$1,3,20),0.4,0)))</f>
        <v>0.6</v>
      </c>
      <c r="R1045" s="10" t="n">
        <f aca="false">IF($H1045="숙박",0,IF($H1045=MID(R$1,3,20),IF($I1045="",1,0.6),IF($I1045=MID(R$1,3,20),0.4,0)))</f>
        <v>0.4</v>
      </c>
      <c r="S1045" s="10" t="n">
        <f aca="false">IF($H1045="숙박",0,IF($H1045=MID(S$1,3,20),IF($I1045="",1,0.6),IF($I1045=MID(S$1,3,20),0.4,0)))</f>
        <v>0</v>
      </c>
      <c r="T1045" s="10" t="n">
        <f aca="false">IF($H1045="숙박",0,IF($H1045=MID(T$1,3,20),IF($I1045="",1,0.6),IF($I1045=MID(T$1,3,20),0.4,0)))</f>
        <v>0</v>
      </c>
      <c r="U1045" s="10" t="n">
        <f aca="false">IF($H1045="숙박",0,IF(ISNUMBER(SEARCH("야경",$J1045)),1,0))</f>
        <v>0</v>
      </c>
      <c r="V1045" s="10" t="n">
        <f aca="false">IF($H1045="숙박",0,1)</f>
        <v>1</v>
      </c>
    </row>
    <row r="1046" customFormat="false" ht="15" hidden="false" customHeight="false" outlineLevel="0" collapsed="false">
      <c r="A1046" s="8" t="n">
        <v>1045</v>
      </c>
      <c r="B1046" s="8" t="s">
        <v>45</v>
      </c>
      <c r="C1046" s="8" t="s">
        <v>1865</v>
      </c>
      <c r="D1046" s="8" t="s">
        <v>3200</v>
      </c>
      <c r="E1046" s="7" t="s">
        <v>3201</v>
      </c>
      <c r="F1046" s="8"/>
      <c r="G1046" s="8" t="s">
        <v>50</v>
      </c>
      <c r="H1046" s="9" t="s">
        <v>50</v>
      </c>
      <c r="I1046" s="9"/>
      <c r="J1046" s="9" t="s">
        <v>168</v>
      </c>
      <c r="K1046" s="9" t="s">
        <v>52</v>
      </c>
      <c r="L1046" s="8"/>
      <c r="M1046" s="8"/>
      <c r="N1046" s="8"/>
      <c r="O1046" s="8" t="s">
        <v>3202</v>
      </c>
      <c r="P1046" s="10" t="n">
        <f aca="false">IF($H1046="숙박",0,IF($H1046=MID(P$1,3,20),IF($I1046="",1,0.6),IF($I1046=MID(P$1,3,20),0.4,0)))</f>
        <v>0</v>
      </c>
      <c r="Q1046" s="10" t="n">
        <f aca="false">IF($H1046="숙박",0,IF($H1046=MID(Q$1,3,20),IF($I1046="",1,0.6),IF($I1046=MID(Q$1,3,20),0.4,0)))</f>
        <v>0</v>
      </c>
      <c r="R1046" s="10" t="n">
        <f aca="false">IF($H1046="숙박",0,IF($H1046=MID(R$1,3,20),IF($I1046="",1,0.6),IF($I1046=MID(R$1,3,20),0.4,0)))</f>
        <v>0</v>
      </c>
      <c r="S1046" s="10" t="n">
        <f aca="false">IF($H1046="숙박",0,IF($H1046=MID(S$1,3,20),IF($I1046="",1,0.6),IF($I1046=MID(S$1,3,20),0.4,0)))</f>
        <v>0</v>
      </c>
      <c r="T1046" s="10" t="n">
        <f aca="false">IF($H1046="숙박",0,IF($H1046=MID(T$1,3,20),IF($I1046="",1,0.6),IF($I1046=MID(T$1,3,20),0.4,0)))</f>
        <v>1</v>
      </c>
      <c r="U1046" s="10" t="n">
        <f aca="false">IF($H1046="숙박",0,IF(ISNUMBER(SEARCH("야경",$J1046)),1,0))</f>
        <v>0</v>
      </c>
      <c r="V1046" s="10" t="n">
        <f aca="false">IF($H1046="숙박",0,1)</f>
        <v>1</v>
      </c>
    </row>
    <row r="1047" customFormat="false" ht="15" hidden="false" customHeight="false" outlineLevel="0" collapsed="false">
      <c r="A1047" s="8" t="n">
        <v>1046</v>
      </c>
      <c r="B1047" s="8" t="s">
        <v>45</v>
      </c>
      <c r="C1047" s="8" t="s">
        <v>2304</v>
      </c>
      <c r="D1047" s="8" t="s">
        <v>3203</v>
      </c>
      <c r="E1047" s="7" t="s">
        <v>3204</v>
      </c>
      <c r="F1047" s="8"/>
      <c r="G1047" s="8" t="s">
        <v>49</v>
      </c>
      <c r="H1047" s="9" t="s">
        <v>49</v>
      </c>
      <c r="I1047" s="9"/>
      <c r="J1047" s="9"/>
      <c r="K1047" s="9" t="s">
        <v>52</v>
      </c>
      <c r="L1047" s="8"/>
      <c r="M1047" s="8"/>
      <c r="N1047" s="8"/>
      <c r="O1047" s="8" t="s">
        <v>3205</v>
      </c>
      <c r="P1047" s="10" t="n">
        <f aca="false">IF($H1047="숙박",0,IF($H1047=MID(P$1,3,20),IF($I1047="",1,0.6),IF($I1047=MID(P$1,3,20),0.4,0)))</f>
        <v>0</v>
      </c>
      <c r="Q1047" s="10" t="n">
        <f aca="false">IF($H1047="숙박",0,IF($H1047=MID(Q$1,3,20),IF($I1047="",1,0.6),IF($I1047=MID(Q$1,3,20),0.4,0)))</f>
        <v>1</v>
      </c>
      <c r="R1047" s="10" t="n">
        <f aca="false">IF($H1047="숙박",0,IF($H1047=MID(R$1,3,20),IF($I1047="",1,0.6),IF($I1047=MID(R$1,3,20),0.4,0)))</f>
        <v>0</v>
      </c>
      <c r="S1047" s="10" t="n">
        <f aca="false">IF($H1047="숙박",0,IF($H1047=MID(S$1,3,20),IF($I1047="",1,0.6),IF($I1047=MID(S$1,3,20),0.4,0)))</f>
        <v>0</v>
      </c>
      <c r="T1047" s="10" t="n">
        <f aca="false">IF($H1047="숙박",0,IF($H1047=MID(T$1,3,20),IF($I1047="",1,0.6),IF($I1047=MID(T$1,3,20),0.4,0)))</f>
        <v>0</v>
      </c>
      <c r="U1047" s="10" t="n">
        <f aca="false">IF($H1047="숙박",0,IF(ISNUMBER(SEARCH("야경",$J1047)),1,0))</f>
        <v>0</v>
      </c>
      <c r="V1047" s="10" t="n">
        <f aca="false">IF($H1047="숙박",0,1)</f>
        <v>1</v>
      </c>
    </row>
    <row r="1048" customFormat="false" ht="15" hidden="false" customHeight="false" outlineLevel="0" collapsed="false">
      <c r="A1048" s="8" t="n">
        <v>1047</v>
      </c>
      <c r="B1048" s="8" t="s">
        <v>45</v>
      </c>
      <c r="C1048" s="8" t="s">
        <v>376</v>
      </c>
      <c r="D1048" s="8" t="s">
        <v>3206</v>
      </c>
      <c r="E1048" s="7" t="s">
        <v>3207</v>
      </c>
      <c r="F1048" s="8"/>
      <c r="G1048" s="8" t="s">
        <v>50</v>
      </c>
      <c r="H1048" s="9" t="s">
        <v>50</v>
      </c>
      <c r="I1048" s="9"/>
      <c r="J1048" s="9" t="s">
        <v>168</v>
      </c>
      <c r="K1048" s="9" t="s">
        <v>52</v>
      </c>
      <c r="L1048" s="8"/>
      <c r="M1048" s="8"/>
      <c r="N1048" s="8"/>
      <c r="O1048" s="8" t="s">
        <v>3208</v>
      </c>
      <c r="P1048" s="10" t="n">
        <f aca="false">IF($H1048="숙박",0,IF($H1048=MID(P$1,3,20),IF($I1048="",1,0.6),IF($I1048=MID(P$1,3,20),0.4,0)))</f>
        <v>0</v>
      </c>
      <c r="Q1048" s="10" t="n">
        <f aca="false">IF($H1048="숙박",0,IF($H1048=MID(Q$1,3,20),IF($I1048="",1,0.6),IF($I1048=MID(Q$1,3,20),0.4,0)))</f>
        <v>0</v>
      </c>
      <c r="R1048" s="10" t="n">
        <f aca="false">IF($H1048="숙박",0,IF($H1048=MID(R$1,3,20),IF($I1048="",1,0.6),IF($I1048=MID(R$1,3,20),0.4,0)))</f>
        <v>0</v>
      </c>
      <c r="S1048" s="10" t="n">
        <f aca="false">IF($H1048="숙박",0,IF($H1048=MID(S$1,3,20),IF($I1048="",1,0.6),IF($I1048=MID(S$1,3,20),0.4,0)))</f>
        <v>0</v>
      </c>
      <c r="T1048" s="10" t="n">
        <f aca="false">IF($H1048="숙박",0,IF($H1048=MID(T$1,3,20),IF($I1048="",1,0.6),IF($I1048=MID(T$1,3,20),0.4,0)))</f>
        <v>1</v>
      </c>
      <c r="U1048" s="10" t="n">
        <f aca="false">IF($H1048="숙박",0,IF(ISNUMBER(SEARCH("야경",$J1048)),1,0))</f>
        <v>0</v>
      </c>
      <c r="V1048" s="10" t="n">
        <f aca="false">IF($H1048="숙박",0,1)</f>
        <v>1</v>
      </c>
    </row>
    <row r="1049" customFormat="false" ht="15" hidden="false" customHeight="false" outlineLevel="0" collapsed="false">
      <c r="A1049" s="8" t="n">
        <v>1048</v>
      </c>
      <c r="B1049" s="8" t="s">
        <v>45</v>
      </c>
      <c r="C1049" s="8" t="s">
        <v>1539</v>
      </c>
      <c r="D1049" s="8" t="s">
        <v>3209</v>
      </c>
      <c r="E1049" s="7" t="s">
        <v>3210</v>
      </c>
      <c r="F1049" s="8"/>
      <c r="G1049" s="8" t="s">
        <v>50</v>
      </c>
      <c r="H1049" s="9" t="s">
        <v>50</v>
      </c>
      <c r="I1049" s="9"/>
      <c r="J1049" s="9" t="s">
        <v>168</v>
      </c>
      <c r="K1049" s="9" t="s">
        <v>52</v>
      </c>
      <c r="L1049" s="8"/>
      <c r="M1049" s="8"/>
      <c r="N1049" s="8"/>
      <c r="O1049" s="8" t="s">
        <v>3211</v>
      </c>
      <c r="P1049" s="10" t="n">
        <f aca="false">IF($H1049="숙박",0,IF($H1049=MID(P$1,3,20),IF($I1049="",1,0.6),IF($I1049=MID(P$1,3,20),0.4,0)))</f>
        <v>0</v>
      </c>
      <c r="Q1049" s="10" t="n">
        <f aca="false">IF($H1049="숙박",0,IF($H1049=MID(Q$1,3,20),IF($I1049="",1,0.6),IF($I1049=MID(Q$1,3,20),0.4,0)))</f>
        <v>0</v>
      </c>
      <c r="R1049" s="10" t="n">
        <f aca="false">IF($H1049="숙박",0,IF($H1049=MID(R$1,3,20),IF($I1049="",1,0.6),IF($I1049=MID(R$1,3,20),0.4,0)))</f>
        <v>0</v>
      </c>
      <c r="S1049" s="10" t="n">
        <f aca="false">IF($H1049="숙박",0,IF($H1049=MID(S$1,3,20),IF($I1049="",1,0.6),IF($I1049=MID(S$1,3,20),0.4,0)))</f>
        <v>0</v>
      </c>
      <c r="T1049" s="10" t="n">
        <f aca="false">IF($H1049="숙박",0,IF($H1049=MID(T$1,3,20),IF($I1049="",1,0.6),IF($I1049=MID(T$1,3,20),0.4,0)))</f>
        <v>1</v>
      </c>
      <c r="U1049" s="10" t="n">
        <f aca="false">IF($H1049="숙박",0,IF(ISNUMBER(SEARCH("야경",$J1049)),1,0))</f>
        <v>0</v>
      </c>
      <c r="V1049" s="10" t="n">
        <f aca="false">IF($H1049="숙박",0,1)</f>
        <v>1</v>
      </c>
    </row>
    <row r="1050" customFormat="false" ht="15" hidden="false" customHeight="false" outlineLevel="0" collapsed="false">
      <c r="A1050" s="8" t="n">
        <v>1049</v>
      </c>
      <c r="B1050" s="8" t="s">
        <v>45</v>
      </c>
      <c r="C1050" s="8" t="s">
        <v>1444</v>
      </c>
      <c r="D1050" s="8" t="s">
        <v>3212</v>
      </c>
      <c r="E1050" s="7" t="s">
        <v>3213</v>
      </c>
      <c r="F1050" s="8"/>
      <c r="G1050" s="8" t="s">
        <v>190</v>
      </c>
      <c r="H1050" s="9" t="s">
        <v>190</v>
      </c>
      <c r="I1050" s="9"/>
      <c r="J1050" s="9"/>
      <c r="K1050" s="9" t="s">
        <v>52</v>
      </c>
      <c r="L1050" s="8"/>
      <c r="M1050" s="8"/>
      <c r="N1050" s="8"/>
      <c r="O1050" s="7" t="s">
        <v>3214</v>
      </c>
      <c r="P1050" s="10" t="n">
        <f aca="false">IF($H1050="숙박",0,IF($H1050=MID(P$1,3,20),IF($I1050="",1,0.6),IF($I1050=MID(P$1,3,20),0.4,0)))</f>
        <v>1</v>
      </c>
      <c r="Q1050" s="10" t="n">
        <f aca="false">IF($H1050="숙박",0,IF($H1050=MID(Q$1,3,20),IF($I1050="",1,0.6),IF($I1050=MID(Q$1,3,20),0.4,0)))</f>
        <v>0</v>
      </c>
      <c r="R1050" s="10" t="n">
        <f aca="false">IF($H1050="숙박",0,IF($H1050=MID(R$1,3,20),IF($I1050="",1,0.6),IF($I1050=MID(R$1,3,20),0.4,0)))</f>
        <v>0</v>
      </c>
      <c r="S1050" s="10" t="n">
        <f aca="false">IF($H1050="숙박",0,IF($H1050=MID(S$1,3,20),IF($I1050="",1,0.6),IF($I1050=MID(S$1,3,20),0.4,0)))</f>
        <v>0</v>
      </c>
      <c r="T1050" s="10" t="n">
        <f aca="false">IF($H1050="숙박",0,IF($H1050=MID(T$1,3,20),IF($I1050="",1,0.6),IF($I1050=MID(T$1,3,20),0.4,0)))</f>
        <v>0</v>
      </c>
      <c r="U1050" s="10" t="n">
        <f aca="false">IF($H1050="숙박",0,IF(ISNUMBER(SEARCH("야경",$J1050)),1,0))</f>
        <v>0</v>
      </c>
      <c r="V1050" s="10" t="n">
        <f aca="false">IF($H1050="숙박",0,1)</f>
        <v>1</v>
      </c>
    </row>
    <row r="1051" customFormat="false" ht="15" hidden="false" customHeight="false" outlineLevel="0" collapsed="false">
      <c r="A1051" s="8" t="n">
        <v>1050</v>
      </c>
      <c r="B1051" s="8" t="s">
        <v>45</v>
      </c>
      <c r="C1051" s="8"/>
      <c r="D1051" s="8" t="s">
        <v>3215</v>
      </c>
      <c r="E1051" s="7" t="s">
        <v>3216</v>
      </c>
      <c r="F1051" s="8"/>
      <c r="G1051" s="8"/>
      <c r="H1051" s="9" t="s">
        <v>594</v>
      </c>
      <c r="I1051" s="9"/>
      <c r="J1051" s="9"/>
      <c r="K1051" s="9"/>
      <c r="L1051" s="8"/>
      <c r="M1051" s="8"/>
      <c r="N1051" s="8" t="s">
        <v>595</v>
      </c>
      <c r="O1051" s="8"/>
      <c r="P1051" s="10" t="n">
        <f aca="false">IF($H1051="숙박",0,IF($H1051=MID(P$1,3,20),IF($I1051="",1,0.6),IF($I1051=MID(P$1,3,20),0.4,0)))</f>
        <v>0</v>
      </c>
      <c r="Q1051" s="10" t="n">
        <f aca="false">IF($H1051="숙박",0,IF($H1051=MID(Q$1,3,20),IF($I1051="",1,0.6),IF($I1051=MID(Q$1,3,20),0.4,0)))</f>
        <v>0</v>
      </c>
      <c r="R1051" s="10" t="n">
        <f aca="false">IF($H1051="숙박",0,IF($H1051=MID(R$1,3,20),IF($I1051="",1,0.6),IF($I1051=MID(R$1,3,20),0.4,0)))</f>
        <v>0</v>
      </c>
      <c r="S1051" s="10" t="n">
        <f aca="false">IF($H1051="숙박",0,IF($H1051=MID(S$1,3,20),IF($I1051="",1,0.6),IF($I1051=MID(S$1,3,20),0.4,0)))</f>
        <v>0</v>
      </c>
      <c r="T1051" s="10" t="n">
        <f aca="false">IF($H1051="숙박",0,IF($H1051=MID(T$1,3,20),IF($I1051="",1,0.6),IF($I1051=MID(T$1,3,20),0.4,0)))</f>
        <v>0</v>
      </c>
      <c r="U1051" s="10" t="n">
        <f aca="false">IF($H1051="숙박",0,IF(ISNUMBER(SEARCH("야경",$J1051)),1,0))</f>
        <v>0</v>
      </c>
      <c r="V1051" s="10" t="n">
        <f aca="false">IF($H1051="숙박",0,1)</f>
        <v>0</v>
      </c>
    </row>
    <row r="1052" customFormat="false" ht="15" hidden="false" customHeight="false" outlineLevel="0" collapsed="false">
      <c r="A1052" s="8" t="n">
        <v>1051</v>
      </c>
      <c r="B1052" s="8" t="s">
        <v>45</v>
      </c>
      <c r="C1052" s="8" t="s">
        <v>1444</v>
      </c>
      <c r="D1052" s="8" t="s">
        <v>3217</v>
      </c>
      <c r="E1052" s="7" t="s">
        <v>3218</v>
      </c>
      <c r="F1052" s="8"/>
      <c r="G1052" s="8" t="s">
        <v>190</v>
      </c>
      <c r="H1052" s="9" t="s">
        <v>190</v>
      </c>
      <c r="I1052" s="9" t="s">
        <v>216</v>
      </c>
      <c r="J1052" s="9"/>
      <c r="K1052" s="9" t="s">
        <v>52</v>
      </c>
      <c r="L1052" s="8"/>
      <c r="M1052" s="8"/>
      <c r="N1052" s="8" t="s">
        <v>483</v>
      </c>
      <c r="O1052" s="8" t="s">
        <v>3219</v>
      </c>
      <c r="P1052" s="10" t="n">
        <f aca="false">IF($H1052="숙박",0,IF($H1052=MID(P$1,3,20),IF($I1052="",1,0.6),IF($I1052=MID(P$1,3,20),0.4,0)))</f>
        <v>0.6</v>
      </c>
      <c r="Q1052" s="10" t="n">
        <f aca="false">IF($H1052="숙박",0,IF($H1052=MID(Q$1,3,20),IF($I1052="",1,0.6),IF($I1052=MID(Q$1,3,20),0.4,0)))</f>
        <v>0</v>
      </c>
      <c r="R1052" s="10" t="n">
        <f aca="false">IF($H1052="숙박",0,IF($H1052=MID(R$1,3,20),IF($I1052="",1,0.6),IF($I1052=MID(R$1,3,20),0.4,0)))</f>
        <v>0</v>
      </c>
      <c r="S1052" s="10" t="n">
        <f aca="false">IF($H1052="숙박",0,IF($H1052=MID(S$1,3,20),IF($I1052="",1,0.6),IF($I1052=MID(S$1,3,20),0.4,0)))</f>
        <v>0.4</v>
      </c>
      <c r="T1052" s="10" t="n">
        <f aca="false">IF($H1052="숙박",0,IF($H1052=MID(T$1,3,20),IF($I1052="",1,0.6),IF($I1052=MID(T$1,3,20),0.4,0)))</f>
        <v>0</v>
      </c>
      <c r="U1052" s="10" t="n">
        <f aca="false">IF($H1052="숙박",0,IF(ISNUMBER(SEARCH("야경",$J1052)),1,0))</f>
        <v>0</v>
      </c>
      <c r="V1052" s="10" t="n">
        <f aca="false">IF($H1052="숙박",0,1)</f>
        <v>1</v>
      </c>
    </row>
    <row r="1053" customFormat="false" ht="15" hidden="false" customHeight="false" outlineLevel="0" collapsed="false">
      <c r="A1053" s="8" t="n">
        <v>1052</v>
      </c>
      <c r="B1053" s="8" t="s">
        <v>45</v>
      </c>
      <c r="C1053" s="8" t="s">
        <v>1444</v>
      </c>
      <c r="D1053" s="8" t="s">
        <v>3220</v>
      </c>
      <c r="E1053" s="7" t="s">
        <v>3221</v>
      </c>
      <c r="F1053" s="8"/>
      <c r="G1053" s="8" t="s">
        <v>190</v>
      </c>
      <c r="H1053" s="9" t="s">
        <v>190</v>
      </c>
      <c r="I1053" s="9"/>
      <c r="J1053" s="9"/>
      <c r="K1053" s="9" t="s">
        <v>191</v>
      </c>
      <c r="L1053" s="8"/>
      <c r="M1053" s="8"/>
      <c r="N1053" s="8"/>
      <c r="O1053" s="8" t="s">
        <v>3222</v>
      </c>
      <c r="P1053" s="10" t="n">
        <f aca="false">IF($H1053="숙박",0,IF($H1053=MID(P$1,3,20),IF($I1053="",1,0.6),IF($I1053=MID(P$1,3,20),0.4,0)))</f>
        <v>1</v>
      </c>
      <c r="Q1053" s="10" t="n">
        <f aca="false">IF($H1053="숙박",0,IF($H1053=MID(Q$1,3,20),IF($I1053="",1,0.6),IF($I1053=MID(Q$1,3,20),0.4,0)))</f>
        <v>0</v>
      </c>
      <c r="R1053" s="10" t="n">
        <f aca="false">IF($H1053="숙박",0,IF($H1053=MID(R$1,3,20),IF($I1053="",1,0.6),IF($I1053=MID(R$1,3,20),0.4,0)))</f>
        <v>0</v>
      </c>
      <c r="S1053" s="10" t="n">
        <f aca="false">IF($H1053="숙박",0,IF($H1053=MID(S$1,3,20),IF($I1053="",1,0.6),IF($I1053=MID(S$1,3,20),0.4,0)))</f>
        <v>0</v>
      </c>
      <c r="T1053" s="10" t="n">
        <f aca="false">IF($H1053="숙박",0,IF($H1053=MID(T$1,3,20),IF($I1053="",1,0.6),IF($I1053=MID(T$1,3,20),0.4,0)))</f>
        <v>0</v>
      </c>
      <c r="U1053" s="10" t="n">
        <f aca="false">IF($H1053="숙박",0,IF(ISNUMBER(SEARCH("야경",$J1053)),1,0))</f>
        <v>0</v>
      </c>
      <c r="V1053" s="10" t="n">
        <f aca="false">IF($H1053="숙박",0,1)</f>
        <v>1</v>
      </c>
    </row>
    <row r="1054" customFormat="false" ht="15" hidden="false" customHeight="false" outlineLevel="0" collapsed="false">
      <c r="A1054" s="8" t="n">
        <v>1053</v>
      </c>
      <c r="B1054" s="8" t="s">
        <v>45</v>
      </c>
      <c r="C1054" s="8" t="s">
        <v>178</v>
      </c>
      <c r="D1054" s="8" t="s">
        <v>3223</v>
      </c>
      <c r="E1054" s="7" t="s">
        <v>3224</v>
      </c>
      <c r="F1054" s="8"/>
      <c r="G1054" s="8" t="s">
        <v>184</v>
      </c>
      <c r="H1054" s="9" t="s">
        <v>184</v>
      </c>
      <c r="I1054" s="9"/>
      <c r="J1054" s="9" t="s">
        <v>1361</v>
      </c>
      <c r="K1054" s="9" t="s">
        <v>191</v>
      </c>
      <c r="L1054" s="8"/>
      <c r="M1054" s="8"/>
      <c r="N1054" s="8"/>
      <c r="O1054" s="8" t="s">
        <v>3225</v>
      </c>
      <c r="P1054" s="10" t="n">
        <f aca="false">IF($H1054="숙박",0,IF($H1054=MID(P$1,3,20),IF($I1054="",1,0.6),IF($I1054=MID(P$1,3,20),0.4,0)))</f>
        <v>0</v>
      </c>
      <c r="Q1054" s="10" t="n">
        <f aca="false">IF($H1054="숙박",0,IF($H1054=MID(Q$1,3,20),IF($I1054="",1,0.6),IF($I1054=MID(Q$1,3,20),0.4,0)))</f>
        <v>0</v>
      </c>
      <c r="R1054" s="10" t="n">
        <f aca="false">IF($H1054="숙박",0,IF($H1054=MID(R$1,3,20),IF($I1054="",1,0.6),IF($I1054=MID(R$1,3,20),0.4,0)))</f>
        <v>1</v>
      </c>
      <c r="S1054" s="10" t="n">
        <f aca="false">IF($H1054="숙박",0,IF($H1054=MID(S$1,3,20),IF($I1054="",1,0.6),IF($I1054=MID(S$1,3,20),0.4,0)))</f>
        <v>0</v>
      </c>
      <c r="T1054" s="10" t="n">
        <f aca="false">IF($H1054="숙박",0,IF($H1054=MID(T$1,3,20),IF($I1054="",1,0.6),IF($I1054=MID(T$1,3,20),0.4,0)))</f>
        <v>0</v>
      </c>
      <c r="U1054" s="10" t="n">
        <f aca="false">IF($H1054="숙박",0,IF(ISNUMBER(SEARCH("야경",$J1054)),1,0))</f>
        <v>0</v>
      </c>
      <c r="V1054" s="10" t="n">
        <f aca="false">IF($H1054="숙박",0,1)</f>
        <v>1</v>
      </c>
    </row>
    <row r="1055" customFormat="false" ht="15" hidden="false" customHeight="false" outlineLevel="0" collapsed="false">
      <c r="A1055" s="8" t="n">
        <v>1054</v>
      </c>
      <c r="B1055" s="8" t="s">
        <v>45</v>
      </c>
      <c r="C1055" s="8" t="s">
        <v>467</v>
      </c>
      <c r="D1055" s="8" t="s">
        <v>3226</v>
      </c>
      <c r="E1055" s="7" t="s">
        <v>3227</v>
      </c>
      <c r="F1055" s="8"/>
      <c r="G1055" s="8" t="s">
        <v>49</v>
      </c>
      <c r="H1055" s="9" t="s">
        <v>49</v>
      </c>
      <c r="I1055" s="9"/>
      <c r="J1055" s="9"/>
      <c r="K1055" s="9" t="s">
        <v>209</v>
      </c>
      <c r="L1055" s="8"/>
      <c r="M1055" s="8"/>
      <c r="N1055" s="8"/>
      <c r="O1055" s="8" t="s">
        <v>3228</v>
      </c>
      <c r="P1055" s="10" t="n">
        <f aca="false">IF($H1055="숙박",0,IF($H1055=MID(P$1,3,20),IF($I1055="",1,0.6),IF($I1055=MID(P$1,3,20),0.4,0)))</f>
        <v>0</v>
      </c>
      <c r="Q1055" s="10" t="n">
        <f aca="false">IF($H1055="숙박",0,IF($H1055=MID(Q$1,3,20),IF($I1055="",1,0.6),IF($I1055=MID(Q$1,3,20),0.4,0)))</f>
        <v>1</v>
      </c>
      <c r="R1055" s="10" t="n">
        <f aca="false">IF($H1055="숙박",0,IF($H1055=MID(R$1,3,20),IF($I1055="",1,0.6),IF($I1055=MID(R$1,3,20),0.4,0)))</f>
        <v>0</v>
      </c>
      <c r="S1055" s="10" t="n">
        <f aca="false">IF($H1055="숙박",0,IF($H1055=MID(S$1,3,20),IF($I1055="",1,0.6),IF($I1055=MID(S$1,3,20),0.4,0)))</f>
        <v>0</v>
      </c>
      <c r="T1055" s="10" t="n">
        <f aca="false">IF($H1055="숙박",0,IF($H1055=MID(T$1,3,20),IF($I1055="",1,0.6),IF($I1055=MID(T$1,3,20),0.4,0)))</f>
        <v>0</v>
      </c>
      <c r="U1055" s="10" t="n">
        <f aca="false">IF($H1055="숙박",0,IF(ISNUMBER(SEARCH("야경",$J1055)),1,0))</f>
        <v>0</v>
      </c>
      <c r="V1055" s="10" t="n">
        <f aca="false">IF($H1055="숙박",0,1)</f>
        <v>1</v>
      </c>
    </row>
    <row r="1056" customFormat="false" ht="15" hidden="false" customHeight="false" outlineLevel="0" collapsed="false">
      <c r="A1056" s="8" t="n">
        <v>1055</v>
      </c>
      <c r="B1056" s="8" t="s">
        <v>45</v>
      </c>
      <c r="C1056" s="8" t="s">
        <v>301</v>
      </c>
      <c r="D1056" s="8" t="s">
        <v>3229</v>
      </c>
      <c r="E1056" s="7" t="s">
        <v>3230</v>
      </c>
      <c r="F1056" s="8"/>
      <c r="G1056" s="8" t="s">
        <v>50</v>
      </c>
      <c r="H1056" s="9" t="s">
        <v>50</v>
      </c>
      <c r="I1056" s="9"/>
      <c r="J1056" s="9" t="s">
        <v>168</v>
      </c>
      <c r="K1056" s="9" t="s">
        <v>52</v>
      </c>
      <c r="L1056" s="8"/>
      <c r="M1056" s="8"/>
      <c r="N1056" s="8"/>
      <c r="O1056" s="8" t="s">
        <v>3231</v>
      </c>
      <c r="P1056" s="10" t="n">
        <f aca="false">IF($H1056="숙박",0,IF($H1056=MID(P$1,3,20),IF($I1056="",1,0.6),IF($I1056=MID(P$1,3,20),0.4,0)))</f>
        <v>0</v>
      </c>
      <c r="Q1056" s="10" t="n">
        <f aca="false">IF($H1056="숙박",0,IF($H1056=MID(Q$1,3,20),IF($I1056="",1,0.6),IF($I1056=MID(Q$1,3,20),0.4,0)))</f>
        <v>0</v>
      </c>
      <c r="R1056" s="10" t="n">
        <f aca="false">IF($H1056="숙박",0,IF($H1056=MID(R$1,3,20),IF($I1056="",1,0.6),IF($I1056=MID(R$1,3,20),0.4,0)))</f>
        <v>0</v>
      </c>
      <c r="S1056" s="10" t="n">
        <f aca="false">IF($H1056="숙박",0,IF($H1056=MID(S$1,3,20),IF($I1056="",1,0.6),IF($I1056=MID(S$1,3,20),0.4,0)))</f>
        <v>0</v>
      </c>
      <c r="T1056" s="10" t="n">
        <f aca="false">IF($H1056="숙박",0,IF($H1056=MID(T$1,3,20),IF($I1056="",1,0.6),IF($I1056=MID(T$1,3,20),0.4,0)))</f>
        <v>1</v>
      </c>
      <c r="U1056" s="10" t="n">
        <f aca="false">IF($H1056="숙박",0,IF(ISNUMBER(SEARCH("야경",$J1056)),1,0))</f>
        <v>0</v>
      </c>
      <c r="V1056" s="10" t="n">
        <f aca="false">IF($H1056="숙박",0,1)</f>
        <v>1</v>
      </c>
    </row>
    <row r="1057" customFormat="false" ht="15" hidden="false" customHeight="false" outlineLevel="0" collapsed="false">
      <c r="A1057" s="8" t="n">
        <v>1056</v>
      </c>
      <c r="B1057" s="8" t="s">
        <v>45</v>
      </c>
      <c r="C1057" s="8" t="s">
        <v>301</v>
      </c>
      <c r="D1057" s="8" t="s">
        <v>3232</v>
      </c>
      <c r="E1057" s="7" t="s">
        <v>3233</v>
      </c>
      <c r="F1057" s="8"/>
      <c r="G1057" s="8" t="s">
        <v>50</v>
      </c>
      <c r="H1057" s="9" t="s">
        <v>50</v>
      </c>
      <c r="I1057" s="9"/>
      <c r="J1057" s="9" t="s">
        <v>168</v>
      </c>
      <c r="K1057" s="9" t="s">
        <v>52</v>
      </c>
      <c r="L1057" s="8"/>
      <c r="M1057" s="8"/>
      <c r="N1057" s="8"/>
      <c r="O1057" s="8" t="s">
        <v>3234</v>
      </c>
      <c r="P1057" s="10" t="n">
        <f aca="false">IF($H1057="숙박",0,IF($H1057=MID(P$1,3,20),IF($I1057="",1,0.6),IF($I1057=MID(P$1,3,20),0.4,0)))</f>
        <v>0</v>
      </c>
      <c r="Q1057" s="10" t="n">
        <f aca="false">IF($H1057="숙박",0,IF($H1057=MID(Q$1,3,20),IF($I1057="",1,0.6),IF($I1057=MID(Q$1,3,20),0.4,0)))</f>
        <v>0</v>
      </c>
      <c r="R1057" s="10" t="n">
        <f aca="false">IF($H1057="숙박",0,IF($H1057=MID(R$1,3,20),IF($I1057="",1,0.6),IF($I1057=MID(R$1,3,20),0.4,0)))</f>
        <v>0</v>
      </c>
      <c r="S1057" s="10" t="n">
        <f aca="false">IF($H1057="숙박",0,IF($H1057=MID(S$1,3,20),IF($I1057="",1,0.6),IF($I1057=MID(S$1,3,20),0.4,0)))</f>
        <v>0</v>
      </c>
      <c r="T1057" s="10" t="n">
        <f aca="false">IF($H1057="숙박",0,IF($H1057=MID(T$1,3,20),IF($I1057="",1,0.6),IF($I1057=MID(T$1,3,20),0.4,0)))</f>
        <v>1</v>
      </c>
      <c r="U1057" s="10" t="n">
        <f aca="false">IF($H1057="숙박",0,IF(ISNUMBER(SEARCH("야경",$J1057)),1,0))</f>
        <v>0</v>
      </c>
      <c r="V1057" s="10" t="n">
        <f aca="false">IF($H1057="숙박",0,1)</f>
        <v>1</v>
      </c>
    </row>
    <row r="1058" customFormat="false" ht="15" hidden="false" customHeight="false" outlineLevel="0" collapsed="false">
      <c r="A1058" s="8" t="n">
        <v>1057</v>
      </c>
      <c r="B1058" s="8" t="s">
        <v>45</v>
      </c>
      <c r="C1058" s="8" t="s">
        <v>1640</v>
      </c>
      <c r="D1058" s="8" t="s">
        <v>3235</v>
      </c>
      <c r="E1058" s="7" t="s">
        <v>3236</v>
      </c>
      <c r="F1058" s="8"/>
      <c r="G1058" s="8" t="s">
        <v>190</v>
      </c>
      <c r="H1058" s="9" t="s">
        <v>190</v>
      </c>
      <c r="I1058" s="9"/>
      <c r="J1058" s="9"/>
      <c r="K1058" s="9" t="s">
        <v>191</v>
      </c>
      <c r="L1058" s="8"/>
      <c r="M1058" s="8"/>
      <c r="N1058" s="8"/>
      <c r="O1058" s="8" t="s">
        <v>3237</v>
      </c>
      <c r="P1058" s="10" t="n">
        <f aca="false">IF($H1058="숙박",0,IF($H1058=MID(P$1,3,20),IF($I1058="",1,0.6),IF($I1058=MID(P$1,3,20),0.4,0)))</f>
        <v>1</v>
      </c>
      <c r="Q1058" s="10" t="n">
        <f aca="false">IF($H1058="숙박",0,IF($H1058=MID(Q$1,3,20),IF($I1058="",1,0.6),IF($I1058=MID(Q$1,3,20),0.4,0)))</f>
        <v>0</v>
      </c>
      <c r="R1058" s="10" t="n">
        <f aca="false">IF($H1058="숙박",0,IF($H1058=MID(R$1,3,20),IF($I1058="",1,0.6),IF($I1058=MID(R$1,3,20),0.4,0)))</f>
        <v>0</v>
      </c>
      <c r="S1058" s="10" t="n">
        <f aca="false">IF($H1058="숙박",0,IF($H1058=MID(S$1,3,20),IF($I1058="",1,0.6),IF($I1058=MID(S$1,3,20),0.4,0)))</f>
        <v>0</v>
      </c>
      <c r="T1058" s="10" t="n">
        <f aca="false">IF($H1058="숙박",0,IF($H1058=MID(T$1,3,20),IF($I1058="",1,0.6),IF($I1058=MID(T$1,3,20),0.4,0)))</f>
        <v>0</v>
      </c>
      <c r="U1058" s="10" t="n">
        <f aca="false">IF($H1058="숙박",0,IF(ISNUMBER(SEARCH("야경",$J1058)),1,0))</f>
        <v>0</v>
      </c>
      <c r="V1058" s="10" t="n">
        <f aca="false">IF($H1058="숙박",0,1)</f>
        <v>1</v>
      </c>
    </row>
    <row r="1059" customFormat="false" ht="15" hidden="false" customHeight="false" outlineLevel="0" collapsed="false">
      <c r="A1059" s="8" t="n">
        <v>1058</v>
      </c>
      <c r="B1059" s="8" t="s">
        <v>45</v>
      </c>
      <c r="C1059" s="8" t="s">
        <v>1809</v>
      </c>
      <c r="D1059" s="8" t="s">
        <v>3238</v>
      </c>
      <c r="E1059" s="7" t="s">
        <v>3239</v>
      </c>
      <c r="F1059" s="8"/>
      <c r="G1059" s="8" t="s">
        <v>49</v>
      </c>
      <c r="H1059" s="9" t="s">
        <v>49</v>
      </c>
      <c r="I1059" s="9"/>
      <c r="J1059" s="9"/>
      <c r="K1059" s="9" t="s">
        <v>52</v>
      </c>
      <c r="L1059" s="8"/>
      <c r="M1059" s="8"/>
      <c r="N1059" s="8"/>
      <c r="O1059" s="8" t="s">
        <v>3240</v>
      </c>
      <c r="P1059" s="10" t="n">
        <f aca="false">IF($H1059="숙박",0,IF($H1059=MID(P$1,3,20),IF($I1059="",1,0.6),IF($I1059=MID(P$1,3,20),0.4,0)))</f>
        <v>0</v>
      </c>
      <c r="Q1059" s="10" t="n">
        <f aca="false">IF($H1059="숙박",0,IF($H1059=MID(Q$1,3,20),IF($I1059="",1,0.6),IF($I1059=MID(Q$1,3,20),0.4,0)))</f>
        <v>1</v>
      </c>
      <c r="R1059" s="10" t="n">
        <f aca="false">IF($H1059="숙박",0,IF($H1059=MID(R$1,3,20),IF($I1059="",1,0.6),IF($I1059=MID(R$1,3,20),0.4,0)))</f>
        <v>0</v>
      </c>
      <c r="S1059" s="10" t="n">
        <f aca="false">IF($H1059="숙박",0,IF($H1059=MID(S$1,3,20),IF($I1059="",1,0.6),IF($I1059=MID(S$1,3,20),0.4,0)))</f>
        <v>0</v>
      </c>
      <c r="T1059" s="10" t="n">
        <f aca="false">IF($H1059="숙박",0,IF($H1059=MID(T$1,3,20),IF($I1059="",1,0.6),IF($I1059=MID(T$1,3,20),0.4,0)))</f>
        <v>0</v>
      </c>
      <c r="U1059" s="10" t="n">
        <f aca="false">IF($H1059="숙박",0,IF(ISNUMBER(SEARCH("야경",$J1059)),1,0))</f>
        <v>0</v>
      </c>
      <c r="V1059" s="10" t="n">
        <f aca="false">IF($H1059="숙박",0,1)</f>
        <v>1</v>
      </c>
    </row>
    <row r="1060" customFormat="false" ht="15" hidden="false" customHeight="false" outlineLevel="0" collapsed="false">
      <c r="A1060" s="8" t="n">
        <v>1059</v>
      </c>
      <c r="B1060" s="8" t="s">
        <v>45</v>
      </c>
      <c r="C1060" s="8" t="s">
        <v>297</v>
      </c>
      <c r="D1060" s="8" t="s">
        <v>3241</v>
      </c>
      <c r="E1060" s="7" t="s">
        <v>3242</v>
      </c>
      <c r="F1060" s="8"/>
      <c r="G1060" s="8" t="s">
        <v>50</v>
      </c>
      <c r="H1060" s="9" t="s">
        <v>50</v>
      </c>
      <c r="I1060" s="9"/>
      <c r="J1060" s="9" t="s">
        <v>168</v>
      </c>
      <c r="K1060" s="9" t="s">
        <v>52</v>
      </c>
      <c r="L1060" s="8"/>
      <c r="M1060" s="8"/>
      <c r="N1060" s="8"/>
      <c r="O1060" s="8" t="s">
        <v>3243</v>
      </c>
      <c r="P1060" s="10" t="n">
        <f aca="false">IF($H1060="숙박",0,IF($H1060=MID(P$1,3,20),IF($I1060="",1,0.6),IF($I1060=MID(P$1,3,20),0.4,0)))</f>
        <v>0</v>
      </c>
      <c r="Q1060" s="10" t="n">
        <f aca="false">IF($H1060="숙박",0,IF($H1060=MID(Q$1,3,20),IF($I1060="",1,0.6),IF($I1060=MID(Q$1,3,20),0.4,0)))</f>
        <v>0</v>
      </c>
      <c r="R1060" s="10" t="n">
        <f aca="false">IF($H1060="숙박",0,IF($H1060=MID(R$1,3,20),IF($I1060="",1,0.6),IF($I1060=MID(R$1,3,20),0.4,0)))</f>
        <v>0</v>
      </c>
      <c r="S1060" s="10" t="n">
        <f aca="false">IF($H1060="숙박",0,IF($H1060=MID(S$1,3,20),IF($I1060="",1,0.6),IF($I1060=MID(S$1,3,20),0.4,0)))</f>
        <v>0</v>
      </c>
      <c r="T1060" s="10" t="n">
        <f aca="false">IF($H1060="숙박",0,IF($H1060=MID(T$1,3,20),IF($I1060="",1,0.6),IF($I1060=MID(T$1,3,20),0.4,0)))</f>
        <v>1</v>
      </c>
      <c r="U1060" s="10" t="n">
        <f aca="false">IF($H1060="숙박",0,IF(ISNUMBER(SEARCH("야경",$J1060)),1,0))</f>
        <v>0</v>
      </c>
      <c r="V1060" s="10" t="n">
        <f aca="false">IF($H1060="숙박",0,1)</f>
        <v>1</v>
      </c>
    </row>
    <row r="1061" customFormat="false" ht="15" hidden="false" customHeight="false" outlineLevel="0" collapsed="false">
      <c r="A1061" s="8" t="n">
        <v>1060</v>
      </c>
      <c r="B1061" s="8" t="s">
        <v>45</v>
      </c>
      <c r="C1061" s="8" t="s">
        <v>788</v>
      </c>
      <c r="D1061" s="8" t="s">
        <v>3244</v>
      </c>
      <c r="E1061" s="7" t="s">
        <v>3245</v>
      </c>
      <c r="F1061" s="8"/>
      <c r="G1061" s="8" t="s">
        <v>216</v>
      </c>
      <c r="H1061" s="9" t="s">
        <v>216</v>
      </c>
      <c r="I1061" s="9"/>
      <c r="J1061" s="9"/>
      <c r="K1061" s="9" t="s">
        <v>191</v>
      </c>
      <c r="L1061" s="8"/>
      <c r="M1061" s="8"/>
      <c r="N1061" s="8"/>
      <c r="O1061" s="8" t="s">
        <v>3246</v>
      </c>
      <c r="P1061" s="10" t="n">
        <f aca="false">IF($H1061="숙박",0,IF($H1061=MID(P$1,3,20),IF($I1061="",1,0.6),IF($I1061=MID(P$1,3,20),0.4,0)))</f>
        <v>0</v>
      </c>
      <c r="Q1061" s="10" t="n">
        <f aca="false">IF($H1061="숙박",0,IF($H1061=MID(Q$1,3,20),IF($I1061="",1,0.6),IF($I1061=MID(Q$1,3,20),0.4,0)))</f>
        <v>0</v>
      </c>
      <c r="R1061" s="10" t="n">
        <f aca="false">IF($H1061="숙박",0,IF($H1061=MID(R$1,3,20),IF($I1061="",1,0.6),IF($I1061=MID(R$1,3,20),0.4,0)))</f>
        <v>0</v>
      </c>
      <c r="S1061" s="10" t="n">
        <f aca="false">IF($H1061="숙박",0,IF($H1061=MID(S$1,3,20),IF($I1061="",1,0.6),IF($I1061=MID(S$1,3,20),0.4,0)))</f>
        <v>1</v>
      </c>
      <c r="T1061" s="10" t="n">
        <f aca="false">IF($H1061="숙박",0,IF($H1061=MID(T$1,3,20),IF($I1061="",1,0.6),IF($I1061=MID(T$1,3,20),0.4,0)))</f>
        <v>0</v>
      </c>
      <c r="U1061" s="10" t="n">
        <f aca="false">IF($H1061="숙박",0,IF(ISNUMBER(SEARCH("야경",$J1061)),1,0))</f>
        <v>0</v>
      </c>
      <c r="V1061" s="10" t="n">
        <f aca="false">IF($H1061="숙박",0,1)</f>
        <v>1</v>
      </c>
    </row>
    <row r="1062" customFormat="false" ht="15" hidden="false" customHeight="false" outlineLevel="0" collapsed="false">
      <c r="A1062" s="8" t="n">
        <v>1061</v>
      </c>
      <c r="B1062" s="8" t="s">
        <v>45</v>
      </c>
      <c r="C1062" s="8" t="s">
        <v>788</v>
      </c>
      <c r="D1062" s="8" t="s">
        <v>3247</v>
      </c>
      <c r="E1062" s="7" t="s">
        <v>3248</v>
      </c>
      <c r="F1062" s="8"/>
      <c r="G1062" s="8" t="s">
        <v>184</v>
      </c>
      <c r="H1062" s="9" t="s">
        <v>184</v>
      </c>
      <c r="I1062" s="9"/>
      <c r="J1062" s="9"/>
      <c r="K1062" s="9" t="s">
        <v>191</v>
      </c>
      <c r="L1062" s="8"/>
      <c r="M1062" s="8"/>
      <c r="N1062" s="8"/>
      <c r="O1062" s="8" t="s">
        <v>3249</v>
      </c>
      <c r="P1062" s="10" t="n">
        <f aca="false">IF($H1062="숙박",0,IF($H1062=MID(P$1,3,20),IF($I1062="",1,0.6),IF($I1062=MID(P$1,3,20),0.4,0)))</f>
        <v>0</v>
      </c>
      <c r="Q1062" s="10" t="n">
        <f aca="false">IF($H1062="숙박",0,IF($H1062=MID(Q$1,3,20),IF($I1062="",1,0.6),IF($I1062=MID(Q$1,3,20),0.4,0)))</f>
        <v>0</v>
      </c>
      <c r="R1062" s="10" t="n">
        <f aca="false">IF($H1062="숙박",0,IF($H1062=MID(R$1,3,20),IF($I1062="",1,0.6),IF($I1062=MID(R$1,3,20),0.4,0)))</f>
        <v>1</v>
      </c>
      <c r="S1062" s="10" t="n">
        <f aca="false">IF($H1062="숙박",0,IF($H1062=MID(S$1,3,20),IF($I1062="",1,0.6),IF($I1062=MID(S$1,3,20),0.4,0)))</f>
        <v>0</v>
      </c>
      <c r="T1062" s="10" t="n">
        <f aca="false">IF($H1062="숙박",0,IF($H1062=MID(T$1,3,20),IF($I1062="",1,0.6),IF($I1062=MID(T$1,3,20),0.4,0)))</f>
        <v>0</v>
      </c>
      <c r="U1062" s="10" t="n">
        <f aca="false">IF($H1062="숙박",0,IF(ISNUMBER(SEARCH("야경",$J1062)),1,0))</f>
        <v>0</v>
      </c>
      <c r="V1062" s="10" t="n">
        <f aca="false">IF($H1062="숙박",0,1)</f>
        <v>1</v>
      </c>
    </row>
    <row r="1063" customFormat="false" ht="15" hidden="false" customHeight="false" outlineLevel="0" collapsed="false">
      <c r="A1063" s="8" t="n">
        <v>1062</v>
      </c>
      <c r="B1063" s="8" t="s">
        <v>45</v>
      </c>
      <c r="C1063" s="8"/>
      <c r="D1063" s="8" t="s">
        <v>3250</v>
      </c>
      <c r="E1063" s="7" t="s">
        <v>3251</v>
      </c>
      <c r="F1063" s="8"/>
      <c r="G1063" s="8"/>
      <c r="H1063" s="9" t="s">
        <v>594</v>
      </c>
      <c r="I1063" s="9"/>
      <c r="J1063" s="9"/>
      <c r="K1063" s="9"/>
      <c r="L1063" s="8"/>
      <c r="M1063" s="8"/>
      <c r="N1063" s="8" t="s">
        <v>595</v>
      </c>
      <c r="O1063" s="8"/>
      <c r="P1063" s="10" t="n">
        <f aca="false">IF($H1063="숙박",0,IF($H1063=MID(P$1,3,20),IF($I1063="",1,0.6),IF($I1063=MID(P$1,3,20),0.4,0)))</f>
        <v>0</v>
      </c>
      <c r="Q1063" s="10" t="n">
        <f aca="false">IF($H1063="숙박",0,IF($H1063=MID(Q$1,3,20),IF($I1063="",1,0.6),IF($I1063=MID(Q$1,3,20),0.4,0)))</f>
        <v>0</v>
      </c>
      <c r="R1063" s="10" t="n">
        <f aca="false">IF($H1063="숙박",0,IF($H1063=MID(R$1,3,20),IF($I1063="",1,0.6),IF($I1063=MID(R$1,3,20),0.4,0)))</f>
        <v>0</v>
      </c>
      <c r="S1063" s="10" t="n">
        <f aca="false">IF($H1063="숙박",0,IF($H1063=MID(S$1,3,20),IF($I1063="",1,0.6),IF($I1063=MID(S$1,3,20),0.4,0)))</f>
        <v>0</v>
      </c>
      <c r="T1063" s="10" t="n">
        <f aca="false">IF($H1063="숙박",0,IF($H1063=MID(T$1,3,20),IF($I1063="",1,0.6),IF($I1063=MID(T$1,3,20),0.4,0)))</f>
        <v>0</v>
      </c>
      <c r="U1063" s="10" t="n">
        <f aca="false">IF($H1063="숙박",0,IF(ISNUMBER(SEARCH("야경",$J1063)),1,0))</f>
        <v>0</v>
      </c>
      <c r="V1063" s="10" t="n">
        <f aca="false">IF($H1063="숙박",0,1)</f>
        <v>0</v>
      </c>
    </row>
    <row r="1064" customFormat="false" ht="15" hidden="false" customHeight="false" outlineLevel="0" collapsed="false">
      <c r="A1064" s="8" t="n">
        <v>1063</v>
      </c>
      <c r="B1064" s="8" t="s">
        <v>45</v>
      </c>
      <c r="C1064" s="8" t="s">
        <v>788</v>
      </c>
      <c r="D1064" s="8" t="s">
        <v>3252</v>
      </c>
      <c r="E1064" s="7" t="s">
        <v>3253</v>
      </c>
      <c r="F1064" s="8"/>
      <c r="G1064" s="8" t="s">
        <v>190</v>
      </c>
      <c r="H1064" s="9" t="s">
        <v>190</v>
      </c>
      <c r="I1064" s="9"/>
      <c r="J1064" s="9"/>
      <c r="K1064" s="9" t="s">
        <v>191</v>
      </c>
      <c r="L1064" s="8"/>
      <c r="M1064" s="8"/>
      <c r="N1064" s="8"/>
      <c r="O1064" s="8" t="s">
        <v>3254</v>
      </c>
      <c r="P1064" s="10" t="n">
        <f aca="false">IF($H1064="숙박",0,IF($H1064=MID(P$1,3,20),IF($I1064="",1,0.6),IF($I1064=MID(P$1,3,20),0.4,0)))</f>
        <v>1</v>
      </c>
      <c r="Q1064" s="10" t="n">
        <f aca="false">IF($H1064="숙박",0,IF($H1064=MID(Q$1,3,20),IF($I1064="",1,0.6),IF($I1064=MID(Q$1,3,20),0.4,0)))</f>
        <v>0</v>
      </c>
      <c r="R1064" s="10" t="n">
        <f aca="false">IF($H1064="숙박",0,IF($H1064=MID(R$1,3,20),IF($I1064="",1,0.6),IF($I1064=MID(R$1,3,20),0.4,0)))</f>
        <v>0</v>
      </c>
      <c r="S1064" s="10" t="n">
        <f aca="false">IF($H1064="숙박",0,IF($H1064=MID(S$1,3,20),IF($I1064="",1,0.6),IF($I1064=MID(S$1,3,20),0.4,0)))</f>
        <v>0</v>
      </c>
      <c r="T1064" s="10" t="n">
        <f aca="false">IF($H1064="숙박",0,IF($H1064=MID(T$1,3,20),IF($I1064="",1,0.6),IF($I1064=MID(T$1,3,20),0.4,0)))</f>
        <v>0</v>
      </c>
      <c r="U1064" s="10" t="n">
        <f aca="false">IF($H1064="숙박",0,IF(ISNUMBER(SEARCH("야경",$J1064)),1,0))</f>
        <v>0</v>
      </c>
      <c r="V1064" s="10" t="n">
        <f aca="false">IF($H1064="숙박",0,1)</f>
        <v>1</v>
      </c>
    </row>
    <row r="1065" customFormat="false" ht="15" hidden="false" customHeight="false" outlineLevel="0" collapsed="false">
      <c r="A1065" s="8" t="n">
        <v>1064</v>
      </c>
      <c r="B1065" s="8" t="s">
        <v>45</v>
      </c>
      <c r="C1065" s="8" t="s">
        <v>1618</v>
      </c>
      <c r="D1065" s="8" t="s">
        <v>3255</v>
      </c>
      <c r="E1065" s="7" t="s">
        <v>3256</v>
      </c>
      <c r="F1065" s="8"/>
      <c r="G1065" s="8" t="s">
        <v>216</v>
      </c>
      <c r="H1065" s="9" t="s">
        <v>216</v>
      </c>
      <c r="I1065" s="9"/>
      <c r="J1065" s="9"/>
      <c r="K1065" s="9" t="s">
        <v>191</v>
      </c>
      <c r="L1065" s="8"/>
      <c r="M1065" s="8"/>
      <c r="N1065" s="8"/>
      <c r="O1065" s="8" t="s">
        <v>3257</v>
      </c>
      <c r="P1065" s="10" t="n">
        <f aca="false">IF($H1065="숙박",0,IF($H1065=MID(P$1,3,20),IF($I1065="",1,0.6),IF($I1065=MID(P$1,3,20),0.4,0)))</f>
        <v>0</v>
      </c>
      <c r="Q1065" s="10" t="n">
        <f aca="false">IF($H1065="숙박",0,IF($H1065=MID(Q$1,3,20),IF($I1065="",1,0.6),IF($I1065=MID(Q$1,3,20),0.4,0)))</f>
        <v>0</v>
      </c>
      <c r="R1065" s="10" t="n">
        <f aca="false">IF($H1065="숙박",0,IF($H1065=MID(R$1,3,20),IF($I1065="",1,0.6),IF($I1065=MID(R$1,3,20),0.4,0)))</f>
        <v>0</v>
      </c>
      <c r="S1065" s="10" t="n">
        <f aca="false">IF($H1065="숙박",0,IF($H1065=MID(S$1,3,20),IF($I1065="",1,0.6),IF($I1065=MID(S$1,3,20),0.4,0)))</f>
        <v>1</v>
      </c>
      <c r="T1065" s="10" t="n">
        <f aca="false">IF($H1065="숙박",0,IF($H1065=MID(T$1,3,20),IF($I1065="",1,0.6),IF($I1065=MID(T$1,3,20),0.4,0)))</f>
        <v>0</v>
      </c>
      <c r="U1065" s="10" t="n">
        <f aca="false">IF($H1065="숙박",0,IF(ISNUMBER(SEARCH("야경",$J1065)),1,0))</f>
        <v>0</v>
      </c>
      <c r="V1065" s="10" t="n">
        <f aca="false">IF($H1065="숙박",0,1)</f>
        <v>1</v>
      </c>
    </row>
    <row r="1066" customFormat="false" ht="15" hidden="false" customHeight="false" outlineLevel="0" collapsed="false">
      <c r="A1066" s="8" t="n">
        <v>1065</v>
      </c>
      <c r="B1066" s="8" t="s">
        <v>45</v>
      </c>
      <c r="C1066" s="8" t="s">
        <v>1493</v>
      </c>
      <c r="D1066" s="8" t="s">
        <v>3258</v>
      </c>
      <c r="E1066" s="7" t="s">
        <v>3259</v>
      </c>
      <c r="F1066" s="8"/>
      <c r="G1066" s="8" t="s">
        <v>190</v>
      </c>
      <c r="H1066" s="9" t="s">
        <v>190</v>
      </c>
      <c r="I1066" s="9"/>
      <c r="J1066" s="9"/>
      <c r="K1066" s="9" t="s">
        <v>191</v>
      </c>
      <c r="L1066" s="8"/>
      <c r="M1066" s="8"/>
      <c r="N1066" s="8"/>
      <c r="O1066" s="7" t="s">
        <v>3260</v>
      </c>
      <c r="P1066" s="10" t="n">
        <f aca="false">IF($H1066="숙박",0,IF($H1066=MID(P$1,3,20),IF($I1066="",1,0.6),IF($I1066=MID(P$1,3,20),0.4,0)))</f>
        <v>1</v>
      </c>
      <c r="Q1066" s="10" t="n">
        <f aca="false">IF($H1066="숙박",0,IF($H1066=MID(Q$1,3,20),IF($I1066="",1,0.6),IF($I1066=MID(Q$1,3,20),0.4,0)))</f>
        <v>0</v>
      </c>
      <c r="R1066" s="10" t="n">
        <f aca="false">IF($H1066="숙박",0,IF($H1066=MID(R$1,3,20),IF($I1066="",1,0.6),IF($I1066=MID(R$1,3,20),0.4,0)))</f>
        <v>0</v>
      </c>
      <c r="S1066" s="10" t="n">
        <f aca="false">IF($H1066="숙박",0,IF($H1066=MID(S$1,3,20),IF($I1066="",1,0.6),IF($I1066=MID(S$1,3,20),0.4,0)))</f>
        <v>0</v>
      </c>
      <c r="T1066" s="10" t="n">
        <f aca="false">IF($H1066="숙박",0,IF($H1066=MID(T$1,3,20),IF($I1066="",1,0.6),IF($I1066=MID(T$1,3,20),0.4,0)))</f>
        <v>0</v>
      </c>
      <c r="U1066" s="10" t="n">
        <f aca="false">IF($H1066="숙박",0,IF(ISNUMBER(SEARCH("야경",$J1066)),1,0))</f>
        <v>0</v>
      </c>
      <c r="V1066" s="10" t="n">
        <f aca="false">IF($H1066="숙박",0,1)</f>
        <v>1</v>
      </c>
    </row>
    <row r="1067" customFormat="false" ht="15" hidden="false" customHeight="false" outlineLevel="0" collapsed="false">
      <c r="A1067" s="8" t="n">
        <v>1066</v>
      </c>
      <c r="B1067" s="8" t="s">
        <v>45</v>
      </c>
      <c r="C1067" s="8" t="s">
        <v>1467</v>
      </c>
      <c r="D1067" s="8" t="s">
        <v>3261</v>
      </c>
      <c r="E1067" s="7" t="s">
        <v>3262</v>
      </c>
      <c r="F1067" s="8"/>
      <c r="G1067" s="8" t="s">
        <v>184</v>
      </c>
      <c r="H1067" s="9" t="s">
        <v>184</v>
      </c>
      <c r="I1067" s="9" t="s">
        <v>216</v>
      </c>
      <c r="J1067" s="9"/>
      <c r="K1067" s="9" t="s">
        <v>191</v>
      </c>
      <c r="L1067" s="8"/>
      <c r="M1067" s="8"/>
      <c r="N1067" s="8" t="s">
        <v>483</v>
      </c>
      <c r="O1067" s="8" t="s">
        <v>3263</v>
      </c>
      <c r="P1067" s="10" t="n">
        <f aca="false">IF($H1067="숙박",0,IF($H1067=MID(P$1,3,20),IF($I1067="",1,0.6),IF($I1067=MID(P$1,3,20),0.4,0)))</f>
        <v>0</v>
      </c>
      <c r="Q1067" s="10" t="n">
        <f aca="false">IF($H1067="숙박",0,IF($H1067=MID(Q$1,3,20),IF($I1067="",1,0.6),IF($I1067=MID(Q$1,3,20),0.4,0)))</f>
        <v>0</v>
      </c>
      <c r="R1067" s="10" t="n">
        <f aca="false">IF($H1067="숙박",0,IF($H1067=MID(R$1,3,20),IF($I1067="",1,0.6),IF($I1067=MID(R$1,3,20),0.4,0)))</f>
        <v>0.6</v>
      </c>
      <c r="S1067" s="10" t="n">
        <f aca="false">IF($H1067="숙박",0,IF($H1067=MID(S$1,3,20),IF($I1067="",1,0.6),IF($I1067=MID(S$1,3,20),0.4,0)))</f>
        <v>0.4</v>
      </c>
      <c r="T1067" s="10" t="n">
        <f aca="false">IF($H1067="숙박",0,IF($H1067=MID(T$1,3,20),IF($I1067="",1,0.6),IF($I1067=MID(T$1,3,20),0.4,0)))</f>
        <v>0</v>
      </c>
      <c r="U1067" s="10" t="n">
        <f aca="false">IF($H1067="숙박",0,IF(ISNUMBER(SEARCH("야경",$J1067)),1,0))</f>
        <v>0</v>
      </c>
      <c r="V1067" s="10" t="n">
        <f aca="false">IF($H1067="숙박",0,1)</f>
        <v>1</v>
      </c>
    </row>
    <row r="1068" customFormat="false" ht="15" hidden="false" customHeight="false" outlineLevel="0" collapsed="false">
      <c r="A1068" s="8" t="n">
        <v>1067</v>
      </c>
      <c r="B1068" s="8" t="s">
        <v>45</v>
      </c>
      <c r="C1068" s="8" t="s">
        <v>327</v>
      </c>
      <c r="D1068" s="8" t="s">
        <v>3264</v>
      </c>
      <c r="E1068" s="7" t="s">
        <v>3265</v>
      </c>
      <c r="F1068" s="8"/>
      <c r="G1068" s="8" t="s">
        <v>49</v>
      </c>
      <c r="H1068" s="9" t="s">
        <v>49</v>
      </c>
      <c r="I1068" s="9"/>
      <c r="J1068" s="9"/>
      <c r="K1068" s="9" t="s">
        <v>52</v>
      </c>
      <c r="L1068" s="8"/>
      <c r="M1068" s="8"/>
      <c r="N1068" s="8"/>
      <c r="O1068" s="8" t="s">
        <v>3266</v>
      </c>
      <c r="P1068" s="10" t="n">
        <f aca="false">IF($H1068="숙박",0,IF($H1068=MID(P$1,3,20),IF($I1068="",1,0.6),IF($I1068=MID(P$1,3,20),0.4,0)))</f>
        <v>0</v>
      </c>
      <c r="Q1068" s="10" t="n">
        <f aca="false">IF($H1068="숙박",0,IF($H1068=MID(Q$1,3,20),IF($I1068="",1,0.6),IF($I1068=MID(Q$1,3,20),0.4,0)))</f>
        <v>1</v>
      </c>
      <c r="R1068" s="10" t="n">
        <f aca="false">IF($H1068="숙박",0,IF($H1068=MID(R$1,3,20),IF($I1068="",1,0.6),IF($I1068=MID(R$1,3,20),0.4,0)))</f>
        <v>0</v>
      </c>
      <c r="S1068" s="10" t="n">
        <f aca="false">IF($H1068="숙박",0,IF($H1068=MID(S$1,3,20),IF($I1068="",1,0.6),IF($I1068=MID(S$1,3,20),0.4,0)))</f>
        <v>0</v>
      </c>
      <c r="T1068" s="10" t="n">
        <f aca="false">IF($H1068="숙박",0,IF($H1068=MID(T$1,3,20),IF($I1068="",1,0.6),IF($I1068=MID(T$1,3,20),0.4,0)))</f>
        <v>0</v>
      </c>
      <c r="U1068" s="10" t="n">
        <f aca="false">IF($H1068="숙박",0,IF(ISNUMBER(SEARCH("야경",$J1068)),1,0))</f>
        <v>0</v>
      </c>
      <c r="V1068" s="10" t="n">
        <f aca="false">IF($H1068="숙박",0,1)</f>
        <v>1</v>
      </c>
    </row>
    <row r="1069" customFormat="false" ht="15" hidden="false" customHeight="false" outlineLevel="0" collapsed="false">
      <c r="A1069" s="8" t="n">
        <v>1068</v>
      </c>
      <c r="B1069" s="8" t="s">
        <v>45</v>
      </c>
      <c r="C1069" s="8"/>
      <c r="D1069" s="8" t="s">
        <v>3267</v>
      </c>
      <c r="E1069" s="7" t="s">
        <v>3268</v>
      </c>
      <c r="F1069" s="8"/>
      <c r="G1069" s="8"/>
      <c r="H1069" s="9" t="s">
        <v>594</v>
      </c>
      <c r="I1069" s="9"/>
      <c r="J1069" s="9"/>
      <c r="K1069" s="9"/>
      <c r="L1069" s="8"/>
      <c r="M1069" s="8"/>
      <c r="N1069" s="8" t="s">
        <v>595</v>
      </c>
      <c r="O1069" s="8"/>
      <c r="P1069" s="10" t="n">
        <f aca="false">IF($H1069="숙박",0,IF($H1069=MID(P$1,3,20),IF($I1069="",1,0.6),IF($I1069=MID(P$1,3,20),0.4,0)))</f>
        <v>0</v>
      </c>
      <c r="Q1069" s="10" t="n">
        <f aca="false">IF($H1069="숙박",0,IF($H1069=MID(Q$1,3,20),IF($I1069="",1,0.6),IF($I1069=MID(Q$1,3,20),0.4,0)))</f>
        <v>0</v>
      </c>
      <c r="R1069" s="10" t="n">
        <f aca="false">IF($H1069="숙박",0,IF($H1069=MID(R$1,3,20),IF($I1069="",1,0.6),IF($I1069=MID(R$1,3,20),0.4,0)))</f>
        <v>0</v>
      </c>
      <c r="S1069" s="10" t="n">
        <f aca="false">IF($H1069="숙박",0,IF($H1069=MID(S$1,3,20),IF($I1069="",1,0.6),IF($I1069=MID(S$1,3,20),0.4,0)))</f>
        <v>0</v>
      </c>
      <c r="T1069" s="10" t="n">
        <f aca="false">IF($H1069="숙박",0,IF($H1069=MID(T$1,3,20),IF($I1069="",1,0.6),IF($I1069=MID(T$1,3,20),0.4,0)))</f>
        <v>0</v>
      </c>
      <c r="U1069" s="10" t="n">
        <f aca="false">IF($H1069="숙박",0,IF(ISNUMBER(SEARCH("야경",$J1069)),1,0))</f>
        <v>0</v>
      </c>
      <c r="V1069" s="10" t="n">
        <f aca="false">IF($H1069="숙박",0,1)</f>
        <v>0</v>
      </c>
    </row>
    <row r="1070" customFormat="false" ht="15" hidden="false" customHeight="false" outlineLevel="0" collapsed="false">
      <c r="A1070" s="8" t="n">
        <v>1069</v>
      </c>
      <c r="B1070" s="8" t="s">
        <v>45</v>
      </c>
      <c r="C1070" s="8" t="s">
        <v>342</v>
      </c>
      <c r="D1070" s="8" t="s">
        <v>3269</v>
      </c>
      <c r="E1070" s="7" t="s">
        <v>3270</v>
      </c>
      <c r="F1070" s="8"/>
      <c r="G1070" s="8" t="s">
        <v>190</v>
      </c>
      <c r="H1070" s="9" t="s">
        <v>190</v>
      </c>
      <c r="I1070" s="9" t="s">
        <v>49</v>
      </c>
      <c r="J1070" s="9"/>
      <c r="K1070" s="9" t="s">
        <v>52</v>
      </c>
      <c r="L1070" s="8"/>
      <c r="M1070" s="8"/>
      <c r="N1070" s="8" t="s">
        <v>483</v>
      </c>
      <c r="O1070" s="8" t="s">
        <v>3271</v>
      </c>
      <c r="P1070" s="10" t="n">
        <f aca="false">IF($H1070="숙박",0,IF($H1070=MID(P$1,3,20),IF($I1070="",1,0.6),IF($I1070=MID(P$1,3,20),0.4,0)))</f>
        <v>0.6</v>
      </c>
      <c r="Q1070" s="10" t="n">
        <f aca="false">IF($H1070="숙박",0,IF($H1070=MID(Q$1,3,20),IF($I1070="",1,0.6),IF($I1070=MID(Q$1,3,20),0.4,0)))</f>
        <v>0.4</v>
      </c>
      <c r="R1070" s="10" t="n">
        <f aca="false">IF($H1070="숙박",0,IF($H1070=MID(R$1,3,20),IF($I1070="",1,0.6),IF($I1070=MID(R$1,3,20),0.4,0)))</f>
        <v>0</v>
      </c>
      <c r="S1070" s="10" t="n">
        <f aca="false">IF($H1070="숙박",0,IF($H1070=MID(S$1,3,20),IF($I1070="",1,0.6),IF($I1070=MID(S$1,3,20),0.4,0)))</f>
        <v>0</v>
      </c>
      <c r="T1070" s="10" t="n">
        <f aca="false">IF($H1070="숙박",0,IF($H1070=MID(T$1,3,20),IF($I1070="",1,0.6),IF($I1070=MID(T$1,3,20),0.4,0)))</f>
        <v>0</v>
      </c>
      <c r="U1070" s="10" t="n">
        <f aca="false">IF($H1070="숙박",0,IF(ISNUMBER(SEARCH("야경",$J1070)),1,0))</f>
        <v>0</v>
      </c>
      <c r="V1070" s="10" t="n">
        <f aca="false">IF($H1070="숙박",0,1)</f>
        <v>1</v>
      </c>
    </row>
    <row r="1071" customFormat="false" ht="15" hidden="false" customHeight="false" outlineLevel="0" collapsed="false">
      <c r="A1071" s="8" t="n">
        <v>1070</v>
      </c>
      <c r="B1071" s="8" t="s">
        <v>45</v>
      </c>
      <c r="C1071" s="8" t="s">
        <v>1740</v>
      </c>
      <c r="D1071" s="8" t="s">
        <v>3272</v>
      </c>
      <c r="E1071" s="7" t="s">
        <v>3273</v>
      </c>
      <c r="F1071" s="8"/>
      <c r="G1071" s="8" t="s">
        <v>49</v>
      </c>
      <c r="H1071" s="9" t="s">
        <v>49</v>
      </c>
      <c r="I1071" s="9"/>
      <c r="J1071" s="9"/>
      <c r="K1071" s="9" t="s">
        <v>209</v>
      </c>
      <c r="L1071" s="8"/>
      <c r="M1071" s="8"/>
      <c r="N1071" s="8"/>
      <c r="O1071" s="8" t="s">
        <v>3274</v>
      </c>
      <c r="P1071" s="10" t="n">
        <f aca="false">IF($H1071="숙박",0,IF($H1071=MID(P$1,3,20),IF($I1071="",1,0.6),IF($I1071=MID(P$1,3,20),0.4,0)))</f>
        <v>0</v>
      </c>
      <c r="Q1071" s="10" t="n">
        <f aca="false">IF($H1071="숙박",0,IF($H1071=MID(Q$1,3,20),IF($I1071="",1,0.6),IF($I1071=MID(Q$1,3,20),0.4,0)))</f>
        <v>1</v>
      </c>
      <c r="R1071" s="10" t="n">
        <f aca="false">IF($H1071="숙박",0,IF($H1071=MID(R$1,3,20),IF($I1071="",1,0.6),IF($I1071=MID(R$1,3,20),0.4,0)))</f>
        <v>0</v>
      </c>
      <c r="S1071" s="10" t="n">
        <f aca="false">IF($H1071="숙박",0,IF($H1071=MID(S$1,3,20),IF($I1071="",1,0.6),IF($I1071=MID(S$1,3,20),0.4,0)))</f>
        <v>0</v>
      </c>
      <c r="T1071" s="10" t="n">
        <f aca="false">IF($H1071="숙박",0,IF($H1071=MID(T$1,3,20),IF($I1071="",1,0.6),IF($I1071=MID(T$1,3,20),0.4,0)))</f>
        <v>0</v>
      </c>
      <c r="U1071" s="10" t="n">
        <f aca="false">IF($H1071="숙박",0,IF(ISNUMBER(SEARCH("야경",$J1071)),1,0))</f>
        <v>0</v>
      </c>
      <c r="V1071" s="10" t="n">
        <f aca="false">IF($H1071="숙박",0,1)</f>
        <v>1</v>
      </c>
    </row>
    <row r="1072" customFormat="false" ht="15" hidden="false" customHeight="false" outlineLevel="0" collapsed="false">
      <c r="A1072" s="8" t="n">
        <v>1071</v>
      </c>
      <c r="B1072" s="8" t="s">
        <v>45</v>
      </c>
      <c r="C1072" s="8"/>
      <c r="D1072" s="8" t="s">
        <v>3275</v>
      </c>
      <c r="E1072" s="7" t="s">
        <v>3276</v>
      </c>
      <c r="F1072" s="8"/>
      <c r="G1072" s="8"/>
      <c r="H1072" s="9" t="s">
        <v>594</v>
      </c>
      <c r="I1072" s="9"/>
      <c r="J1072" s="9"/>
      <c r="K1072" s="9"/>
      <c r="L1072" s="8"/>
      <c r="M1072" s="8"/>
      <c r="N1072" s="8" t="s">
        <v>595</v>
      </c>
      <c r="O1072" s="8"/>
      <c r="P1072" s="10" t="n">
        <f aca="false">IF($H1072="숙박",0,IF($H1072=MID(P$1,3,20),IF($I1072="",1,0.6),IF($I1072=MID(P$1,3,20),0.4,0)))</f>
        <v>0</v>
      </c>
      <c r="Q1072" s="10" t="n">
        <f aca="false">IF($H1072="숙박",0,IF($H1072=MID(Q$1,3,20),IF($I1072="",1,0.6),IF($I1072=MID(Q$1,3,20),0.4,0)))</f>
        <v>0</v>
      </c>
      <c r="R1072" s="10" t="n">
        <f aca="false">IF($H1072="숙박",0,IF($H1072=MID(R$1,3,20),IF($I1072="",1,0.6),IF($I1072=MID(R$1,3,20),0.4,0)))</f>
        <v>0</v>
      </c>
      <c r="S1072" s="10" t="n">
        <f aca="false">IF($H1072="숙박",0,IF($H1072=MID(S$1,3,20),IF($I1072="",1,0.6),IF($I1072=MID(S$1,3,20),0.4,0)))</f>
        <v>0</v>
      </c>
      <c r="T1072" s="10" t="n">
        <f aca="false">IF($H1072="숙박",0,IF($H1072=MID(T$1,3,20),IF($I1072="",1,0.6),IF($I1072=MID(T$1,3,20),0.4,0)))</f>
        <v>0</v>
      </c>
      <c r="U1072" s="10" t="n">
        <f aca="false">IF($H1072="숙박",0,IF(ISNUMBER(SEARCH("야경",$J1072)),1,0))</f>
        <v>0</v>
      </c>
      <c r="V1072" s="10" t="n">
        <f aca="false">IF($H1072="숙박",0,1)</f>
        <v>0</v>
      </c>
    </row>
    <row r="1073" customFormat="false" ht="15" hidden="false" customHeight="false" outlineLevel="0" collapsed="false">
      <c r="A1073" s="8" t="n">
        <v>1072</v>
      </c>
      <c r="B1073" s="8" t="s">
        <v>45</v>
      </c>
      <c r="C1073" s="8" t="s">
        <v>342</v>
      </c>
      <c r="D1073" s="8" t="s">
        <v>3277</v>
      </c>
      <c r="E1073" s="7" t="s">
        <v>3278</v>
      </c>
      <c r="F1073" s="8"/>
      <c r="G1073" s="8" t="s">
        <v>49</v>
      </c>
      <c r="H1073" s="9" t="s">
        <v>49</v>
      </c>
      <c r="I1073" s="9"/>
      <c r="J1073" s="9"/>
      <c r="K1073" s="9" t="s">
        <v>52</v>
      </c>
      <c r="L1073" s="8"/>
      <c r="M1073" s="8"/>
      <c r="N1073" s="8"/>
      <c r="O1073" s="8" t="s">
        <v>3279</v>
      </c>
      <c r="P1073" s="10" t="n">
        <f aca="false">IF($H1073="숙박",0,IF($H1073=MID(P$1,3,20),IF($I1073="",1,0.6),IF($I1073=MID(P$1,3,20),0.4,0)))</f>
        <v>0</v>
      </c>
      <c r="Q1073" s="10" t="n">
        <f aca="false">IF($H1073="숙박",0,IF($H1073=MID(Q$1,3,20),IF($I1073="",1,0.6),IF($I1073=MID(Q$1,3,20),0.4,0)))</f>
        <v>1</v>
      </c>
      <c r="R1073" s="10" t="n">
        <f aca="false">IF($H1073="숙박",0,IF($H1073=MID(R$1,3,20),IF($I1073="",1,0.6),IF($I1073=MID(R$1,3,20),0.4,0)))</f>
        <v>0</v>
      </c>
      <c r="S1073" s="10" t="n">
        <f aca="false">IF($H1073="숙박",0,IF($H1073=MID(S$1,3,20),IF($I1073="",1,0.6),IF($I1073=MID(S$1,3,20),0.4,0)))</f>
        <v>0</v>
      </c>
      <c r="T1073" s="10" t="n">
        <f aca="false">IF($H1073="숙박",0,IF($H1073=MID(T$1,3,20),IF($I1073="",1,0.6),IF($I1073=MID(T$1,3,20),0.4,0)))</f>
        <v>0</v>
      </c>
      <c r="U1073" s="10" t="n">
        <f aca="false">IF($H1073="숙박",0,IF(ISNUMBER(SEARCH("야경",$J1073)),1,0))</f>
        <v>0</v>
      </c>
      <c r="V1073" s="10" t="n">
        <f aca="false">IF($H1073="숙박",0,1)</f>
        <v>1</v>
      </c>
    </row>
    <row r="1074" customFormat="false" ht="15" hidden="false" customHeight="false" outlineLevel="0" collapsed="false">
      <c r="A1074" s="8" t="n">
        <v>1073</v>
      </c>
      <c r="B1074" s="8" t="s">
        <v>45</v>
      </c>
      <c r="C1074" s="8" t="s">
        <v>301</v>
      </c>
      <c r="D1074" s="8" t="s">
        <v>3280</v>
      </c>
      <c r="E1074" s="7" t="s">
        <v>3281</v>
      </c>
      <c r="F1074" s="8"/>
      <c r="G1074" s="8" t="s">
        <v>216</v>
      </c>
      <c r="H1074" s="9" t="s">
        <v>216</v>
      </c>
      <c r="I1074" s="9" t="s">
        <v>50</v>
      </c>
      <c r="J1074" s="9" t="s">
        <v>168</v>
      </c>
      <c r="K1074" s="9" t="s">
        <v>191</v>
      </c>
      <c r="L1074" s="8"/>
      <c r="M1074" s="8"/>
      <c r="N1074" s="8" t="s">
        <v>185</v>
      </c>
      <c r="O1074" s="8" t="s">
        <v>3282</v>
      </c>
      <c r="P1074" s="10" t="n">
        <f aca="false">IF($H1074="숙박",0,IF($H1074=MID(P$1,3,20),IF($I1074="",1,0.6),IF($I1074=MID(P$1,3,20),0.4,0)))</f>
        <v>0</v>
      </c>
      <c r="Q1074" s="10" t="n">
        <f aca="false">IF($H1074="숙박",0,IF($H1074=MID(Q$1,3,20),IF($I1074="",1,0.6),IF($I1074=MID(Q$1,3,20),0.4,0)))</f>
        <v>0</v>
      </c>
      <c r="R1074" s="10" t="n">
        <f aca="false">IF($H1074="숙박",0,IF($H1074=MID(R$1,3,20),IF($I1074="",1,0.6),IF($I1074=MID(R$1,3,20),0.4,0)))</f>
        <v>0</v>
      </c>
      <c r="S1074" s="10" t="n">
        <f aca="false">IF($H1074="숙박",0,IF($H1074=MID(S$1,3,20),IF($I1074="",1,0.6),IF($I1074=MID(S$1,3,20),0.4,0)))</f>
        <v>0.6</v>
      </c>
      <c r="T1074" s="10" t="n">
        <f aca="false">IF($H1074="숙박",0,IF($H1074=MID(T$1,3,20),IF($I1074="",1,0.6),IF($I1074=MID(T$1,3,20),0.4,0)))</f>
        <v>0.4</v>
      </c>
      <c r="U1074" s="10" t="n">
        <f aca="false">IF($H1074="숙박",0,IF(ISNUMBER(SEARCH("야경",$J1074)),1,0))</f>
        <v>0</v>
      </c>
      <c r="V1074" s="10" t="n">
        <f aca="false">IF($H1074="숙박",0,1)</f>
        <v>1</v>
      </c>
    </row>
    <row r="1075" customFormat="false" ht="15" hidden="false" customHeight="false" outlineLevel="0" collapsed="false">
      <c r="A1075" s="8" t="n">
        <v>1074</v>
      </c>
      <c r="B1075" s="8" t="s">
        <v>45</v>
      </c>
      <c r="C1075" s="8" t="s">
        <v>2581</v>
      </c>
      <c r="D1075" s="8" t="s">
        <v>3283</v>
      </c>
      <c r="E1075" s="7" t="s">
        <v>3284</v>
      </c>
      <c r="F1075" s="8"/>
      <c r="G1075" s="8" t="s">
        <v>49</v>
      </c>
      <c r="H1075" s="9" t="s">
        <v>49</v>
      </c>
      <c r="I1075" s="9" t="s">
        <v>190</v>
      </c>
      <c r="J1075" s="9"/>
      <c r="K1075" s="9" t="s">
        <v>52</v>
      </c>
      <c r="L1075" s="8"/>
      <c r="M1075" s="8"/>
      <c r="N1075" s="8" t="s">
        <v>483</v>
      </c>
      <c r="O1075" s="8" t="s">
        <v>3285</v>
      </c>
      <c r="P1075" s="10" t="n">
        <f aca="false">IF($H1075="숙박",0,IF($H1075=MID(P$1,3,20),IF($I1075="",1,0.6),IF($I1075=MID(P$1,3,20),0.4,0)))</f>
        <v>0.4</v>
      </c>
      <c r="Q1075" s="10" t="n">
        <f aca="false">IF($H1075="숙박",0,IF($H1075=MID(Q$1,3,20),IF($I1075="",1,0.6),IF($I1075=MID(Q$1,3,20),0.4,0)))</f>
        <v>0.6</v>
      </c>
      <c r="R1075" s="10" t="n">
        <f aca="false">IF($H1075="숙박",0,IF($H1075=MID(R$1,3,20),IF($I1075="",1,0.6),IF($I1075=MID(R$1,3,20),0.4,0)))</f>
        <v>0</v>
      </c>
      <c r="S1075" s="10" t="n">
        <f aca="false">IF($H1075="숙박",0,IF($H1075=MID(S$1,3,20),IF($I1075="",1,0.6),IF($I1075=MID(S$1,3,20),0.4,0)))</f>
        <v>0</v>
      </c>
      <c r="T1075" s="10" t="n">
        <f aca="false">IF($H1075="숙박",0,IF($H1075=MID(T$1,3,20),IF($I1075="",1,0.6),IF($I1075=MID(T$1,3,20),0.4,0)))</f>
        <v>0</v>
      </c>
      <c r="U1075" s="10" t="n">
        <f aca="false">IF($H1075="숙박",0,IF(ISNUMBER(SEARCH("야경",$J1075)),1,0))</f>
        <v>0</v>
      </c>
      <c r="V1075" s="10" t="n">
        <f aca="false">IF($H1075="숙박",0,1)</f>
        <v>1</v>
      </c>
    </row>
    <row r="1076" customFormat="false" ht="15" hidden="false" customHeight="false" outlineLevel="0" collapsed="false">
      <c r="A1076" s="8" t="n">
        <v>1075</v>
      </c>
      <c r="B1076" s="8" t="s">
        <v>45</v>
      </c>
      <c r="C1076" s="8" t="s">
        <v>2581</v>
      </c>
      <c r="D1076" s="8" t="s">
        <v>3286</v>
      </c>
      <c r="E1076" s="7" t="s">
        <v>3287</v>
      </c>
      <c r="F1076" s="8"/>
      <c r="G1076" s="8" t="s">
        <v>49</v>
      </c>
      <c r="H1076" s="9" t="s">
        <v>49</v>
      </c>
      <c r="I1076" s="9" t="s">
        <v>190</v>
      </c>
      <c r="J1076" s="9"/>
      <c r="K1076" s="9" t="s">
        <v>52</v>
      </c>
      <c r="L1076" s="8"/>
      <c r="M1076" s="8"/>
      <c r="N1076" s="8" t="s">
        <v>483</v>
      </c>
      <c r="O1076" s="8" t="s">
        <v>3288</v>
      </c>
      <c r="P1076" s="10" t="n">
        <f aca="false">IF($H1076="숙박",0,IF($H1076=MID(P$1,3,20),IF($I1076="",1,0.6),IF($I1076=MID(P$1,3,20),0.4,0)))</f>
        <v>0.4</v>
      </c>
      <c r="Q1076" s="10" t="n">
        <f aca="false">IF($H1076="숙박",0,IF($H1076=MID(Q$1,3,20),IF($I1076="",1,0.6),IF($I1076=MID(Q$1,3,20),0.4,0)))</f>
        <v>0.6</v>
      </c>
      <c r="R1076" s="10" t="n">
        <f aca="false">IF($H1076="숙박",0,IF($H1076=MID(R$1,3,20),IF($I1076="",1,0.6),IF($I1076=MID(R$1,3,20),0.4,0)))</f>
        <v>0</v>
      </c>
      <c r="S1076" s="10" t="n">
        <f aca="false">IF($H1076="숙박",0,IF($H1076=MID(S$1,3,20),IF($I1076="",1,0.6),IF($I1076=MID(S$1,3,20),0.4,0)))</f>
        <v>0</v>
      </c>
      <c r="T1076" s="10" t="n">
        <f aca="false">IF($H1076="숙박",0,IF($H1076=MID(T$1,3,20),IF($I1076="",1,0.6),IF($I1076=MID(T$1,3,20),0.4,0)))</f>
        <v>0</v>
      </c>
      <c r="U1076" s="10" t="n">
        <f aca="false">IF($H1076="숙박",0,IF(ISNUMBER(SEARCH("야경",$J1076)),1,0))</f>
        <v>0</v>
      </c>
      <c r="V1076" s="10" t="n">
        <f aca="false">IF($H1076="숙박",0,1)</f>
        <v>1</v>
      </c>
    </row>
    <row r="1077" customFormat="false" ht="15" hidden="false" customHeight="false" outlineLevel="0" collapsed="false">
      <c r="A1077" s="8" t="n">
        <v>1076</v>
      </c>
      <c r="B1077" s="8" t="s">
        <v>45</v>
      </c>
      <c r="C1077" s="8"/>
      <c r="D1077" s="8" t="s">
        <v>3289</v>
      </c>
      <c r="E1077" s="7" t="s">
        <v>3290</v>
      </c>
      <c r="F1077" s="8"/>
      <c r="G1077" s="8"/>
      <c r="H1077" s="9" t="s">
        <v>594</v>
      </c>
      <c r="I1077" s="9"/>
      <c r="J1077" s="9"/>
      <c r="K1077" s="9"/>
      <c r="L1077" s="8"/>
      <c r="M1077" s="8"/>
      <c r="N1077" s="8" t="s">
        <v>595</v>
      </c>
      <c r="O1077" s="8"/>
      <c r="P1077" s="10" t="n">
        <f aca="false">IF($H1077="숙박",0,IF($H1077=MID(P$1,3,20),IF($I1077="",1,0.6),IF($I1077=MID(P$1,3,20),0.4,0)))</f>
        <v>0</v>
      </c>
      <c r="Q1077" s="10" t="n">
        <f aca="false">IF($H1077="숙박",0,IF($H1077=MID(Q$1,3,20),IF($I1077="",1,0.6),IF($I1077=MID(Q$1,3,20),0.4,0)))</f>
        <v>0</v>
      </c>
      <c r="R1077" s="10" t="n">
        <f aca="false">IF($H1077="숙박",0,IF($H1077=MID(R$1,3,20),IF($I1077="",1,0.6),IF($I1077=MID(R$1,3,20),0.4,0)))</f>
        <v>0</v>
      </c>
      <c r="S1077" s="10" t="n">
        <f aca="false">IF($H1077="숙박",0,IF($H1077=MID(S$1,3,20),IF($I1077="",1,0.6),IF($I1077=MID(S$1,3,20),0.4,0)))</f>
        <v>0</v>
      </c>
      <c r="T1077" s="10" t="n">
        <f aca="false">IF($H1077="숙박",0,IF($H1077=MID(T$1,3,20),IF($I1077="",1,0.6),IF($I1077=MID(T$1,3,20),0.4,0)))</f>
        <v>0</v>
      </c>
      <c r="U1077" s="10" t="n">
        <f aca="false">IF($H1077="숙박",0,IF(ISNUMBER(SEARCH("야경",$J1077)),1,0))</f>
        <v>0</v>
      </c>
      <c r="V1077" s="10" t="n">
        <f aca="false">IF($H1077="숙박",0,1)</f>
        <v>0</v>
      </c>
    </row>
    <row r="1078" customFormat="false" ht="15" hidden="false" customHeight="false" outlineLevel="0" collapsed="false">
      <c r="A1078" s="8" t="n">
        <v>1077</v>
      </c>
      <c r="B1078" s="8" t="s">
        <v>45</v>
      </c>
      <c r="C1078" s="8" t="s">
        <v>369</v>
      </c>
      <c r="D1078" s="8" t="s">
        <v>3291</v>
      </c>
      <c r="E1078" s="7" t="s">
        <v>3292</v>
      </c>
      <c r="F1078" s="8"/>
      <c r="G1078" s="8" t="s">
        <v>50</v>
      </c>
      <c r="H1078" s="9" t="s">
        <v>50</v>
      </c>
      <c r="I1078" s="9"/>
      <c r="J1078" s="9" t="s">
        <v>168</v>
      </c>
      <c r="K1078" s="9" t="s">
        <v>52</v>
      </c>
      <c r="L1078" s="8"/>
      <c r="M1078" s="8"/>
      <c r="N1078" s="8"/>
      <c r="O1078" s="8" t="s">
        <v>3293</v>
      </c>
      <c r="P1078" s="10" t="n">
        <f aca="false">IF($H1078="숙박",0,IF($H1078=MID(P$1,3,20),IF($I1078="",1,0.6),IF($I1078=MID(P$1,3,20),0.4,0)))</f>
        <v>0</v>
      </c>
      <c r="Q1078" s="10" t="n">
        <f aca="false">IF($H1078="숙박",0,IF($H1078=MID(Q$1,3,20),IF($I1078="",1,0.6),IF($I1078=MID(Q$1,3,20),0.4,0)))</f>
        <v>0</v>
      </c>
      <c r="R1078" s="10" t="n">
        <f aca="false">IF($H1078="숙박",0,IF($H1078=MID(R$1,3,20),IF($I1078="",1,0.6),IF($I1078=MID(R$1,3,20),0.4,0)))</f>
        <v>0</v>
      </c>
      <c r="S1078" s="10" t="n">
        <f aca="false">IF($H1078="숙박",0,IF($H1078=MID(S$1,3,20),IF($I1078="",1,0.6),IF($I1078=MID(S$1,3,20),0.4,0)))</f>
        <v>0</v>
      </c>
      <c r="T1078" s="10" t="n">
        <f aca="false">IF($H1078="숙박",0,IF($H1078=MID(T$1,3,20),IF($I1078="",1,0.6),IF($I1078=MID(T$1,3,20),0.4,0)))</f>
        <v>1</v>
      </c>
      <c r="U1078" s="10" t="n">
        <f aca="false">IF($H1078="숙박",0,IF(ISNUMBER(SEARCH("야경",$J1078)),1,0))</f>
        <v>0</v>
      </c>
      <c r="V1078" s="10" t="n">
        <f aca="false">IF($H1078="숙박",0,1)</f>
        <v>1</v>
      </c>
    </row>
    <row r="1079" customFormat="false" ht="15" hidden="false" customHeight="false" outlineLevel="0" collapsed="false">
      <c r="A1079" s="8" t="n">
        <v>1078</v>
      </c>
      <c r="B1079" s="8" t="s">
        <v>45</v>
      </c>
      <c r="C1079" s="8" t="s">
        <v>1567</v>
      </c>
      <c r="D1079" s="8" t="s">
        <v>3294</v>
      </c>
      <c r="E1079" s="7" t="s">
        <v>3295</v>
      </c>
      <c r="F1079" s="8"/>
      <c r="G1079" s="8" t="s">
        <v>49</v>
      </c>
      <c r="H1079" s="9" t="s">
        <v>49</v>
      </c>
      <c r="I1079" s="9"/>
      <c r="J1079" s="9"/>
      <c r="K1079" s="9" t="s">
        <v>52</v>
      </c>
      <c r="L1079" s="8"/>
      <c r="M1079" s="8"/>
      <c r="N1079" s="8"/>
      <c r="O1079" s="8" t="s">
        <v>3296</v>
      </c>
      <c r="P1079" s="10" t="n">
        <f aca="false">IF($H1079="숙박",0,IF($H1079=MID(P$1,3,20),IF($I1079="",1,0.6),IF($I1079=MID(P$1,3,20),0.4,0)))</f>
        <v>0</v>
      </c>
      <c r="Q1079" s="10" t="n">
        <f aca="false">IF($H1079="숙박",0,IF($H1079=MID(Q$1,3,20),IF($I1079="",1,0.6),IF($I1079=MID(Q$1,3,20),0.4,0)))</f>
        <v>1</v>
      </c>
      <c r="R1079" s="10" t="n">
        <f aca="false">IF($H1079="숙박",0,IF($H1079=MID(R$1,3,20),IF($I1079="",1,0.6),IF($I1079=MID(R$1,3,20),0.4,0)))</f>
        <v>0</v>
      </c>
      <c r="S1079" s="10" t="n">
        <f aca="false">IF($H1079="숙박",0,IF($H1079=MID(S$1,3,20),IF($I1079="",1,0.6),IF($I1079=MID(S$1,3,20),0.4,0)))</f>
        <v>0</v>
      </c>
      <c r="T1079" s="10" t="n">
        <f aca="false">IF($H1079="숙박",0,IF($H1079=MID(T$1,3,20),IF($I1079="",1,0.6),IF($I1079=MID(T$1,3,20),0.4,0)))</f>
        <v>0</v>
      </c>
      <c r="U1079" s="10" t="n">
        <f aca="false">IF($H1079="숙박",0,IF(ISNUMBER(SEARCH("야경",$J1079)),1,0))</f>
        <v>0</v>
      </c>
      <c r="V1079" s="10" t="n">
        <f aca="false">IF($H1079="숙박",0,1)</f>
        <v>1</v>
      </c>
    </row>
    <row r="1080" customFormat="false" ht="15" hidden="false" customHeight="false" outlineLevel="0" collapsed="false">
      <c r="A1080" s="8" t="n">
        <v>1079</v>
      </c>
      <c r="B1080" s="8" t="s">
        <v>45</v>
      </c>
      <c r="C1080" s="8"/>
      <c r="D1080" s="8" t="s">
        <v>3297</v>
      </c>
      <c r="E1080" s="7" t="s">
        <v>3298</v>
      </c>
      <c r="F1080" s="8"/>
      <c r="G1080" s="8"/>
      <c r="H1080" s="9" t="s">
        <v>594</v>
      </c>
      <c r="I1080" s="9"/>
      <c r="J1080" s="9"/>
      <c r="K1080" s="9"/>
      <c r="L1080" s="8"/>
      <c r="M1080" s="8"/>
      <c r="N1080" s="8" t="s">
        <v>595</v>
      </c>
      <c r="O1080" s="8"/>
      <c r="P1080" s="10" t="n">
        <f aca="false">IF($H1080="숙박",0,IF($H1080=MID(P$1,3,20),IF($I1080="",1,0.6),IF($I1080=MID(P$1,3,20),0.4,0)))</f>
        <v>0</v>
      </c>
      <c r="Q1080" s="10" t="n">
        <f aca="false">IF($H1080="숙박",0,IF($H1080=MID(Q$1,3,20),IF($I1080="",1,0.6),IF($I1080=MID(Q$1,3,20),0.4,0)))</f>
        <v>0</v>
      </c>
      <c r="R1080" s="10" t="n">
        <f aca="false">IF($H1080="숙박",0,IF($H1080=MID(R$1,3,20),IF($I1080="",1,0.6),IF($I1080=MID(R$1,3,20),0.4,0)))</f>
        <v>0</v>
      </c>
      <c r="S1080" s="10" t="n">
        <f aca="false">IF($H1080="숙박",0,IF($H1080=MID(S$1,3,20),IF($I1080="",1,0.6),IF($I1080=MID(S$1,3,20),0.4,0)))</f>
        <v>0</v>
      </c>
      <c r="T1080" s="10" t="n">
        <f aca="false">IF($H1080="숙박",0,IF($H1080=MID(T$1,3,20),IF($I1080="",1,0.6),IF($I1080=MID(T$1,3,20),0.4,0)))</f>
        <v>0</v>
      </c>
      <c r="U1080" s="10" t="n">
        <f aca="false">IF($H1080="숙박",0,IF(ISNUMBER(SEARCH("야경",$J1080)),1,0))</f>
        <v>0</v>
      </c>
      <c r="V1080" s="10" t="n">
        <f aca="false">IF($H1080="숙박",0,1)</f>
        <v>0</v>
      </c>
    </row>
    <row r="1081" customFormat="false" ht="15" hidden="false" customHeight="false" outlineLevel="0" collapsed="false">
      <c r="A1081" s="8" t="n">
        <v>1080</v>
      </c>
      <c r="B1081" s="8" t="s">
        <v>45</v>
      </c>
      <c r="C1081" s="8" t="s">
        <v>376</v>
      </c>
      <c r="D1081" s="8" t="s">
        <v>3299</v>
      </c>
      <c r="E1081" s="7" t="s">
        <v>3300</v>
      </c>
      <c r="F1081" s="8"/>
      <c r="G1081" s="8" t="s">
        <v>50</v>
      </c>
      <c r="H1081" s="9" t="s">
        <v>50</v>
      </c>
      <c r="I1081" s="9"/>
      <c r="J1081" s="9" t="s">
        <v>168</v>
      </c>
      <c r="K1081" s="9" t="s">
        <v>52</v>
      </c>
      <c r="L1081" s="8"/>
      <c r="M1081" s="8"/>
      <c r="N1081" s="8"/>
      <c r="O1081" s="8" t="s">
        <v>3301</v>
      </c>
      <c r="P1081" s="10" t="n">
        <f aca="false">IF($H1081="숙박",0,IF($H1081=MID(P$1,3,20),IF($I1081="",1,0.6),IF($I1081=MID(P$1,3,20),0.4,0)))</f>
        <v>0</v>
      </c>
      <c r="Q1081" s="10" t="n">
        <f aca="false">IF($H1081="숙박",0,IF($H1081=MID(Q$1,3,20),IF($I1081="",1,0.6),IF($I1081=MID(Q$1,3,20),0.4,0)))</f>
        <v>0</v>
      </c>
      <c r="R1081" s="10" t="n">
        <f aca="false">IF($H1081="숙박",0,IF($H1081=MID(R$1,3,20),IF($I1081="",1,0.6),IF($I1081=MID(R$1,3,20),0.4,0)))</f>
        <v>0</v>
      </c>
      <c r="S1081" s="10" t="n">
        <f aca="false">IF($H1081="숙박",0,IF($H1081=MID(S$1,3,20),IF($I1081="",1,0.6),IF($I1081=MID(S$1,3,20),0.4,0)))</f>
        <v>0</v>
      </c>
      <c r="T1081" s="10" t="n">
        <f aca="false">IF($H1081="숙박",0,IF($H1081=MID(T$1,3,20),IF($I1081="",1,0.6),IF($I1081=MID(T$1,3,20),0.4,0)))</f>
        <v>1</v>
      </c>
      <c r="U1081" s="10" t="n">
        <f aca="false">IF($H1081="숙박",0,IF(ISNUMBER(SEARCH("야경",$J1081)),1,0))</f>
        <v>0</v>
      </c>
      <c r="V1081" s="10" t="n">
        <f aca="false">IF($H1081="숙박",0,1)</f>
        <v>1</v>
      </c>
    </row>
    <row r="1082" customFormat="false" ht="15" hidden="false" customHeight="false" outlineLevel="0" collapsed="false">
      <c r="A1082" s="8" t="n">
        <v>1081</v>
      </c>
      <c r="B1082" s="8" t="s">
        <v>45</v>
      </c>
      <c r="C1082" s="8" t="s">
        <v>310</v>
      </c>
      <c r="D1082" s="8" t="s">
        <v>3302</v>
      </c>
      <c r="E1082" s="7" t="s">
        <v>3303</v>
      </c>
      <c r="F1082" s="8"/>
      <c r="G1082" s="8" t="s">
        <v>216</v>
      </c>
      <c r="H1082" s="9" t="s">
        <v>216</v>
      </c>
      <c r="I1082" s="9"/>
      <c r="J1082" s="9"/>
      <c r="K1082" s="9" t="s">
        <v>191</v>
      </c>
      <c r="L1082" s="8"/>
      <c r="M1082" s="8"/>
      <c r="N1082" s="8"/>
      <c r="O1082" s="8" t="s">
        <v>3304</v>
      </c>
      <c r="P1082" s="10" t="n">
        <f aca="false">IF($H1082="숙박",0,IF($H1082=MID(P$1,3,20),IF($I1082="",1,0.6),IF($I1082=MID(P$1,3,20),0.4,0)))</f>
        <v>0</v>
      </c>
      <c r="Q1082" s="10" t="n">
        <f aca="false">IF($H1082="숙박",0,IF($H1082=MID(Q$1,3,20),IF($I1082="",1,0.6),IF($I1082=MID(Q$1,3,20),0.4,0)))</f>
        <v>0</v>
      </c>
      <c r="R1082" s="10" t="n">
        <f aca="false">IF($H1082="숙박",0,IF($H1082=MID(R$1,3,20),IF($I1082="",1,0.6),IF($I1082=MID(R$1,3,20),0.4,0)))</f>
        <v>0</v>
      </c>
      <c r="S1082" s="10" t="n">
        <f aca="false">IF($H1082="숙박",0,IF($H1082=MID(S$1,3,20),IF($I1082="",1,0.6),IF($I1082=MID(S$1,3,20),0.4,0)))</f>
        <v>1</v>
      </c>
      <c r="T1082" s="10" t="n">
        <f aca="false">IF($H1082="숙박",0,IF($H1082=MID(T$1,3,20),IF($I1082="",1,0.6),IF($I1082=MID(T$1,3,20),0.4,0)))</f>
        <v>0</v>
      </c>
      <c r="U1082" s="10" t="n">
        <f aca="false">IF($H1082="숙박",0,IF(ISNUMBER(SEARCH("야경",$J1082)),1,0))</f>
        <v>0</v>
      </c>
      <c r="V1082" s="10" t="n">
        <f aca="false">IF($H1082="숙박",0,1)</f>
        <v>1</v>
      </c>
    </row>
    <row r="1083" customFormat="false" ht="15" hidden="false" customHeight="false" outlineLevel="0" collapsed="false">
      <c r="A1083" s="8" t="n">
        <v>1082</v>
      </c>
      <c r="B1083" s="8" t="s">
        <v>45</v>
      </c>
      <c r="C1083" s="8" t="s">
        <v>1736</v>
      </c>
      <c r="D1083" s="8" t="s">
        <v>3305</v>
      </c>
      <c r="E1083" s="7" t="s">
        <v>3306</v>
      </c>
      <c r="F1083" s="8"/>
      <c r="G1083" s="8" t="s">
        <v>50</v>
      </c>
      <c r="H1083" s="9" t="s">
        <v>50</v>
      </c>
      <c r="I1083" s="9"/>
      <c r="J1083" s="9" t="s">
        <v>168</v>
      </c>
      <c r="K1083" s="9" t="s">
        <v>52</v>
      </c>
      <c r="L1083" s="8"/>
      <c r="M1083" s="8"/>
      <c r="N1083" s="8"/>
      <c r="O1083" s="8" t="s">
        <v>3307</v>
      </c>
      <c r="P1083" s="10" t="n">
        <f aca="false">IF($H1083="숙박",0,IF($H1083=MID(P$1,3,20),IF($I1083="",1,0.6),IF($I1083=MID(P$1,3,20),0.4,0)))</f>
        <v>0</v>
      </c>
      <c r="Q1083" s="10" t="n">
        <f aca="false">IF($H1083="숙박",0,IF($H1083=MID(Q$1,3,20),IF($I1083="",1,0.6),IF($I1083=MID(Q$1,3,20),0.4,0)))</f>
        <v>0</v>
      </c>
      <c r="R1083" s="10" t="n">
        <f aca="false">IF($H1083="숙박",0,IF($H1083=MID(R$1,3,20),IF($I1083="",1,0.6),IF($I1083=MID(R$1,3,20),0.4,0)))</f>
        <v>0</v>
      </c>
      <c r="S1083" s="10" t="n">
        <f aca="false">IF($H1083="숙박",0,IF($H1083=MID(S$1,3,20),IF($I1083="",1,0.6),IF($I1083=MID(S$1,3,20),0.4,0)))</f>
        <v>0</v>
      </c>
      <c r="T1083" s="10" t="n">
        <f aca="false">IF($H1083="숙박",0,IF($H1083=MID(T$1,3,20),IF($I1083="",1,0.6),IF($I1083=MID(T$1,3,20),0.4,0)))</f>
        <v>1</v>
      </c>
      <c r="U1083" s="10" t="n">
        <f aca="false">IF($H1083="숙박",0,IF(ISNUMBER(SEARCH("야경",$J1083)),1,0))</f>
        <v>0</v>
      </c>
      <c r="V1083" s="10" t="n">
        <f aca="false">IF($H1083="숙박",0,1)</f>
        <v>1</v>
      </c>
    </row>
    <row r="1084" customFormat="false" ht="15" hidden="false" customHeight="false" outlineLevel="0" collapsed="false">
      <c r="A1084" s="8" t="n">
        <v>1083</v>
      </c>
      <c r="B1084" s="8" t="s">
        <v>45</v>
      </c>
      <c r="C1084" s="8" t="s">
        <v>1911</v>
      </c>
      <c r="D1084" s="8" t="s">
        <v>3308</v>
      </c>
      <c r="E1084" s="7" t="s">
        <v>3309</v>
      </c>
      <c r="F1084" s="8"/>
      <c r="G1084" s="8" t="s">
        <v>184</v>
      </c>
      <c r="H1084" s="9" t="s">
        <v>184</v>
      </c>
      <c r="I1084" s="9" t="s">
        <v>50</v>
      </c>
      <c r="J1084" s="9" t="s">
        <v>168</v>
      </c>
      <c r="K1084" s="9" t="s">
        <v>52</v>
      </c>
      <c r="L1084" s="8"/>
      <c r="M1084" s="8"/>
      <c r="N1084" s="8" t="s">
        <v>185</v>
      </c>
      <c r="O1084" s="8" t="s">
        <v>3310</v>
      </c>
      <c r="P1084" s="10" t="n">
        <f aca="false">IF($H1084="숙박",0,IF($H1084=MID(P$1,3,20),IF($I1084="",1,0.6),IF($I1084=MID(P$1,3,20),0.4,0)))</f>
        <v>0</v>
      </c>
      <c r="Q1084" s="10" t="n">
        <f aca="false">IF($H1084="숙박",0,IF($H1084=MID(Q$1,3,20),IF($I1084="",1,0.6),IF($I1084=MID(Q$1,3,20),0.4,0)))</f>
        <v>0</v>
      </c>
      <c r="R1084" s="10" t="n">
        <f aca="false">IF($H1084="숙박",0,IF($H1084=MID(R$1,3,20),IF($I1084="",1,0.6),IF($I1084=MID(R$1,3,20),0.4,0)))</f>
        <v>0.6</v>
      </c>
      <c r="S1084" s="10" t="n">
        <f aca="false">IF($H1084="숙박",0,IF($H1084=MID(S$1,3,20),IF($I1084="",1,0.6),IF($I1084=MID(S$1,3,20),0.4,0)))</f>
        <v>0</v>
      </c>
      <c r="T1084" s="10" t="n">
        <f aca="false">IF($H1084="숙박",0,IF($H1084=MID(T$1,3,20),IF($I1084="",1,0.6),IF($I1084=MID(T$1,3,20),0.4,0)))</f>
        <v>0.4</v>
      </c>
      <c r="U1084" s="10" t="n">
        <f aca="false">IF($H1084="숙박",0,IF(ISNUMBER(SEARCH("야경",$J1084)),1,0))</f>
        <v>0</v>
      </c>
      <c r="V1084" s="10" t="n">
        <f aca="false">IF($H1084="숙박",0,1)</f>
        <v>1</v>
      </c>
    </row>
    <row r="1085" customFormat="false" ht="15" hidden="false" customHeight="false" outlineLevel="0" collapsed="false">
      <c r="A1085" s="8" t="n">
        <v>1084</v>
      </c>
      <c r="B1085" s="8" t="s">
        <v>45</v>
      </c>
      <c r="C1085" s="8" t="s">
        <v>1865</v>
      </c>
      <c r="D1085" s="8" t="s">
        <v>3311</v>
      </c>
      <c r="E1085" s="7" t="s">
        <v>3312</v>
      </c>
      <c r="F1085" s="8"/>
      <c r="G1085" s="8" t="s">
        <v>190</v>
      </c>
      <c r="H1085" s="9" t="s">
        <v>190</v>
      </c>
      <c r="I1085" s="9"/>
      <c r="J1085" s="9"/>
      <c r="K1085" s="9" t="s">
        <v>191</v>
      </c>
      <c r="L1085" s="8"/>
      <c r="M1085" s="8"/>
      <c r="N1085" s="8"/>
      <c r="O1085" s="8" t="s">
        <v>3313</v>
      </c>
      <c r="P1085" s="10" t="n">
        <f aca="false">IF($H1085="숙박",0,IF($H1085=MID(P$1,3,20),IF($I1085="",1,0.6),IF($I1085=MID(P$1,3,20),0.4,0)))</f>
        <v>1</v>
      </c>
      <c r="Q1085" s="10" t="n">
        <f aca="false">IF($H1085="숙박",0,IF($H1085=MID(Q$1,3,20),IF($I1085="",1,0.6),IF($I1085=MID(Q$1,3,20),0.4,0)))</f>
        <v>0</v>
      </c>
      <c r="R1085" s="10" t="n">
        <f aca="false">IF($H1085="숙박",0,IF($H1085=MID(R$1,3,20),IF($I1085="",1,0.6),IF($I1085=MID(R$1,3,20),0.4,0)))</f>
        <v>0</v>
      </c>
      <c r="S1085" s="10" t="n">
        <f aca="false">IF($H1085="숙박",0,IF($H1085=MID(S$1,3,20),IF($I1085="",1,0.6),IF($I1085=MID(S$1,3,20),0.4,0)))</f>
        <v>0</v>
      </c>
      <c r="T1085" s="10" t="n">
        <f aca="false">IF($H1085="숙박",0,IF($H1085=MID(T$1,3,20),IF($I1085="",1,0.6),IF($I1085=MID(T$1,3,20),0.4,0)))</f>
        <v>0</v>
      </c>
      <c r="U1085" s="10" t="n">
        <f aca="false">IF($H1085="숙박",0,IF(ISNUMBER(SEARCH("야경",$J1085)),1,0))</f>
        <v>0</v>
      </c>
      <c r="V1085" s="10" t="n">
        <f aca="false">IF($H1085="숙박",0,1)</f>
        <v>1</v>
      </c>
    </row>
    <row r="1086" customFormat="false" ht="15" hidden="false" customHeight="false" outlineLevel="0" collapsed="false">
      <c r="A1086" s="8" t="n">
        <v>1085</v>
      </c>
      <c r="B1086" s="8" t="s">
        <v>45</v>
      </c>
      <c r="C1086" s="8"/>
      <c r="D1086" s="8" t="s">
        <v>3314</v>
      </c>
      <c r="E1086" s="7" t="s">
        <v>3315</v>
      </c>
      <c r="F1086" s="8"/>
      <c r="G1086" s="8"/>
      <c r="H1086" s="9" t="s">
        <v>594</v>
      </c>
      <c r="I1086" s="9"/>
      <c r="J1086" s="9"/>
      <c r="K1086" s="9"/>
      <c r="L1086" s="8"/>
      <c r="M1086" s="8"/>
      <c r="N1086" s="8" t="s">
        <v>595</v>
      </c>
      <c r="O1086" s="8"/>
      <c r="P1086" s="10" t="n">
        <f aca="false">IF($H1086="숙박",0,IF($H1086=MID(P$1,3,20),IF($I1086="",1,0.6),IF($I1086=MID(P$1,3,20),0.4,0)))</f>
        <v>0</v>
      </c>
      <c r="Q1086" s="10" t="n">
        <f aca="false">IF($H1086="숙박",0,IF($H1086=MID(Q$1,3,20),IF($I1086="",1,0.6),IF($I1086=MID(Q$1,3,20),0.4,0)))</f>
        <v>0</v>
      </c>
      <c r="R1086" s="10" t="n">
        <f aca="false">IF($H1086="숙박",0,IF($H1086=MID(R$1,3,20),IF($I1086="",1,0.6),IF($I1086=MID(R$1,3,20),0.4,0)))</f>
        <v>0</v>
      </c>
      <c r="S1086" s="10" t="n">
        <f aca="false">IF($H1086="숙박",0,IF($H1086=MID(S$1,3,20),IF($I1086="",1,0.6),IF($I1086=MID(S$1,3,20),0.4,0)))</f>
        <v>0</v>
      </c>
      <c r="T1086" s="10" t="n">
        <f aca="false">IF($H1086="숙박",0,IF($H1086=MID(T$1,3,20),IF($I1086="",1,0.6),IF($I1086=MID(T$1,3,20),0.4,0)))</f>
        <v>0</v>
      </c>
      <c r="U1086" s="10" t="n">
        <f aca="false">IF($H1086="숙박",0,IF(ISNUMBER(SEARCH("야경",$J1086)),1,0))</f>
        <v>0</v>
      </c>
      <c r="V1086" s="10" t="n">
        <f aca="false">IF($H1086="숙박",0,1)</f>
        <v>0</v>
      </c>
    </row>
    <row r="1087" customFormat="false" ht="15" hidden="false" customHeight="false" outlineLevel="0" collapsed="false">
      <c r="A1087" s="8" t="n">
        <v>1086</v>
      </c>
      <c r="B1087" s="8" t="s">
        <v>45</v>
      </c>
      <c r="C1087" s="8" t="s">
        <v>966</v>
      </c>
      <c r="D1087" s="8" t="s">
        <v>3316</v>
      </c>
      <c r="E1087" s="7" t="s">
        <v>3317</v>
      </c>
      <c r="F1087" s="8"/>
      <c r="G1087" s="8" t="s">
        <v>190</v>
      </c>
      <c r="H1087" s="9" t="s">
        <v>190</v>
      </c>
      <c r="I1087" s="9" t="s">
        <v>49</v>
      </c>
      <c r="J1087" s="9"/>
      <c r="K1087" s="9" t="s">
        <v>52</v>
      </c>
      <c r="L1087" s="8"/>
      <c r="M1087" s="8"/>
      <c r="N1087" s="8" t="s">
        <v>483</v>
      </c>
      <c r="O1087" s="8" t="s">
        <v>3318</v>
      </c>
      <c r="P1087" s="10" t="n">
        <f aca="false">IF($H1087="숙박",0,IF($H1087=MID(P$1,3,20),IF($I1087="",1,0.6),IF($I1087=MID(P$1,3,20),0.4,0)))</f>
        <v>0.6</v>
      </c>
      <c r="Q1087" s="10" t="n">
        <f aca="false">IF($H1087="숙박",0,IF($H1087=MID(Q$1,3,20),IF($I1087="",1,0.6),IF($I1087=MID(Q$1,3,20),0.4,0)))</f>
        <v>0.4</v>
      </c>
      <c r="R1087" s="10" t="n">
        <f aca="false">IF($H1087="숙박",0,IF($H1087=MID(R$1,3,20),IF($I1087="",1,0.6),IF($I1087=MID(R$1,3,20),0.4,0)))</f>
        <v>0</v>
      </c>
      <c r="S1087" s="10" t="n">
        <f aca="false">IF($H1087="숙박",0,IF($H1087=MID(S$1,3,20),IF($I1087="",1,0.6),IF($I1087=MID(S$1,3,20),0.4,0)))</f>
        <v>0</v>
      </c>
      <c r="T1087" s="10" t="n">
        <f aca="false">IF($H1087="숙박",0,IF($H1087=MID(T$1,3,20),IF($I1087="",1,0.6),IF($I1087=MID(T$1,3,20),0.4,0)))</f>
        <v>0</v>
      </c>
      <c r="U1087" s="10" t="n">
        <f aca="false">IF($H1087="숙박",0,IF(ISNUMBER(SEARCH("야경",$J1087)),1,0))</f>
        <v>0</v>
      </c>
      <c r="V1087" s="10" t="n">
        <f aca="false">IF($H1087="숙박",0,1)</f>
        <v>1</v>
      </c>
    </row>
    <row r="1088" customFormat="false" ht="15" hidden="false" customHeight="false" outlineLevel="0" collapsed="false">
      <c r="A1088" s="8" t="n">
        <v>1087</v>
      </c>
      <c r="B1088" s="8" t="s">
        <v>45</v>
      </c>
      <c r="C1088" s="8" t="s">
        <v>966</v>
      </c>
      <c r="D1088" s="8" t="s">
        <v>3319</v>
      </c>
      <c r="E1088" s="7" t="s">
        <v>3320</v>
      </c>
      <c r="F1088" s="8"/>
      <c r="G1088" s="8" t="s">
        <v>190</v>
      </c>
      <c r="H1088" s="9" t="s">
        <v>190</v>
      </c>
      <c r="I1088" s="9"/>
      <c r="J1088" s="9"/>
      <c r="K1088" s="9" t="s">
        <v>191</v>
      </c>
      <c r="L1088" s="8"/>
      <c r="M1088" s="8"/>
      <c r="N1088" s="8"/>
      <c r="O1088" s="8" t="s">
        <v>3321</v>
      </c>
      <c r="P1088" s="10" t="n">
        <f aca="false">IF($H1088="숙박",0,IF($H1088=MID(P$1,3,20),IF($I1088="",1,0.6),IF($I1088=MID(P$1,3,20),0.4,0)))</f>
        <v>1</v>
      </c>
      <c r="Q1088" s="10" t="n">
        <f aca="false">IF($H1088="숙박",0,IF($H1088=MID(Q$1,3,20),IF($I1088="",1,0.6),IF($I1088=MID(Q$1,3,20),0.4,0)))</f>
        <v>0</v>
      </c>
      <c r="R1088" s="10" t="n">
        <f aca="false">IF($H1088="숙박",0,IF($H1088=MID(R$1,3,20),IF($I1088="",1,0.6),IF($I1088=MID(R$1,3,20),0.4,0)))</f>
        <v>0</v>
      </c>
      <c r="S1088" s="10" t="n">
        <f aca="false">IF($H1088="숙박",0,IF($H1088=MID(S$1,3,20),IF($I1088="",1,0.6),IF($I1088=MID(S$1,3,20),0.4,0)))</f>
        <v>0</v>
      </c>
      <c r="T1088" s="10" t="n">
        <f aca="false">IF($H1088="숙박",0,IF($H1088=MID(T$1,3,20),IF($I1088="",1,0.6),IF($I1088=MID(T$1,3,20),0.4,0)))</f>
        <v>0</v>
      </c>
      <c r="U1088" s="10" t="n">
        <f aca="false">IF($H1088="숙박",0,IF(ISNUMBER(SEARCH("야경",$J1088)),1,0))</f>
        <v>0</v>
      </c>
      <c r="V1088" s="10" t="n">
        <f aca="false">IF($H1088="숙박",0,1)</f>
        <v>1</v>
      </c>
    </row>
    <row r="1089" customFormat="false" ht="15" hidden="false" customHeight="false" outlineLevel="0" collapsed="false">
      <c r="A1089" s="8" t="n">
        <v>1088</v>
      </c>
      <c r="B1089" s="8" t="s">
        <v>45</v>
      </c>
      <c r="C1089" s="8"/>
      <c r="D1089" s="8" t="s">
        <v>3322</v>
      </c>
      <c r="E1089" s="7" t="s">
        <v>3323</v>
      </c>
      <c r="F1089" s="8"/>
      <c r="G1089" s="8"/>
      <c r="H1089" s="9" t="s">
        <v>594</v>
      </c>
      <c r="I1089" s="9"/>
      <c r="J1089" s="9"/>
      <c r="K1089" s="9"/>
      <c r="L1089" s="8"/>
      <c r="M1089" s="8"/>
      <c r="N1089" s="8" t="s">
        <v>595</v>
      </c>
      <c r="O1089" s="8"/>
      <c r="P1089" s="10" t="n">
        <f aca="false">IF($H1089="숙박",0,IF($H1089=MID(P$1,3,20),IF($I1089="",1,0.6),IF($I1089=MID(P$1,3,20),0.4,0)))</f>
        <v>0</v>
      </c>
      <c r="Q1089" s="10" t="n">
        <f aca="false">IF($H1089="숙박",0,IF($H1089=MID(Q$1,3,20),IF($I1089="",1,0.6),IF($I1089=MID(Q$1,3,20),0.4,0)))</f>
        <v>0</v>
      </c>
      <c r="R1089" s="10" t="n">
        <f aca="false">IF($H1089="숙박",0,IF($H1089=MID(R$1,3,20),IF($I1089="",1,0.6),IF($I1089=MID(R$1,3,20),0.4,0)))</f>
        <v>0</v>
      </c>
      <c r="S1089" s="10" t="n">
        <f aca="false">IF($H1089="숙박",0,IF($H1089=MID(S$1,3,20),IF($I1089="",1,0.6),IF($I1089=MID(S$1,3,20),0.4,0)))</f>
        <v>0</v>
      </c>
      <c r="T1089" s="10" t="n">
        <f aca="false">IF($H1089="숙박",0,IF($H1089=MID(T$1,3,20),IF($I1089="",1,0.6),IF($I1089=MID(T$1,3,20),0.4,0)))</f>
        <v>0</v>
      </c>
      <c r="U1089" s="10" t="n">
        <f aca="false">IF($H1089="숙박",0,IF(ISNUMBER(SEARCH("야경",$J1089)),1,0))</f>
        <v>0</v>
      </c>
      <c r="V1089" s="10" t="n">
        <f aca="false">IF($H1089="숙박",0,1)</f>
        <v>0</v>
      </c>
    </row>
    <row r="1090" customFormat="false" ht="15" hidden="false" customHeight="false" outlineLevel="0" collapsed="false">
      <c r="A1090" s="8" t="n">
        <v>1089</v>
      </c>
      <c r="B1090" s="8" t="s">
        <v>45</v>
      </c>
      <c r="C1090" s="8" t="s">
        <v>454</v>
      </c>
      <c r="D1090" s="8" t="s">
        <v>3324</v>
      </c>
      <c r="E1090" s="7" t="s">
        <v>3325</v>
      </c>
      <c r="F1090" s="8"/>
      <c r="G1090" s="8" t="s">
        <v>184</v>
      </c>
      <c r="H1090" s="9" t="s">
        <v>184</v>
      </c>
      <c r="I1090" s="9"/>
      <c r="J1090" s="9"/>
      <c r="K1090" s="9" t="s">
        <v>191</v>
      </c>
      <c r="L1090" s="8"/>
      <c r="M1090" s="8"/>
      <c r="N1090" s="8"/>
      <c r="O1090" s="8" t="s">
        <v>3326</v>
      </c>
      <c r="P1090" s="10" t="n">
        <f aca="false">IF($H1090="숙박",0,IF($H1090=MID(P$1,3,20),IF($I1090="",1,0.6),IF($I1090=MID(P$1,3,20),0.4,0)))</f>
        <v>0</v>
      </c>
      <c r="Q1090" s="10" t="n">
        <f aca="false">IF($H1090="숙박",0,IF($H1090=MID(Q$1,3,20),IF($I1090="",1,0.6),IF($I1090=MID(Q$1,3,20),0.4,0)))</f>
        <v>0</v>
      </c>
      <c r="R1090" s="10" t="n">
        <f aca="false">IF($H1090="숙박",0,IF($H1090=MID(R$1,3,20),IF($I1090="",1,0.6),IF($I1090=MID(R$1,3,20),0.4,0)))</f>
        <v>1</v>
      </c>
      <c r="S1090" s="10" t="n">
        <f aca="false">IF($H1090="숙박",0,IF($H1090=MID(S$1,3,20),IF($I1090="",1,0.6),IF($I1090=MID(S$1,3,20),0.4,0)))</f>
        <v>0</v>
      </c>
      <c r="T1090" s="10" t="n">
        <f aca="false">IF($H1090="숙박",0,IF($H1090=MID(T$1,3,20),IF($I1090="",1,0.6),IF($I1090=MID(T$1,3,20),0.4,0)))</f>
        <v>0</v>
      </c>
      <c r="U1090" s="10" t="n">
        <f aca="false">IF($H1090="숙박",0,IF(ISNUMBER(SEARCH("야경",$J1090)),1,0))</f>
        <v>0</v>
      </c>
      <c r="V1090" s="10" t="n">
        <f aca="false">IF($H1090="숙박",0,1)</f>
        <v>1</v>
      </c>
    </row>
    <row r="1091" customFormat="false" ht="15" hidden="false" customHeight="false" outlineLevel="0" collapsed="false">
      <c r="A1091" s="8" t="n">
        <v>1090</v>
      </c>
      <c r="B1091" s="8" t="s">
        <v>45</v>
      </c>
      <c r="C1091" s="8" t="s">
        <v>1596</v>
      </c>
      <c r="D1091" s="8" t="s">
        <v>3327</v>
      </c>
      <c r="E1091" s="7" t="s">
        <v>3328</v>
      </c>
      <c r="F1091" s="8"/>
      <c r="G1091" s="8" t="s">
        <v>49</v>
      </c>
      <c r="H1091" s="9" t="s">
        <v>49</v>
      </c>
      <c r="I1091" s="9"/>
      <c r="J1091" s="9"/>
      <c r="K1091" s="9" t="s">
        <v>52</v>
      </c>
      <c r="L1091" s="8"/>
      <c r="M1091" s="8"/>
      <c r="N1091" s="8"/>
      <c r="O1091" s="8" t="s">
        <v>3329</v>
      </c>
      <c r="P1091" s="10" t="n">
        <f aca="false">IF($H1091="숙박",0,IF($H1091=MID(P$1,3,20),IF($I1091="",1,0.6),IF($I1091=MID(P$1,3,20),0.4,0)))</f>
        <v>0</v>
      </c>
      <c r="Q1091" s="10" t="n">
        <f aca="false">IF($H1091="숙박",0,IF($H1091=MID(Q$1,3,20),IF($I1091="",1,0.6),IF($I1091=MID(Q$1,3,20),0.4,0)))</f>
        <v>1</v>
      </c>
      <c r="R1091" s="10" t="n">
        <f aca="false">IF($H1091="숙박",0,IF($H1091=MID(R$1,3,20),IF($I1091="",1,0.6),IF($I1091=MID(R$1,3,20),0.4,0)))</f>
        <v>0</v>
      </c>
      <c r="S1091" s="10" t="n">
        <f aca="false">IF($H1091="숙박",0,IF($H1091=MID(S$1,3,20),IF($I1091="",1,0.6),IF($I1091=MID(S$1,3,20),0.4,0)))</f>
        <v>0</v>
      </c>
      <c r="T1091" s="10" t="n">
        <f aca="false">IF($H1091="숙박",0,IF($H1091=MID(T$1,3,20),IF($I1091="",1,0.6),IF($I1091=MID(T$1,3,20),0.4,0)))</f>
        <v>0</v>
      </c>
      <c r="U1091" s="10" t="n">
        <f aca="false">IF($H1091="숙박",0,IF(ISNUMBER(SEARCH("야경",$J1091)),1,0))</f>
        <v>0</v>
      </c>
      <c r="V1091" s="10" t="n">
        <f aca="false">IF($H1091="숙박",0,1)</f>
        <v>1</v>
      </c>
    </row>
    <row r="1092" customFormat="false" ht="15" hidden="false" customHeight="false" outlineLevel="0" collapsed="false">
      <c r="A1092" s="8" t="n">
        <v>1091</v>
      </c>
      <c r="B1092" s="8" t="s">
        <v>45</v>
      </c>
      <c r="C1092" s="8" t="s">
        <v>1596</v>
      </c>
      <c r="D1092" s="8" t="s">
        <v>3330</v>
      </c>
      <c r="E1092" s="7" t="s">
        <v>3331</v>
      </c>
      <c r="F1092" s="8"/>
      <c r="G1092" s="8" t="s">
        <v>49</v>
      </c>
      <c r="H1092" s="9" t="s">
        <v>49</v>
      </c>
      <c r="I1092" s="9" t="s">
        <v>184</v>
      </c>
      <c r="J1092" s="9"/>
      <c r="K1092" s="9" t="s">
        <v>52</v>
      </c>
      <c r="L1092" s="8"/>
      <c r="M1092" s="8"/>
      <c r="N1092" s="8" t="s">
        <v>483</v>
      </c>
      <c r="O1092" s="8" t="s">
        <v>3332</v>
      </c>
      <c r="P1092" s="10" t="n">
        <f aca="false">IF($H1092="숙박",0,IF($H1092=MID(P$1,3,20),IF($I1092="",1,0.6),IF($I1092=MID(P$1,3,20),0.4,0)))</f>
        <v>0</v>
      </c>
      <c r="Q1092" s="10" t="n">
        <f aca="false">IF($H1092="숙박",0,IF($H1092=MID(Q$1,3,20),IF($I1092="",1,0.6),IF($I1092=MID(Q$1,3,20),0.4,0)))</f>
        <v>0.6</v>
      </c>
      <c r="R1092" s="10" t="n">
        <f aca="false">IF($H1092="숙박",0,IF($H1092=MID(R$1,3,20),IF($I1092="",1,0.6),IF($I1092=MID(R$1,3,20),0.4,0)))</f>
        <v>0.4</v>
      </c>
      <c r="S1092" s="10" t="n">
        <f aca="false">IF($H1092="숙박",0,IF($H1092=MID(S$1,3,20),IF($I1092="",1,0.6),IF($I1092=MID(S$1,3,20),0.4,0)))</f>
        <v>0</v>
      </c>
      <c r="T1092" s="10" t="n">
        <f aca="false">IF($H1092="숙박",0,IF($H1092=MID(T$1,3,20),IF($I1092="",1,0.6),IF($I1092=MID(T$1,3,20),0.4,0)))</f>
        <v>0</v>
      </c>
      <c r="U1092" s="10" t="n">
        <f aca="false">IF($H1092="숙박",0,IF(ISNUMBER(SEARCH("야경",$J1092)),1,0))</f>
        <v>0</v>
      </c>
      <c r="V1092" s="10" t="n">
        <f aca="false">IF($H1092="숙박",0,1)</f>
        <v>1</v>
      </c>
    </row>
    <row r="1093" customFormat="false" ht="15" hidden="false" customHeight="false" outlineLevel="0" collapsed="false">
      <c r="A1093" s="8" t="n">
        <v>1092</v>
      </c>
      <c r="B1093" s="8" t="s">
        <v>45</v>
      </c>
      <c r="C1093" s="8" t="s">
        <v>1402</v>
      </c>
      <c r="D1093" s="8" t="s">
        <v>3333</v>
      </c>
      <c r="E1093" s="7" t="s">
        <v>3334</v>
      </c>
      <c r="F1093" s="8"/>
      <c r="G1093" s="8" t="s">
        <v>190</v>
      </c>
      <c r="H1093" s="9" t="s">
        <v>190</v>
      </c>
      <c r="I1093" s="9"/>
      <c r="J1093" s="9"/>
      <c r="K1093" s="9" t="s">
        <v>191</v>
      </c>
      <c r="L1093" s="8"/>
      <c r="M1093" s="8"/>
      <c r="N1093" s="8"/>
      <c r="O1093" s="8" t="s">
        <v>3335</v>
      </c>
      <c r="P1093" s="10" t="n">
        <f aca="false">IF($H1093="숙박",0,IF($H1093=MID(P$1,3,20),IF($I1093="",1,0.6),IF($I1093=MID(P$1,3,20),0.4,0)))</f>
        <v>1</v>
      </c>
      <c r="Q1093" s="10" t="n">
        <f aca="false">IF($H1093="숙박",0,IF($H1093=MID(Q$1,3,20),IF($I1093="",1,0.6),IF($I1093=MID(Q$1,3,20),0.4,0)))</f>
        <v>0</v>
      </c>
      <c r="R1093" s="10" t="n">
        <f aca="false">IF($H1093="숙박",0,IF($H1093=MID(R$1,3,20),IF($I1093="",1,0.6),IF($I1093=MID(R$1,3,20),0.4,0)))</f>
        <v>0</v>
      </c>
      <c r="S1093" s="10" t="n">
        <f aca="false">IF($H1093="숙박",0,IF($H1093=MID(S$1,3,20),IF($I1093="",1,0.6),IF($I1093=MID(S$1,3,20),0.4,0)))</f>
        <v>0</v>
      </c>
      <c r="T1093" s="10" t="n">
        <f aca="false">IF($H1093="숙박",0,IF($H1093=MID(T$1,3,20),IF($I1093="",1,0.6),IF($I1093=MID(T$1,3,20),0.4,0)))</f>
        <v>0</v>
      </c>
      <c r="U1093" s="10" t="n">
        <f aca="false">IF($H1093="숙박",0,IF(ISNUMBER(SEARCH("야경",$J1093)),1,0))</f>
        <v>0</v>
      </c>
      <c r="V1093" s="10" t="n">
        <f aca="false">IF($H1093="숙박",0,1)</f>
        <v>1</v>
      </c>
    </row>
    <row r="1094" customFormat="false" ht="15" hidden="false" customHeight="false" outlineLevel="0" collapsed="false">
      <c r="A1094" s="8" t="n">
        <v>1093</v>
      </c>
      <c r="B1094" s="8" t="s">
        <v>45</v>
      </c>
      <c r="C1094" s="8" t="s">
        <v>1546</v>
      </c>
      <c r="D1094" s="8" t="s">
        <v>3336</v>
      </c>
      <c r="E1094" s="7" t="s">
        <v>3337</v>
      </c>
      <c r="F1094" s="8"/>
      <c r="G1094" s="8" t="s">
        <v>216</v>
      </c>
      <c r="H1094" s="9" t="s">
        <v>216</v>
      </c>
      <c r="I1094" s="9" t="s">
        <v>190</v>
      </c>
      <c r="J1094" s="9"/>
      <c r="K1094" s="9" t="s">
        <v>52</v>
      </c>
      <c r="L1094" s="8"/>
      <c r="M1094" s="8"/>
      <c r="N1094" s="8" t="s">
        <v>483</v>
      </c>
      <c r="O1094" s="8" t="s">
        <v>3338</v>
      </c>
      <c r="P1094" s="10" t="n">
        <f aca="false">IF($H1094="숙박",0,IF($H1094=MID(P$1,3,20),IF($I1094="",1,0.6),IF($I1094=MID(P$1,3,20),0.4,0)))</f>
        <v>0.4</v>
      </c>
      <c r="Q1094" s="10" t="n">
        <f aca="false">IF($H1094="숙박",0,IF($H1094=MID(Q$1,3,20),IF($I1094="",1,0.6),IF($I1094=MID(Q$1,3,20),0.4,0)))</f>
        <v>0</v>
      </c>
      <c r="R1094" s="10" t="n">
        <f aca="false">IF($H1094="숙박",0,IF($H1094=MID(R$1,3,20),IF($I1094="",1,0.6),IF($I1094=MID(R$1,3,20),0.4,0)))</f>
        <v>0</v>
      </c>
      <c r="S1094" s="10" t="n">
        <f aca="false">IF($H1094="숙박",0,IF($H1094=MID(S$1,3,20),IF($I1094="",1,0.6),IF($I1094=MID(S$1,3,20),0.4,0)))</f>
        <v>0.6</v>
      </c>
      <c r="T1094" s="10" t="n">
        <f aca="false">IF($H1094="숙박",0,IF($H1094=MID(T$1,3,20),IF($I1094="",1,0.6),IF($I1094=MID(T$1,3,20),0.4,0)))</f>
        <v>0</v>
      </c>
      <c r="U1094" s="10" t="n">
        <f aca="false">IF($H1094="숙박",0,IF(ISNUMBER(SEARCH("야경",$J1094)),1,0))</f>
        <v>0</v>
      </c>
      <c r="V1094" s="10" t="n">
        <f aca="false">IF($H1094="숙박",0,1)</f>
        <v>1</v>
      </c>
    </row>
    <row r="1095" customFormat="false" ht="15" hidden="false" customHeight="false" outlineLevel="0" collapsed="false">
      <c r="A1095" s="8" t="n">
        <v>1094</v>
      </c>
      <c r="B1095" s="8" t="s">
        <v>45</v>
      </c>
      <c r="C1095" s="8" t="s">
        <v>1493</v>
      </c>
      <c r="D1095" s="8" t="s">
        <v>3339</v>
      </c>
      <c r="E1095" s="7" t="s">
        <v>3340</v>
      </c>
      <c r="F1095" s="8"/>
      <c r="G1095" s="8" t="s">
        <v>49</v>
      </c>
      <c r="H1095" s="9" t="s">
        <v>49</v>
      </c>
      <c r="I1095" s="9"/>
      <c r="J1095" s="9"/>
      <c r="K1095" s="9" t="s">
        <v>52</v>
      </c>
      <c r="L1095" s="8"/>
      <c r="M1095" s="8"/>
      <c r="N1095" s="8"/>
      <c r="O1095" s="8" t="s">
        <v>3341</v>
      </c>
      <c r="P1095" s="10" t="n">
        <f aca="false">IF($H1095="숙박",0,IF($H1095=MID(P$1,3,20),IF($I1095="",1,0.6),IF($I1095=MID(P$1,3,20),0.4,0)))</f>
        <v>0</v>
      </c>
      <c r="Q1095" s="10" t="n">
        <f aca="false">IF($H1095="숙박",0,IF($H1095=MID(Q$1,3,20),IF($I1095="",1,0.6),IF($I1095=MID(Q$1,3,20),0.4,0)))</f>
        <v>1</v>
      </c>
      <c r="R1095" s="10" t="n">
        <f aca="false">IF($H1095="숙박",0,IF($H1095=MID(R$1,3,20),IF($I1095="",1,0.6),IF($I1095=MID(R$1,3,20),0.4,0)))</f>
        <v>0</v>
      </c>
      <c r="S1095" s="10" t="n">
        <f aca="false">IF($H1095="숙박",0,IF($H1095=MID(S$1,3,20),IF($I1095="",1,0.6),IF($I1095=MID(S$1,3,20),0.4,0)))</f>
        <v>0</v>
      </c>
      <c r="T1095" s="10" t="n">
        <f aca="false">IF($H1095="숙박",0,IF($H1095=MID(T$1,3,20),IF($I1095="",1,0.6),IF($I1095=MID(T$1,3,20),0.4,0)))</f>
        <v>0</v>
      </c>
      <c r="U1095" s="10" t="n">
        <f aca="false">IF($H1095="숙박",0,IF(ISNUMBER(SEARCH("야경",$J1095)),1,0))</f>
        <v>0</v>
      </c>
      <c r="V1095" s="10" t="n">
        <f aca="false">IF($H1095="숙박",0,1)</f>
        <v>1</v>
      </c>
    </row>
    <row r="1096" customFormat="false" ht="15" hidden="false" customHeight="false" outlineLevel="0" collapsed="false">
      <c r="A1096" s="8" t="n">
        <v>1095</v>
      </c>
      <c r="B1096" s="8" t="s">
        <v>45</v>
      </c>
      <c r="C1096" s="8" t="s">
        <v>317</v>
      </c>
      <c r="D1096" s="8" t="s">
        <v>3342</v>
      </c>
      <c r="E1096" s="7" t="s">
        <v>3343</v>
      </c>
      <c r="F1096" s="8"/>
      <c r="G1096" s="8" t="s">
        <v>190</v>
      </c>
      <c r="H1096" s="9" t="s">
        <v>190</v>
      </c>
      <c r="I1096" s="9"/>
      <c r="J1096" s="9"/>
      <c r="K1096" s="9" t="s">
        <v>191</v>
      </c>
      <c r="L1096" s="8"/>
      <c r="M1096" s="8"/>
      <c r="N1096" s="8"/>
      <c r="O1096" s="8" t="s">
        <v>3344</v>
      </c>
      <c r="P1096" s="10" t="n">
        <f aca="false">IF($H1096="숙박",0,IF($H1096=MID(P$1,3,20),IF($I1096="",1,0.6),IF($I1096=MID(P$1,3,20),0.4,0)))</f>
        <v>1</v>
      </c>
      <c r="Q1096" s="10" t="n">
        <f aca="false">IF($H1096="숙박",0,IF($H1096=MID(Q$1,3,20),IF($I1096="",1,0.6),IF($I1096=MID(Q$1,3,20),0.4,0)))</f>
        <v>0</v>
      </c>
      <c r="R1096" s="10" t="n">
        <f aca="false">IF($H1096="숙박",0,IF($H1096=MID(R$1,3,20),IF($I1096="",1,0.6),IF($I1096=MID(R$1,3,20),0.4,0)))</f>
        <v>0</v>
      </c>
      <c r="S1096" s="10" t="n">
        <f aca="false">IF($H1096="숙박",0,IF($H1096=MID(S$1,3,20),IF($I1096="",1,0.6),IF($I1096=MID(S$1,3,20),0.4,0)))</f>
        <v>0</v>
      </c>
      <c r="T1096" s="10" t="n">
        <f aca="false">IF($H1096="숙박",0,IF($H1096=MID(T$1,3,20),IF($I1096="",1,0.6),IF($I1096=MID(T$1,3,20),0.4,0)))</f>
        <v>0</v>
      </c>
      <c r="U1096" s="10" t="n">
        <f aca="false">IF($H1096="숙박",0,IF(ISNUMBER(SEARCH("야경",$J1096)),1,0))</f>
        <v>0</v>
      </c>
      <c r="V1096" s="10" t="n">
        <f aca="false">IF($H1096="숙박",0,1)</f>
        <v>1</v>
      </c>
    </row>
    <row r="1097" customFormat="false" ht="15" hidden="false" customHeight="false" outlineLevel="0" collapsed="false">
      <c r="A1097" s="8" t="n">
        <v>1096</v>
      </c>
      <c r="B1097" s="8" t="s">
        <v>45</v>
      </c>
      <c r="C1097" s="8" t="s">
        <v>1448</v>
      </c>
      <c r="D1097" s="8" t="s">
        <v>3345</v>
      </c>
      <c r="E1097" s="7" t="s">
        <v>3346</v>
      </c>
      <c r="F1097" s="8"/>
      <c r="G1097" s="8" t="s">
        <v>184</v>
      </c>
      <c r="H1097" s="9" t="s">
        <v>184</v>
      </c>
      <c r="I1097" s="9" t="s">
        <v>49</v>
      </c>
      <c r="J1097" s="9"/>
      <c r="K1097" s="9" t="s">
        <v>52</v>
      </c>
      <c r="L1097" s="8"/>
      <c r="M1097" s="8"/>
      <c r="N1097" s="8" t="s">
        <v>483</v>
      </c>
      <c r="O1097" s="8" t="s">
        <v>3347</v>
      </c>
      <c r="P1097" s="10" t="n">
        <f aca="false">IF($H1097="숙박",0,IF($H1097=MID(P$1,3,20),IF($I1097="",1,0.6),IF($I1097=MID(P$1,3,20),0.4,0)))</f>
        <v>0</v>
      </c>
      <c r="Q1097" s="10" t="n">
        <f aca="false">IF($H1097="숙박",0,IF($H1097=MID(Q$1,3,20),IF($I1097="",1,0.6),IF($I1097=MID(Q$1,3,20),0.4,0)))</f>
        <v>0.4</v>
      </c>
      <c r="R1097" s="10" t="n">
        <f aca="false">IF($H1097="숙박",0,IF($H1097=MID(R$1,3,20),IF($I1097="",1,0.6),IF($I1097=MID(R$1,3,20),0.4,0)))</f>
        <v>0.6</v>
      </c>
      <c r="S1097" s="10" t="n">
        <f aca="false">IF($H1097="숙박",0,IF($H1097=MID(S$1,3,20),IF($I1097="",1,0.6),IF($I1097=MID(S$1,3,20),0.4,0)))</f>
        <v>0</v>
      </c>
      <c r="T1097" s="10" t="n">
        <f aca="false">IF($H1097="숙박",0,IF($H1097=MID(T$1,3,20),IF($I1097="",1,0.6),IF($I1097=MID(T$1,3,20),0.4,0)))</f>
        <v>0</v>
      </c>
      <c r="U1097" s="10" t="n">
        <f aca="false">IF($H1097="숙박",0,IF(ISNUMBER(SEARCH("야경",$J1097)),1,0))</f>
        <v>0</v>
      </c>
      <c r="V1097" s="10" t="n">
        <f aca="false">IF($H1097="숙박",0,1)</f>
        <v>1</v>
      </c>
    </row>
    <row r="1098" customFormat="false" ht="15" hidden="false" customHeight="false" outlineLevel="0" collapsed="false">
      <c r="A1098" s="8" t="n">
        <v>1097</v>
      </c>
      <c r="B1098" s="8" t="s">
        <v>45</v>
      </c>
      <c r="C1098" s="8" t="s">
        <v>1448</v>
      </c>
      <c r="D1098" s="8" t="s">
        <v>3348</v>
      </c>
      <c r="E1098" s="7" t="s">
        <v>3349</v>
      </c>
      <c r="F1098" s="8"/>
      <c r="G1098" s="8" t="s">
        <v>49</v>
      </c>
      <c r="H1098" s="9" t="s">
        <v>49</v>
      </c>
      <c r="I1098" s="9" t="s">
        <v>184</v>
      </c>
      <c r="J1098" s="9"/>
      <c r="K1098" s="9" t="s">
        <v>52</v>
      </c>
      <c r="L1098" s="8"/>
      <c r="M1098" s="8"/>
      <c r="N1098" s="8" t="s">
        <v>483</v>
      </c>
      <c r="O1098" s="8" t="s">
        <v>3350</v>
      </c>
      <c r="P1098" s="10" t="n">
        <f aca="false">IF($H1098="숙박",0,IF($H1098=MID(P$1,3,20),IF($I1098="",1,0.6),IF($I1098=MID(P$1,3,20),0.4,0)))</f>
        <v>0</v>
      </c>
      <c r="Q1098" s="10" t="n">
        <f aca="false">IF($H1098="숙박",0,IF($H1098=MID(Q$1,3,20),IF($I1098="",1,0.6),IF($I1098=MID(Q$1,3,20),0.4,0)))</f>
        <v>0.6</v>
      </c>
      <c r="R1098" s="10" t="n">
        <f aca="false">IF($H1098="숙박",0,IF($H1098=MID(R$1,3,20),IF($I1098="",1,0.6),IF($I1098=MID(R$1,3,20),0.4,0)))</f>
        <v>0.4</v>
      </c>
      <c r="S1098" s="10" t="n">
        <f aca="false">IF($H1098="숙박",0,IF($H1098=MID(S$1,3,20),IF($I1098="",1,0.6),IF($I1098=MID(S$1,3,20),0.4,0)))</f>
        <v>0</v>
      </c>
      <c r="T1098" s="10" t="n">
        <f aca="false">IF($H1098="숙박",0,IF($H1098=MID(T$1,3,20),IF($I1098="",1,0.6),IF($I1098=MID(T$1,3,20),0.4,0)))</f>
        <v>0</v>
      </c>
      <c r="U1098" s="10" t="n">
        <f aca="false">IF($H1098="숙박",0,IF(ISNUMBER(SEARCH("야경",$J1098)),1,0))</f>
        <v>0</v>
      </c>
      <c r="V1098" s="10" t="n">
        <f aca="false">IF($H1098="숙박",0,1)</f>
        <v>1</v>
      </c>
    </row>
    <row r="1099" customFormat="false" ht="15" hidden="false" customHeight="false" outlineLevel="0" collapsed="false">
      <c r="A1099" s="8" t="n">
        <v>1098</v>
      </c>
      <c r="B1099" s="8" t="s">
        <v>45</v>
      </c>
      <c r="C1099" s="8" t="s">
        <v>1448</v>
      </c>
      <c r="D1099" s="8" t="s">
        <v>3351</v>
      </c>
      <c r="E1099" s="7" t="s">
        <v>3352</v>
      </c>
      <c r="F1099" s="8"/>
      <c r="G1099" s="8" t="s">
        <v>49</v>
      </c>
      <c r="H1099" s="9" t="s">
        <v>49</v>
      </c>
      <c r="I1099" s="9"/>
      <c r="J1099" s="9" t="s">
        <v>43</v>
      </c>
      <c r="K1099" s="9" t="s">
        <v>52</v>
      </c>
      <c r="L1099" s="8"/>
      <c r="M1099" s="8"/>
      <c r="N1099" s="8"/>
      <c r="O1099" s="8" t="s">
        <v>3353</v>
      </c>
      <c r="P1099" s="10" t="n">
        <f aca="false">IF($H1099="숙박",0,IF($H1099=MID(P$1,3,20),IF($I1099="",1,0.6),IF($I1099=MID(P$1,3,20),0.4,0)))</f>
        <v>0</v>
      </c>
      <c r="Q1099" s="10" t="n">
        <f aca="false">IF($H1099="숙박",0,IF($H1099=MID(Q$1,3,20),IF($I1099="",1,0.6),IF($I1099=MID(Q$1,3,20),0.4,0)))</f>
        <v>1</v>
      </c>
      <c r="R1099" s="10" t="n">
        <f aca="false">IF($H1099="숙박",0,IF($H1099=MID(R$1,3,20),IF($I1099="",1,0.6),IF($I1099=MID(R$1,3,20),0.4,0)))</f>
        <v>0</v>
      </c>
      <c r="S1099" s="10" t="n">
        <f aca="false">IF($H1099="숙박",0,IF($H1099=MID(S$1,3,20),IF($I1099="",1,0.6),IF($I1099=MID(S$1,3,20),0.4,0)))</f>
        <v>0</v>
      </c>
      <c r="T1099" s="10" t="n">
        <f aca="false">IF($H1099="숙박",0,IF($H1099=MID(T$1,3,20),IF($I1099="",1,0.6),IF($I1099=MID(T$1,3,20),0.4,0)))</f>
        <v>0</v>
      </c>
      <c r="U1099" s="10" t="n">
        <f aca="false">IF($H1099="숙박",0,IF(ISNUMBER(SEARCH("야경",$J1099)),1,0))</f>
        <v>1</v>
      </c>
      <c r="V1099" s="10" t="n">
        <f aca="false">IF($H1099="숙박",0,1)</f>
        <v>1</v>
      </c>
    </row>
    <row r="1100" customFormat="false" ht="15" hidden="false" customHeight="false" outlineLevel="0" collapsed="false">
      <c r="A1100" s="8" t="n">
        <v>1099</v>
      </c>
      <c r="B1100" s="8" t="s">
        <v>45</v>
      </c>
      <c r="C1100" s="8" t="s">
        <v>1448</v>
      </c>
      <c r="D1100" s="8" t="s">
        <v>3354</v>
      </c>
      <c r="E1100" s="7" t="s">
        <v>3355</v>
      </c>
      <c r="F1100" s="8"/>
      <c r="G1100" s="8" t="s">
        <v>184</v>
      </c>
      <c r="H1100" s="9" t="s">
        <v>184</v>
      </c>
      <c r="I1100" s="9" t="s">
        <v>190</v>
      </c>
      <c r="J1100" s="9"/>
      <c r="K1100" s="9" t="s">
        <v>52</v>
      </c>
      <c r="L1100" s="8"/>
      <c r="M1100" s="8"/>
      <c r="N1100" s="8" t="s">
        <v>483</v>
      </c>
      <c r="O1100" s="8" t="s">
        <v>3356</v>
      </c>
      <c r="P1100" s="10" t="n">
        <f aca="false">IF($H1100="숙박",0,IF($H1100=MID(P$1,3,20),IF($I1100="",1,0.6),IF($I1100=MID(P$1,3,20),0.4,0)))</f>
        <v>0.4</v>
      </c>
      <c r="Q1100" s="10" t="n">
        <f aca="false">IF($H1100="숙박",0,IF($H1100=MID(Q$1,3,20),IF($I1100="",1,0.6),IF($I1100=MID(Q$1,3,20),0.4,0)))</f>
        <v>0</v>
      </c>
      <c r="R1100" s="10" t="n">
        <f aca="false">IF($H1100="숙박",0,IF($H1100=MID(R$1,3,20),IF($I1100="",1,0.6),IF($I1100=MID(R$1,3,20),0.4,0)))</f>
        <v>0.6</v>
      </c>
      <c r="S1100" s="10" t="n">
        <f aca="false">IF($H1100="숙박",0,IF($H1100=MID(S$1,3,20),IF($I1100="",1,0.6),IF($I1100=MID(S$1,3,20),0.4,0)))</f>
        <v>0</v>
      </c>
      <c r="T1100" s="10" t="n">
        <f aca="false">IF($H1100="숙박",0,IF($H1100=MID(T$1,3,20),IF($I1100="",1,0.6),IF($I1100=MID(T$1,3,20),0.4,0)))</f>
        <v>0</v>
      </c>
      <c r="U1100" s="10" t="n">
        <f aca="false">IF($H1100="숙박",0,IF(ISNUMBER(SEARCH("야경",$J1100)),1,0))</f>
        <v>0</v>
      </c>
      <c r="V1100" s="10" t="n">
        <f aca="false">IF($H1100="숙박",0,1)</f>
        <v>1</v>
      </c>
    </row>
    <row r="1101" customFormat="false" ht="15" hidden="false" customHeight="false" outlineLevel="0" collapsed="false">
      <c r="A1101" s="8" t="n">
        <v>1100</v>
      </c>
      <c r="B1101" s="8" t="s">
        <v>45</v>
      </c>
      <c r="C1101" s="8" t="s">
        <v>1448</v>
      </c>
      <c r="D1101" s="8" t="s">
        <v>3357</v>
      </c>
      <c r="E1101" s="7" t="s">
        <v>3358</v>
      </c>
      <c r="F1101" s="8"/>
      <c r="G1101" s="8" t="s">
        <v>49</v>
      </c>
      <c r="H1101" s="9" t="s">
        <v>49</v>
      </c>
      <c r="I1101" s="9"/>
      <c r="J1101" s="9"/>
      <c r="K1101" s="9" t="s">
        <v>52</v>
      </c>
      <c r="L1101" s="8"/>
      <c r="M1101" s="8"/>
      <c r="N1101" s="8"/>
      <c r="O1101" s="8" t="s">
        <v>3359</v>
      </c>
      <c r="P1101" s="10" t="n">
        <f aca="false">IF($H1101="숙박",0,IF($H1101=MID(P$1,3,20),IF($I1101="",1,0.6),IF($I1101=MID(P$1,3,20),0.4,0)))</f>
        <v>0</v>
      </c>
      <c r="Q1101" s="10" t="n">
        <f aca="false">IF($H1101="숙박",0,IF($H1101=MID(Q$1,3,20),IF($I1101="",1,0.6),IF($I1101=MID(Q$1,3,20),0.4,0)))</f>
        <v>1</v>
      </c>
      <c r="R1101" s="10" t="n">
        <f aca="false">IF($H1101="숙박",0,IF($H1101=MID(R$1,3,20),IF($I1101="",1,0.6),IF($I1101=MID(R$1,3,20),0.4,0)))</f>
        <v>0</v>
      </c>
      <c r="S1101" s="10" t="n">
        <f aca="false">IF($H1101="숙박",0,IF($H1101=MID(S$1,3,20),IF($I1101="",1,0.6),IF($I1101=MID(S$1,3,20),0.4,0)))</f>
        <v>0</v>
      </c>
      <c r="T1101" s="10" t="n">
        <f aca="false">IF($H1101="숙박",0,IF($H1101=MID(T$1,3,20),IF($I1101="",1,0.6),IF($I1101=MID(T$1,3,20),0.4,0)))</f>
        <v>0</v>
      </c>
      <c r="U1101" s="10" t="n">
        <f aca="false">IF($H1101="숙박",0,IF(ISNUMBER(SEARCH("야경",$J1101)),1,0))</f>
        <v>0</v>
      </c>
      <c r="V1101" s="10" t="n">
        <f aca="false">IF($H1101="숙박",0,1)</f>
        <v>1</v>
      </c>
    </row>
    <row r="1102" customFormat="false" ht="15" hidden="false" customHeight="false" outlineLevel="0" collapsed="false">
      <c r="A1102" s="8" t="n">
        <v>1101</v>
      </c>
      <c r="B1102" s="8" t="s">
        <v>45</v>
      </c>
      <c r="C1102" s="8" t="s">
        <v>1448</v>
      </c>
      <c r="D1102" s="8" t="s">
        <v>3360</v>
      </c>
      <c r="E1102" s="7" t="s">
        <v>3361</v>
      </c>
      <c r="F1102" s="8"/>
      <c r="G1102" s="8" t="s">
        <v>184</v>
      </c>
      <c r="H1102" s="9" t="s">
        <v>184</v>
      </c>
      <c r="I1102" s="9" t="s">
        <v>49</v>
      </c>
      <c r="J1102" s="9"/>
      <c r="K1102" s="9" t="s">
        <v>52</v>
      </c>
      <c r="L1102" s="8"/>
      <c r="M1102" s="8"/>
      <c r="N1102" s="8" t="s">
        <v>483</v>
      </c>
      <c r="O1102" s="8" t="s">
        <v>3362</v>
      </c>
      <c r="P1102" s="10" t="n">
        <f aca="false">IF($H1102="숙박",0,IF($H1102=MID(P$1,3,20),IF($I1102="",1,0.6),IF($I1102=MID(P$1,3,20),0.4,0)))</f>
        <v>0</v>
      </c>
      <c r="Q1102" s="10" t="n">
        <f aca="false">IF($H1102="숙박",0,IF($H1102=MID(Q$1,3,20),IF($I1102="",1,0.6),IF($I1102=MID(Q$1,3,20),0.4,0)))</f>
        <v>0.4</v>
      </c>
      <c r="R1102" s="10" t="n">
        <f aca="false">IF($H1102="숙박",0,IF($H1102=MID(R$1,3,20),IF($I1102="",1,0.6),IF($I1102=MID(R$1,3,20),0.4,0)))</f>
        <v>0.6</v>
      </c>
      <c r="S1102" s="10" t="n">
        <f aca="false">IF($H1102="숙박",0,IF($H1102=MID(S$1,3,20),IF($I1102="",1,0.6),IF($I1102=MID(S$1,3,20),0.4,0)))</f>
        <v>0</v>
      </c>
      <c r="T1102" s="10" t="n">
        <f aca="false">IF($H1102="숙박",0,IF($H1102=MID(T$1,3,20),IF($I1102="",1,0.6),IF($I1102=MID(T$1,3,20),0.4,0)))</f>
        <v>0</v>
      </c>
      <c r="U1102" s="10" t="n">
        <f aca="false">IF($H1102="숙박",0,IF(ISNUMBER(SEARCH("야경",$J1102)),1,0))</f>
        <v>0</v>
      </c>
      <c r="V1102" s="10" t="n">
        <f aca="false">IF($H1102="숙박",0,1)</f>
        <v>1</v>
      </c>
    </row>
    <row r="1103" customFormat="false" ht="15" hidden="false" customHeight="false" outlineLevel="0" collapsed="false">
      <c r="A1103" s="8" t="n">
        <v>1102</v>
      </c>
      <c r="B1103" s="8" t="s">
        <v>45</v>
      </c>
      <c r="C1103" s="8" t="s">
        <v>1448</v>
      </c>
      <c r="D1103" s="8" t="s">
        <v>3363</v>
      </c>
      <c r="E1103" s="7" t="s">
        <v>3364</v>
      </c>
      <c r="F1103" s="8"/>
      <c r="G1103" s="8" t="s">
        <v>190</v>
      </c>
      <c r="H1103" s="9" t="s">
        <v>190</v>
      </c>
      <c r="I1103" s="9"/>
      <c r="J1103" s="9"/>
      <c r="K1103" s="9" t="s">
        <v>191</v>
      </c>
      <c r="L1103" s="8"/>
      <c r="M1103" s="8"/>
      <c r="N1103" s="8"/>
      <c r="O1103" s="8" t="s">
        <v>3365</v>
      </c>
      <c r="P1103" s="10" t="n">
        <f aca="false">IF($H1103="숙박",0,IF($H1103=MID(P$1,3,20),IF($I1103="",1,0.6),IF($I1103=MID(P$1,3,20),0.4,0)))</f>
        <v>1</v>
      </c>
      <c r="Q1103" s="10" t="n">
        <f aca="false">IF($H1103="숙박",0,IF($H1103=MID(Q$1,3,20),IF($I1103="",1,0.6),IF($I1103=MID(Q$1,3,20),0.4,0)))</f>
        <v>0</v>
      </c>
      <c r="R1103" s="10" t="n">
        <f aca="false">IF($H1103="숙박",0,IF($H1103=MID(R$1,3,20),IF($I1103="",1,0.6),IF($I1103=MID(R$1,3,20),0.4,0)))</f>
        <v>0</v>
      </c>
      <c r="S1103" s="10" t="n">
        <f aca="false">IF($H1103="숙박",0,IF($H1103=MID(S$1,3,20),IF($I1103="",1,0.6),IF($I1103=MID(S$1,3,20),0.4,0)))</f>
        <v>0</v>
      </c>
      <c r="T1103" s="10" t="n">
        <f aca="false">IF($H1103="숙박",0,IF($H1103=MID(T$1,3,20),IF($I1103="",1,0.6),IF($I1103=MID(T$1,3,20),0.4,0)))</f>
        <v>0</v>
      </c>
      <c r="U1103" s="10" t="n">
        <f aca="false">IF($H1103="숙박",0,IF(ISNUMBER(SEARCH("야경",$J1103)),1,0))</f>
        <v>0</v>
      </c>
      <c r="V1103" s="10" t="n">
        <f aca="false">IF($H1103="숙박",0,1)</f>
        <v>1</v>
      </c>
    </row>
    <row r="1104" customFormat="false" ht="15" hidden="false" customHeight="false" outlineLevel="0" collapsed="false">
      <c r="A1104" s="8" t="n">
        <v>1103</v>
      </c>
      <c r="B1104" s="8" t="s">
        <v>45</v>
      </c>
      <c r="C1104" s="8"/>
      <c r="D1104" s="8" t="s">
        <v>3366</v>
      </c>
      <c r="E1104" s="7" t="s">
        <v>3367</v>
      </c>
      <c r="F1104" s="8"/>
      <c r="G1104" s="8"/>
      <c r="H1104" s="9" t="s">
        <v>594</v>
      </c>
      <c r="I1104" s="9"/>
      <c r="J1104" s="9"/>
      <c r="K1104" s="9"/>
      <c r="L1104" s="8"/>
      <c r="M1104" s="8"/>
      <c r="N1104" s="8" t="s">
        <v>595</v>
      </c>
      <c r="O1104" s="8"/>
      <c r="P1104" s="10" t="n">
        <f aca="false">IF($H1104="숙박",0,IF($H1104=MID(P$1,3,20),IF($I1104="",1,0.6),IF($I1104=MID(P$1,3,20),0.4,0)))</f>
        <v>0</v>
      </c>
      <c r="Q1104" s="10" t="n">
        <f aca="false">IF($H1104="숙박",0,IF($H1104=MID(Q$1,3,20),IF($I1104="",1,0.6),IF($I1104=MID(Q$1,3,20),0.4,0)))</f>
        <v>0</v>
      </c>
      <c r="R1104" s="10" t="n">
        <f aca="false">IF($H1104="숙박",0,IF($H1104=MID(R$1,3,20),IF($I1104="",1,0.6),IF($I1104=MID(R$1,3,20),0.4,0)))</f>
        <v>0</v>
      </c>
      <c r="S1104" s="10" t="n">
        <f aca="false">IF($H1104="숙박",0,IF($H1104=MID(S$1,3,20),IF($I1104="",1,0.6),IF($I1104=MID(S$1,3,20),0.4,0)))</f>
        <v>0</v>
      </c>
      <c r="T1104" s="10" t="n">
        <f aca="false">IF($H1104="숙박",0,IF($H1104=MID(T$1,3,20),IF($I1104="",1,0.6),IF($I1104=MID(T$1,3,20),0.4,0)))</f>
        <v>0</v>
      </c>
      <c r="U1104" s="10" t="n">
        <f aca="false">IF($H1104="숙박",0,IF(ISNUMBER(SEARCH("야경",$J1104)),1,0))</f>
        <v>0</v>
      </c>
      <c r="V1104" s="10" t="n">
        <f aca="false">IF($H1104="숙박",0,1)</f>
        <v>0</v>
      </c>
    </row>
    <row r="1105" customFormat="false" ht="15" hidden="false" customHeight="false" outlineLevel="0" collapsed="false">
      <c r="A1105" s="8" t="n">
        <v>1104</v>
      </c>
      <c r="B1105" s="8" t="s">
        <v>45</v>
      </c>
      <c r="C1105" s="8"/>
      <c r="D1105" s="8" t="s">
        <v>3368</v>
      </c>
      <c r="E1105" s="7" t="s">
        <v>3369</v>
      </c>
      <c r="F1105" s="8"/>
      <c r="G1105" s="8"/>
      <c r="H1105" s="9" t="s">
        <v>594</v>
      </c>
      <c r="I1105" s="9"/>
      <c r="J1105" s="9"/>
      <c r="K1105" s="9"/>
      <c r="L1105" s="8"/>
      <c r="M1105" s="8"/>
      <c r="N1105" s="8" t="s">
        <v>595</v>
      </c>
      <c r="O1105" s="8"/>
      <c r="P1105" s="10" t="n">
        <f aca="false">IF($H1105="숙박",0,IF($H1105=MID(P$1,3,20),IF($I1105="",1,0.6),IF($I1105=MID(P$1,3,20),0.4,0)))</f>
        <v>0</v>
      </c>
      <c r="Q1105" s="10" t="n">
        <f aca="false">IF($H1105="숙박",0,IF($H1105=MID(Q$1,3,20),IF($I1105="",1,0.6),IF($I1105=MID(Q$1,3,20),0.4,0)))</f>
        <v>0</v>
      </c>
      <c r="R1105" s="10" t="n">
        <f aca="false">IF($H1105="숙박",0,IF($H1105=MID(R$1,3,20),IF($I1105="",1,0.6),IF($I1105=MID(R$1,3,20),0.4,0)))</f>
        <v>0</v>
      </c>
      <c r="S1105" s="10" t="n">
        <f aca="false">IF($H1105="숙박",0,IF($H1105=MID(S$1,3,20),IF($I1105="",1,0.6),IF($I1105=MID(S$1,3,20),0.4,0)))</f>
        <v>0</v>
      </c>
      <c r="T1105" s="10" t="n">
        <f aca="false">IF($H1105="숙박",0,IF($H1105=MID(T$1,3,20),IF($I1105="",1,0.6),IF($I1105=MID(T$1,3,20),0.4,0)))</f>
        <v>0</v>
      </c>
      <c r="U1105" s="10" t="n">
        <f aca="false">IF($H1105="숙박",0,IF(ISNUMBER(SEARCH("야경",$J1105)),1,0))</f>
        <v>0</v>
      </c>
      <c r="V1105" s="10" t="n">
        <f aca="false">IF($H1105="숙박",0,1)</f>
        <v>0</v>
      </c>
    </row>
    <row r="1106" customFormat="false" ht="15" hidden="false" customHeight="false" outlineLevel="0" collapsed="false">
      <c r="A1106" s="8" t="n">
        <v>1105</v>
      </c>
      <c r="B1106" s="8" t="s">
        <v>45</v>
      </c>
      <c r="C1106" s="8" t="s">
        <v>1448</v>
      </c>
      <c r="D1106" s="8" t="s">
        <v>3370</v>
      </c>
      <c r="E1106" s="7" t="s">
        <v>3371</v>
      </c>
      <c r="F1106" s="8"/>
      <c r="G1106" s="8" t="s">
        <v>216</v>
      </c>
      <c r="H1106" s="9" t="s">
        <v>216</v>
      </c>
      <c r="I1106" s="9"/>
      <c r="J1106" s="9"/>
      <c r="K1106" s="9" t="s">
        <v>191</v>
      </c>
      <c r="L1106" s="8"/>
      <c r="M1106" s="8"/>
      <c r="N1106" s="8"/>
      <c r="O1106" s="8" t="s">
        <v>3372</v>
      </c>
      <c r="P1106" s="10" t="n">
        <f aca="false">IF($H1106="숙박",0,IF($H1106=MID(P$1,3,20),IF($I1106="",1,0.6),IF($I1106=MID(P$1,3,20),0.4,0)))</f>
        <v>0</v>
      </c>
      <c r="Q1106" s="10" t="n">
        <f aca="false">IF($H1106="숙박",0,IF($H1106=MID(Q$1,3,20),IF($I1106="",1,0.6),IF($I1106=MID(Q$1,3,20),0.4,0)))</f>
        <v>0</v>
      </c>
      <c r="R1106" s="10" t="n">
        <f aca="false">IF($H1106="숙박",0,IF($H1106=MID(R$1,3,20),IF($I1106="",1,0.6),IF($I1106=MID(R$1,3,20),0.4,0)))</f>
        <v>0</v>
      </c>
      <c r="S1106" s="10" t="n">
        <f aca="false">IF($H1106="숙박",0,IF($H1106=MID(S$1,3,20),IF($I1106="",1,0.6),IF($I1106=MID(S$1,3,20),0.4,0)))</f>
        <v>1</v>
      </c>
      <c r="T1106" s="10" t="n">
        <f aca="false">IF($H1106="숙박",0,IF($H1106=MID(T$1,3,20),IF($I1106="",1,0.6),IF($I1106=MID(T$1,3,20),0.4,0)))</f>
        <v>0</v>
      </c>
      <c r="U1106" s="10" t="n">
        <f aca="false">IF($H1106="숙박",0,IF(ISNUMBER(SEARCH("야경",$J1106)),1,0))</f>
        <v>0</v>
      </c>
      <c r="V1106" s="10" t="n">
        <f aca="false">IF($H1106="숙박",0,1)</f>
        <v>1</v>
      </c>
    </row>
    <row r="1107" customFormat="false" ht="15" hidden="false" customHeight="false" outlineLevel="0" collapsed="false">
      <c r="A1107" s="8" t="n">
        <v>1106</v>
      </c>
      <c r="B1107" s="8" t="s">
        <v>45</v>
      </c>
      <c r="C1107" s="8" t="s">
        <v>369</v>
      </c>
      <c r="D1107" s="8" t="s">
        <v>3373</v>
      </c>
      <c r="E1107" s="7" t="s">
        <v>3374</v>
      </c>
      <c r="F1107" s="8"/>
      <c r="G1107" s="8" t="s">
        <v>50</v>
      </c>
      <c r="H1107" s="9" t="s">
        <v>50</v>
      </c>
      <c r="I1107" s="9"/>
      <c r="J1107" s="9" t="s">
        <v>168</v>
      </c>
      <c r="K1107" s="9" t="s">
        <v>52</v>
      </c>
      <c r="L1107" s="8"/>
      <c r="M1107" s="8"/>
      <c r="N1107" s="8"/>
      <c r="O1107" s="8" t="s">
        <v>3375</v>
      </c>
      <c r="P1107" s="10" t="n">
        <f aca="false">IF($H1107="숙박",0,IF($H1107=MID(P$1,3,20),IF($I1107="",1,0.6),IF($I1107=MID(P$1,3,20),0.4,0)))</f>
        <v>0</v>
      </c>
      <c r="Q1107" s="10" t="n">
        <f aca="false">IF($H1107="숙박",0,IF($H1107=MID(Q$1,3,20),IF($I1107="",1,0.6),IF($I1107=MID(Q$1,3,20),0.4,0)))</f>
        <v>0</v>
      </c>
      <c r="R1107" s="10" t="n">
        <f aca="false">IF($H1107="숙박",0,IF($H1107=MID(R$1,3,20),IF($I1107="",1,0.6),IF($I1107=MID(R$1,3,20),0.4,0)))</f>
        <v>0</v>
      </c>
      <c r="S1107" s="10" t="n">
        <f aca="false">IF($H1107="숙박",0,IF($H1107=MID(S$1,3,20),IF($I1107="",1,0.6),IF($I1107=MID(S$1,3,20),0.4,0)))</f>
        <v>0</v>
      </c>
      <c r="T1107" s="10" t="n">
        <f aca="false">IF($H1107="숙박",0,IF($H1107=MID(T$1,3,20),IF($I1107="",1,0.6),IF($I1107=MID(T$1,3,20),0.4,0)))</f>
        <v>1</v>
      </c>
      <c r="U1107" s="10" t="n">
        <f aca="false">IF($H1107="숙박",0,IF(ISNUMBER(SEARCH("야경",$J1107)),1,0))</f>
        <v>0</v>
      </c>
      <c r="V1107" s="10" t="n">
        <f aca="false">IF($H1107="숙박",0,1)</f>
        <v>1</v>
      </c>
    </row>
    <row r="1108" customFormat="false" ht="15" hidden="false" customHeight="false" outlineLevel="0" collapsed="false">
      <c r="A1108" s="8" t="n">
        <v>1107</v>
      </c>
      <c r="B1108" s="8" t="s">
        <v>45</v>
      </c>
      <c r="C1108" s="8"/>
      <c r="D1108" s="8" t="s">
        <v>3376</v>
      </c>
      <c r="E1108" s="7" t="s">
        <v>3377</v>
      </c>
      <c r="F1108" s="8"/>
      <c r="G1108" s="8"/>
      <c r="H1108" s="9" t="s">
        <v>594</v>
      </c>
      <c r="I1108" s="9"/>
      <c r="J1108" s="9"/>
      <c r="K1108" s="9"/>
      <c r="L1108" s="8"/>
      <c r="M1108" s="8"/>
      <c r="N1108" s="8" t="s">
        <v>595</v>
      </c>
      <c r="O1108" s="8"/>
      <c r="P1108" s="10" t="n">
        <f aca="false">IF($H1108="숙박",0,IF($H1108=MID(P$1,3,20),IF($I1108="",1,0.6),IF($I1108=MID(P$1,3,20),0.4,0)))</f>
        <v>0</v>
      </c>
      <c r="Q1108" s="10" t="n">
        <f aca="false">IF($H1108="숙박",0,IF($H1108=MID(Q$1,3,20),IF($I1108="",1,0.6),IF($I1108=MID(Q$1,3,20),0.4,0)))</f>
        <v>0</v>
      </c>
      <c r="R1108" s="10" t="n">
        <f aca="false">IF($H1108="숙박",0,IF($H1108=MID(R$1,3,20),IF($I1108="",1,0.6),IF($I1108=MID(R$1,3,20),0.4,0)))</f>
        <v>0</v>
      </c>
      <c r="S1108" s="10" t="n">
        <f aca="false">IF($H1108="숙박",0,IF($H1108=MID(S$1,3,20),IF($I1108="",1,0.6),IF($I1108=MID(S$1,3,20),0.4,0)))</f>
        <v>0</v>
      </c>
      <c r="T1108" s="10" t="n">
        <f aca="false">IF($H1108="숙박",0,IF($H1108=MID(T$1,3,20),IF($I1108="",1,0.6),IF($I1108=MID(T$1,3,20),0.4,0)))</f>
        <v>0</v>
      </c>
      <c r="U1108" s="10" t="n">
        <f aca="false">IF($H1108="숙박",0,IF(ISNUMBER(SEARCH("야경",$J1108)),1,0))</f>
        <v>0</v>
      </c>
      <c r="V1108" s="10" t="n">
        <f aca="false">IF($H1108="숙박",0,1)</f>
        <v>0</v>
      </c>
    </row>
    <row r="1109" customFormat="false" ht="15" hidden="false" customHeight="false" outlineLevel="0" collapsed="false">
      <c r="A1109" s="8" t="n">
        <v>1108</v>
      </c>
      <c r="B1109" s="8" t="s">
        <v>45</v>
      </c>
      <c r="C1109" s="8" t="s">
        <v>342</v>
      </c>
      <c r="D1109" s="8" t="s">
        <v>3378</v>
      </c>
      <c r="E1109" s="7" t="s">
        <v>3379</v>
      </c>
      <c r="F1109" s="8"/>
      <c r="G1109" s="8" t="s">
        <v>49</v>
      </c>
      <c r="H1109" s="9" t="s">
        <v>49</v>
      </c>
      <c r="I1109" s="9"/>
      <c r="J1109" s="9"/>
      <c r="K1109" s="9" t="s">
        <v>52</v>
      </c>
      <c r="L1109" s="8"/>
      <c r="M1109" s="8"/>
      <c r="N1109" s="8"/>
      <c r="O1109" s="8" t="s">
        <v>3380</v>
      </c>
      <c r="P1109" s="10" t="n">
        <f aca="false">IF($H1109="숙박",0,IF($H1109=MID(P$1,3,20),IF($I1109="",1,0.6),IF($I1109=MID(P$1,3,20),0.4,0)))</f>
        <v>0</v>
      </c>
      <c r="Q1109" s="10" t="n">
        <f aca="false">IF($H1109="숙박",0,IF($H1109=MID(Q$1,3,20),IF($I1109="",1,0.6),IF($I1109=MID(Q$1,3,20),0.4,0)))</f>
        <v>1</v>
      </c>
      <c r="R1109" s="10" t="n">
        <f aca="false">IF($H1109="숙박",0,IF($H1109=MID(R$1,3,20),IF($I1109="",1,0.6),IF($I1109=MID(R$1,3,20),0.4,0)))</f>
        <v>0</v>
      </c>
      <c r="S1109" s="10" t="n">
        <f aca="false">IF($H1109="숙박",0,IF($H1109=MID(S$1,3,20),IF($I1109="",1,0.6),IF($I1109=MID(S$1,3,20),0.4,0)))</f>
        <v>0</v>
      </c>
      <c r="T1109" s="10" t="n">
        <f aca="false">IF($H1109="숙박",0,IF($H1109=MID(T$1,3,20),IF($I1109="",1,0.6),IF($I1109=MID(T$1,3,20),0.4,0)))</f>
        <v>0</v>
      </c>
      <c r="U1109" s="10" t="n">
        <f aca="false">IF($H1109="숙박",0,IF(ISNUMBER(SEARCH("야경",$J1109)),1,0))</f>
        <v>0</v>
      </c>
      <c r="V1109" s="10" t="n">
        <f aca="false">IF($H1109="숙박",0,1)</f>
        <v>1</v>
      </c>
    </row>
    <row r="1110" customFormat="false" ht="15" hidden="false" customHeight="false" outlineLevel="0" collapsed="false">
      <c r="A1110" s="8" t="n">
        <v>1109</v>
      </c>
      <c r="B1110" s="8" t="s">
        <v>45</v>
      </c>
      <c r="C1110" s="8" t="s">
        <v>342</v>
      </c>
      <c r="D1110" s="8" t="s">
        <v>3381</v>
      </c>
      <c r="E1110" s="7" t="s">
        <v>3382</v>
      </c>
      <c r="F1110" s="8"/>
      <c r="G1110" s="8" t="s">
        <v>50</v>
      </c>
      <c r="H1110" s="9" t="s">
        <v>50</v>
      </c>
      <c r="I1110" s="9"/>
      <c r="J1110" s="9" t="s">
        <v>168</v>
      </c>
      <c r="K1110" s="9" t="s">
        <v>52</v>
      </c>
      <c r="L1110" s="8"/>
      <c r="M1110" s="8"/>
      <c r="N1110" s="8"/>
      <c r="O1110" s="8" t="s">
        <v>3383</v>
      </c>
      <c r="P1110" s="10" t="n">
        <f aca="false">IF($H1110="숙박",0,IF($H1110=MID(P$1,3,20),IF($I1110="",1,0.6),IF($I1110=MID(P$1,3,20),0.4,0)))</f>
        <v>0</v>
      </c>
      <c r="Q1110" s="10" t="n">
        <f aca="false">IF($H1110="숙박",0,IF($H1110=MID(Q$1,3,20),IF($I1110="",1,0.6),IF($I1110=MID(Q$1,3,20),0.4,0)))</f>
        <v>0</v>
      </c>
      <c r="R1110" s="10" t="n">
        <f aca="false">IF($H1110="숙박",0,IF($H1110=MID(R$1,3,20),IF($I1110="",1,0.6),IF($I1110=MID(R$1,3,20),0.4,0)))</f>
        <v>0</v>
      </c>
      <c r="S1110" s="10" t="n">
        <f aca="false">IF($H1110="숙박",0,IF($H1110=MID(S$1,3,20),IF($I1110="",1,0.6),IF($I1110=MID(S$1,3,20),0.4,0)))</f>
        <v>0</v>
      </c>
      <c r="T1110" s="10" t="n">
        <f aca="false">IF($H1110="숙박",0,IF($H1110=MID(T$1,3,20),IF($I1110="",1,0.6),IF($I1110=MID(T$1,3,20),0.4,0)))</f>
        <v>1</v>
      </c>
      <c r="U1110" s="10" t="n">
        <f aca="false">IF($H1110="숙박",0,IF(ISNUMBER(SEARCH("야경",$J1110)),1,0))</f>
        <v>0</v>
      </c>
      <c r="V1110" s="10" t="n">
        <f aca="false">IF($H1110="숙박",0,1)</f>
        <v>1</v>
      </c>
    </row>
    <row r="1111" customFormat="false" ht="15" hidden="false" customHeight="false" outlineLevel="0" collapsed="false">
      <c r="A1111" s="8" t="n">
        <v>1110</v>
      </c>
      <c r="B1111" s="8" t="s">
        <v>45</v>
      </c>
      <c r="C1111" s="8" t="s">
        <v>342</v>
      </c>
      <c r="D1111" s="8" t="s">
        <v>3384</v>
      </c>
      <c r="E1111" s="7" t="s">
        <v>3385</v>
      </c>
      <c r="F1111" s="8"/>
      <c r="G1111" s="8" t="s">
        <v>50</v>
      </c>
      <c r="H1111" s="9" t="s">
        <v>50</v>
      </c>
      <c r="I1111" s="9" t="s">
        <v>49</v>
      </c>
      <c r="J1111" s="9" t="s">
        <v>340</v>
      </c>
      <c r="K1111" s="9" t="s">
        <v>52</v>
      </c>
      <c r="L1111" s="8"/>
      <c r="M1111" s="8"/>
      <c r="N1111" s="8" t="s">
        <v>483</v>
      </c>
      <c r="O1111" s="8" t="s">
        <v>3386</v>
      </c>
      <c r="P1111" s="10" t="n">
        <f aca="false">IF($H1111="숙박",0,IF($H1111=MID(P$1,3,20),IF($I1111="",1,0.6),IF($I1111=MID(P$1,3,20),0.4,0)))</f>
        <v>0</v>
      </c>
      <c r="Q1111" s="10" t="n">
        <f aca="false">IF($H1111="숙박",0,IF($H1111=MID(Q$1,3,20),IF($I1111="",1,0.6),IF($I1111=MID(Q$1,3,20),0.4,0)))</f>
        <v>0.4</v>
      </c>
      <c r="R1111" s="10" t="n">
        <f aca="false">IF($H1111="숙박",0,IF($H1111=MID(R$1,3,20),IF($I1111="",1,0.6),IF($I1111=MID(R$1,3,20),0.4,0)))</f>
        <v>0</v>
      </c>
      <c r="S1111" s="10" t="n">
        <f aca="false">IF($H1111="숙박",0,IF($H1111=MID(S$1,3,20),IF($I1111="",1,0.6),IF($I1111=MID(S$1,3,20),0.4,0)))</f>
        <v>0</v>
      </c>
      <c r="T1111" s="10" t="n">
        <f aca="false">IF($H1111="숙박",0,IF($H1111=MID(T$1,3,20),IF($I1111="",1,0.6),IF($I1111=MID(T$1,3,20),0.4,0)))</f>
        <v>0.6</v>
      </c>
      <c r="U1111" s="10" t="n">
        <f aca="false">IF($H1111="숙박",0,IF(ISNUMBER(SEARCH("야경",$J1111)),1,0))</f>
        <v>1</v>
      </c>
      <c r="V1111" s="10" t="n">
        <f aca="false">IF($H1111="숙박",0,1)</f>
        <v>1</v>
      </c>
    </row>
    <row r="1112" customFormat="false" ht="15" hidden="false" customHeight="false" outlineLevel="0" collapsed="false">
      <c r="A1112" s="8" t="n">
        <v>1111</v>
      </c>
      <c r="B1112" s="8" t="s">
        <v>45</v>
      </c>
      <c r="C1112" s="8"/>
      <c r="D1112" s="8" t="s">
        <v>3387</v>
      </c>
      <c r="E1112" s="7" t="s">
        <v>3388</v>
      </c>
      <c r="F1112" s="8"/>
      <c r="G1112" s="8"/>
      <c r="H1112" s="9" t="s">
        <v>594</v>
      </c>
      <c r="I1112" s="9"/>
      <c r="J1112" s="9"/>
      <c r="K1112" s="9"/>
      <c r="L1112" s="8"/>
      <c r="M1112" s="8"/>
      <c r="N1112" s="8" t="s">
        <v>595</v>
      </c>
      <c r="O1112" s="8"/>
      <c r="P1112" s="10" t="n">
        <f aca="false">IF($H1112="숙박",0,IF($H1112=MID(P$1,3,20),IF($I1112="",1,0.6),IF($I1112=MID(P$1,3,20),0.4,0)))</f>
        <v>0</v>
      </c>
      <c r="Q1112" s="10" t="n">
        <f aca="false">IF($H1112="숙박",0,IF($H1112=MID(Q$1,3,20),IF($I1112="",1,0.6),IF($I1112=MID(Q$1,3,20),0.4,0)))</f>
        <v>0</v>
      </c>
      <c r="R1112" s="10" t="n">
        <f aca="false">IF($H1112="숙박",0,IF($H1112=MID(R$1,3,20),IF($I1112="",1,0.6),IF($I1112=MID(R$1,3,20),0.4,0)))</f>
        <v>0</v>
      </c>
      <c r="S1112" s="10" t="n">
        <f aca="false">IF($H1112="숙박",0,IF($H1112=MID(S$1,3,20),IF($I1112="",1,0.6),IF($I1112=MID(S$1,3,20),0.4,0)))</f>
        <v>0</v>
      </c>
      <c r="T1112" s="10" t="n">
        <f aca="false">IF($H1112="숙박",0,IF($H1112=MID(T$1,3,20),IF($I1112="",1,0.6),IF($I1112=MID(T$1,3,20),0.4,0)))</f>
        <v>0</v>
      </c>
      <c r="U1112" s="10" t="n">
        <f aca="false">IF($H1112="숙박",0,IF(ISNUMBER(SEARCH("야경",$J1112)),1,0))</f>
        <v>0</v>
      </c>
      <c r="V1112" s="10" t="n">
        <f aca="false">IF($H1112="숙박",0,1)</f>
        <v>0</v>
      </c>
    </row>
    <row r="1113" customFormat="false" ht="15" hidden="false" customHeight="false" outlineLevel="0" collapsed="false">
      <c r="A1113" s="8" t="n">
        <v>1112</v>
      </c>
      <c r="B1113" s="8" t="s">
        <v>45</v>
      </c>
      <c r="C1113" s="8" t="s">
        <v>342</v>
      </c>
      <c r="D1113" s="8" t="s">
        <v>3389</v>
      </c>
      <c r="E1113" s="7" t="s">
        <v>3390</v>
      </c>
      <c r="F1113" s="8"/>
      <c r="G1113" s="8" t="s">
        <v>184</v>
      </c>
      <c r="H1113" s="9" t="s">
        <v>184</v>
      </c>
      <c r="I1113" s="9" t="s">
        <v>216</v>
      </c>
      <c r="J1113" s="9"/>
      <c r="K1113" s="9" t="s">
        <v>52</v>
      </c>
      <c r="L1113" s="8"/>
      <c r="M1113" s="8"/>
      <c r="N1113" s="8" t="s">
        <v>483</v>
      </c>
      <c r="O1113" s="8" t="s">
        <v>3391</v>
      </c>
      <c r="P1113" s="10" t="n">
        <f aca="false">IF($H1113="숙박",0,IF($H1113=MID(P$1,3,20),IF($I1113="",1,0.6),IF($I1113=MID(P$1,3,20),0.4,0)))</f>
        <v>0</v>
      </c>
      <c r="Q1113" s="10" t="n">
        <f aca="false">IF($H1113="숙박",0,IF($H1113=MID(Q$1,3,20),IF($I1113="",1,0.6),IF($I1113=MID(Q$1,3,20),0.4,0)))</f>
        <v>0</v>
      </c>
      <c r="R1113" s="10" t="n">
        <f aca="false">IF($H1113="숙박",0,IF($H1113=MID(R$1,3,20),IF($I1113="",1,0.6),IF($I1113=MID(R$1,3,20),0.4,0)))</f>
        <v>0.6</v>
      </c>
      <c r="S1113" s="10" t="n">
        <f aca="false">IF($H1113="숙박",0,IF($H1113=MID(S$1,3,20),IF($I1113="",1,0.6),IF($I1113=MID(S$1,3,20),0.4,0)))</f>
        <v>0.4</v>
      </c>
      <c r="T1113" s="10" t="n">
        <f aca="false">IF($H1113="숙박",0,IF($H1113=MID(T$1,3,20),IF($I1113="",1,0.6),IF($I1113=MID(T$1,3,20),0.4,0)))</f>
        <v>0</v>
      </c>
      <c r="U1113" s="10" t="n">
        <f aca="false">IF($H1113="숙박",0,IF(ISNUMBER(SEARCH("야경",$J1113)),1,0))</f>
        <v>0</v>
      </c>
      <c r="V1113" s="10" t="n">
        <f aca="false">IF($H1113="숙박",0,1)</f>
        <v>1</v>
      </c>
    </row>
    <row r="1114" customFormat="false" ht="15" hidden="false" customHeight="false" outlineLevel="0" collapsed="false">
      <c r="A1114" s="8" t="n">
        <v>1113</v>
      </c>
      <c r="B1114" s="8" t="s">
        <v>45</v>
      </c>
      <c r="C1114" s="8" t="s">
        <v>579</v>
      </c>
      <c r="D1114" s="8" t="s">
        <v>3392</v>
      </c>
      <c r="E1114" s="7" t="s">
        <v>3393</v>
      </c>
      <c r="F1114" s="8"/>
      <c r="G1114" s="8" t="s">
        <v>190</v>
      </c>
      <c r="H1114" s="9" t="s">
        <v>190</v>
      </c>
      <c r="I1114" s="9" t="s">
        <v>184</v>
      </c>
      <c r="J1114" s="9"/>
      <c r="K1114" s="9" t="s">
        <v>191</v>
      </c>
      <c r="L1114" s="8"/>
      <c r="M1114" s="8"/>
      <c r="N1114" s="8" t="s">
        <v>483</v>
      </c>
      <c r="O1114" s="8" t="s">
        <v>3394</v>
      </c>
      <c r="P1114" s="10" t="n">
        <f aca="false">IF($H1114="숙박",0,IF($H1114=MID(P$1,3,20),IF($I1114="",1,0.6),IF($I1114=MID(P$1,3,20),0.4,0)))</f>
        <v>0.6</v>
      </c>
      <c r="Q1114" s="10" t="n">
        <f aca="false">IF($H1114="숙박",0,IF($H1114=MID(Q$1,3,20),IF($I1114="",1,0.6),IF($I1114=MID(Q$1,3,20),0.4,0)))</f>
        <v>0</v>
      </c>
      <c r="R1114" s="10" t="n">
        <f aca="false">IF($H1114="숙박",0,IF($H1114=MID(R$1,3,20),IF($I1114="",1,0.6),IF($I1114=MID(R$1,3,20),0.4,0)))</f>
        <v>0.4</v>
      </c>
      <c r="S1114" s="10" t="n">
        <f aca="false">IF($H1114="숙박",0,IF($H1114=MID(S$1,3,20),IF($I1114="",1,0.6),IF($I1114=MID(S$1,3,20),0.4,0)))</f>
        <v>0</v>
      </c>
      <c r="T1114" s="10" t="n">
        <f aca="false">IF($H1114="숙박",0,IF($H1114=MID(T$1,3,20),IF($I1114="",1,0.6),IF($I1114=MID(T$1,3,20),0.4,0)))</f>
        <v>0</v>
      </c>
      <c r="U1114" s="10" t="n">
        <f aca="false">IF($H1114="숙박",0,IF(ISNUMBER(SEARCH("야경",$J1114)),1,0))</f>
        <v>0</v>
      </c>
      <c r="V1114" s="10" t="n">
        <f aca="false">IF($H1114="숙박",0,1)</f>
        <v>1</v>
      </c>
    </row>
    <row r="1115" customFormat="false" ht="15" hidden="false" customHeight="false" outlineLevel="0" collapsed="false">
      <c r="A1115" s="8" t="n">
        <v>1114</v>
      </c>
      <c r="B1115" s="8" t="s">
        <v>45</v>
      </c>
      <c r="C1115" s="8" t="s">
        <v>1685</v>
      </c>
      <c r="D1115" s="8" t="s">
        <v>3395</v>
      </c>
      <c r="E1115" s="7" t="s">
        <v>3396</v>
      </c>
      <c r="F1115" s="8"/>
      <c r="G1115" s="8" t="s">
        <v>190</v>
      </c>
      <c r="H1115" s="9" t="s">
        <v>190</v>
      </c>
      <c r="I1115" s="9"/>
      <c r="J1115" s="9"/>
      <c r="K1115" s="9" t="s">
        <v>191</v>
      </c>
      <c r="L1115" s="8"/>
      <c r="M1115" s="8"/>
      <c r="N1115" s="8"/>
      <c r="O1115" s="8" t="s">
        <v>3397</v>
      </c>
      <c r="P1115" s="10" t="n">
        <f aca="false">IF($H1115="숙박",0,IF($H1115=MID(P$1,3,20),IF($I1115="",1,0.6),IF($I1115=MID(P$1,3,20),0.4,0)))</f>
        <v>1</v>
      </c>
      <c r="Q1115" s="10" t="n">
        <f aca="false">IF($H1115="숙박",0,IF($H1115=MID(Q$1,3,20),IF($I1115="",1,0.6),IF($I1115=MID(Q$1,3,20),0.4,0)))</f>
        <v>0</v>
      </c>
      <c r="R1115" s="10" t="n">
        <f aca="false">IF($H1115="숙박",0,IF($H1115=MID(R$1,3,20),IF($I1115="",1,0.6),IF($I1115=MID(R$1,3,20),0.4,0)))</f>
        <v>0</v>
      </c>
      <c r="S1115" s="10" t="n">
        <f aca="false">IF($H1115="숙박",0,IF($H1115=MID(S$1,3,20),IF($I1115="",1,0.6),IF($I1115=MID(S$1,3,20),0.4,0)))</f>
        <v>0</v>
      </c>
      <c r="T1115" s="10" t="n">
        <f aca="false">IF($H1115="숙박",0,IF($H1115=MID(T$1,3,20),IF($I1115="",1,0.6),IF($I1115=MID(T$1,3,20),0.4,0)))</f>
        <v>0</v>
      </c>
      <c r="U1115" s="10" t="n">
        <f aca="false">IF($H1115="숙박",0,IF(ISNUMBER(SEARCH("야경",$J1115)),1,0))</f>
        <v>0</v>
      </c>
      <c r="V1115" s="10" t="n">
        <f aca="false">IF($H1115="숙박",0,1)</f>
        <v>1</v>
      </c>
    </row>
    <row r="1116" customFormat="false" ht="15" hidden="false" customHeight="false" outlineLevel="0" collapsed="false">
      <c r="A1116" s="8" t="n">
        <v>1115</v>
      </c>
      <c r="B1116" s="8" t="s">
        <v>45</v>
      </c>
      <c r="C1116" s="8" t="s">
        <v>1539</v>
      </c>
      <c r="D1116" s="8" t="s">
        <v>3398</v>
      </c>
      <c r="E1116" s="7" t="s">
        <v>3399</v>
      </c>
      <c r="F1116" s="8"/>
      <c r="G1116" s="8" t="s">
        <v>50</v>
      </c>
      <c r="H1116" s="9" t="s">
        <v>50</v>
      </c>
      <c r="I1116" s="9"/>
      <c r="J1116" s="9" t="s">
        <v>168</v>
      </c>
      <c r="K1116" s="9" t="s">
        <v>52</v>
      </c>
      <c r="L1116" s="8"/>
      <c r="M1116" s="8"/>
      <c r="N1116" s="8"/>
      <c r="O1116" s="8" t="s">
        <v>3400</v>
      </c>
      <c r="P1116" s="10" t="n">
        <f aca="false">IF($H1116="숙박",0,IF($H1116=MID(P$1,3,20),IF($I1116="",1,0.6),IF($I1116=MID(P$1,3,20),0.4,0)))</f>
        <v>0</v>
      </c>
      <c r="Q1116" s="10" t="n">
        <f aca="false">IF($H1116="숙박",0,IF($H1116=MID(Q$1,3,20),IF($I1116="",1,0.6),IF($I1116=MID(Q$1,3,20),0.4,0)))</f>
        <v>0</v>
      </c>
      <c r="R1116" s="10" t="n">
        <f aca="false">IF($H1116="숙박",0,IF($H1116=MID(R$1,3,20),IF($I1116="",1,0.6),IF($I1116=MID(R$1,3,20),0.4,0)))</f>
        <v>0</v>
      </c>
      <c r="S1116" s="10" t="n">
        <f aca="false">IF($H1116="숙박",0,IF($H1116=MID(S$1,3,20),IF($I1116="",1,0.6),IF($I1116=MID(S$1,3,20),0.4,0)))</f>
        <v>0</v>
      </c>
      <c r="T1116" s="10" t="n">
        <f aca="false">IF($H1116="숙박",0,IF($H1116=MID(T$1,3,20),IF($I1116="",1,0.6),IF($I1116=MID(T$1,3,20),0.4,0)))</f>
        <v>1</v>
      </c>
      <c r="U1116" s="10" t="n">
        <f aca="false">IF($H1116="숙박",0,IF(ISNUMBER(SEARCH("야경",$J1116)),1,0))</f>
        <v>0</v>
      </c>
      <c r="V1116" s="10" t="n">
        <f aca="false">IF($H1116="숙박",0,1)</f>
        <v>1</v>
      </c>
    </row>
    <row r="1117" customFormat="false" ht="15" hidden="false" customHeight="false" outlineLevel="0" collapsed="false">
      <c r="A1117" s="8" t="n">
        <v>1116</v>
      </c>
      <c r="B1117" s="8" t="s">
        <v>45</v>
      </c>
      <c r="C1117" s="8" t="s">
        <v>1895</v>
      </c>
      <c r="D1117" s="8" t="s">
        <v>3401</v>
      </c>
      <c r="E1117" s="7" t="s">
        <v>3402</v>
      </c>
      <c r="F1117" s="8"/>
      <c r="G1117" s="8" t="s">
        <v>49</v>
      </c>
      <c r="H1117" s="9" t="s">
        <v>49</v>
      </c>
      <c r="I1117" s="9"/>
      <c r="J1117" s="9"/>
      <c r="K1117" s="9" t="s">
        <v>52</v>
      </c>
      <c r="L1117" s="8"/>
      <c r="M1117" s="8"/>
      <c r="N1117" s="8"/>
      <c r="O1117" s="8" t="s">
        <v>3403</v>
      </c>
      <c r="P1117" s="10" t="n">
        <f aca="false">IF($H1117="숙박",0,IF($H1117=MID(P$1,3,20),IF($I1117="",1,0.6),IF($I1117=MID(P$1,3,20),0.4,0)))</f>
        <v>0</v>
      </c>
      <c r="Q1117" s="10" t="n">
        <f aca="false">IF($H1117="숙박",0,IF($H1117=MID(Q$1,3,20),IF($I1117="",1,0.6),IF($I1117=MID(Q$1,3,20),0.4,0)))</f>
        <v>1</v>
      </c>
      <c r="R1117" s="10" t="n">
        <f aca="false">IF($H1117="숙박",0,IF($H1117=MID(R$1,3,20),IF($I1117="",1,0.6),IF($I1117=MID(R$1,3,20),0.4,0)))</f>
        <v>0</v>
      </c>
      <c r="S1117" s="10" t="n">
        <f aca="false">IF($H1117="숙박",0,IF($H1117=MID(S$1,3,20),IF($I1117="",1,0.6),IF($I1117=MID(S$1,3,20),0.4,0)))</f>
        <v>0</v>
      </c>
      <c r="T1117" s="10" t="n">
        <f aca="false">IF($H1117="숙박",0,IF($H1117=MID(T$1,3,20),IF($I1117="",1,0.6),IF($I1117=MID(T$1,3,20),0.4,0)))</f>
        <v>0</v>
      </c>
      <c r="U1117" s="10" t="n">
        <f aca="false">IF($H1117="숙박",0,IF(ISNUMBER(SEARCH("야경",$J1117)),1,0))</f>
        <v>0</v>
      </c>
      <c r="V1117" s="10" t="n">
        <f aca="false">IF($H1117="숙박",0,1)</f>
        <v>1</v>
      </c>
    </row>
    <row r="1118" customFormat="false" ht="15" hidden="false" customHeight="false" outlineLevel="0" collapsed="false">
      <c r="A1118" s="8" t="n">
        <v>1117</v>
      </c>
      <c r="B1118" s="8" t="s">
        <v>45</v>
      </c>
      <c r="C1118" s="8" t="s">
        <v>174</v>
      </c>
      <c r="D1118" s="8" t="s">
        <v>3404</v>
      </c>
      <c r="E1118" s="7" t="s">
        <v>3405</v>
      </c>
      <c r="F1118" s="8"/>
      <c r="G1118" s="8" t="s">
        <v>49</v>
      </c>
      <c r="H1118" s="9" t="s">
        <v>49</v>
      </c>
      <c r="I1118" s="9"/>
      <c r="J1118" s="9"/>
      <c r="K1118" s="9" t="s">
        <v>52</v>
      </c>
      <c r="L1118" s="8"/>
      <c r="M1118" s="8"/>
      <c r="N1118" s="8"/>
      <c r="O1118" s="8" t="s">
        <v>3406</v>
      </c>
      <c r="P1118" s="10" t="n">
        <f aca="false">IF($H1118="숙박",0,IF($H1118=MID(P$1,3,20),IF($I1118="",1,0.6),IF($I1118=MID(P$1,3,20),0.4,0)))</f>
        <v>0</v>
      </c>
      <c r="Q1118" s="10" t="n">
        <f aca="false">IF($H1118="숙박",0,IF($H1118=MID(Q$1,3,20),IF($I1118="",1,0.6),IF($I1118=MID(Q$1,3,20),0.4,0)))</f>
        <v>1</v>
      </c>
      <c r="R1118" s="10" t="n">
        <f aca="false">IF($H1118="숙박",0,IF($H1118=MID(R$1,3,20),IF($I1118="",1,0.6),IF($I1118=MID(R$1,3,20),0.4,0)))</f>
        <v>0</v>
      </c>
      <c r="S1118" s="10" t="n">
        <f aca="false">IF($H1118="숙박",0,IF($H1118=MID(S$1,3,20),IF($I1118="",1,0.6),IF($I1118=MID(S$1,3,20),0.4,0)))</f>
        <v>0</v>
      </c>
      <c r="T1118" s="10" t="n">
        <f aca="false">IF($H1118="숙박",0,IF($H1118=MID(T$1,3,20),IF($I1118="",1,0.6),IF($I1118=MID(T$1,3,20),0.4,0)))</f>
        <v>0</v>
      </c>
      <c r="U1118" s="10" t="n">
        <f aca="false">IF($H1118="숙박",0,IF(ISNUMBER(SEARCH("야경",$J1118)),1,0))</f>
        <v>0</v>
      </c>
      <c r="V1118" s="10" t="n">
        <f aca="false">IF($H1118="숙박",0,1)</f>
        <v>1</v>
      </c>
    </row>
    <row r="1119" customFormat="false" ht="15" hidden="false" customHeight="false" outlineLevel="0" collapsed="false">
      <c r="A1119" s="8" t="n">
        <v>1118</v>
      </c>
      <c r="B1119" s="8" t="s">
        <v>45</v>
      </c>
      <c r="C1119" s="8" t="s">
        <v>2177</v>
      </c>
      <c r="D1119" s="8" t="s">
        <v>3407</v>
      </c>
      <c r="E1119" s="7" t="s">
        <v>3408</v>
      </c>
      <c r="F1119" s="8"/>
      <c r="G1119" s="8" t="s">
        <v>49</v>
      </c>
      <c r="H1119" s="9" t="s">
        <v>49</v>
      </c>
      <c r="I1119" s="9"/>
      <c r="J1119" s="9"/>
      <c r="K1119" s="9" t="s">
        <v>52</v>
      </c>
      <c r="L1119" s="8"/>
      <c r="M1119" s="8"/>
      <c r="N1119" s="8"/>
      <c r="O1119" s="8" t="s">
        <v>3409</v>
      </c>
      <c r="P1119" s="10" t="n">
        <f aca="false">IF($H1119="숙박",0,IF($H1119=MID(P$1,3,20),IF($I1119="",1,0.6),IF($I1119=MID(P$1,3,20),0.4,0)))</f>
        <v>0</v>
      </c>
      <c r="Q1119" s="10" t="n">
        <f aca="false">IF($H1119="숙박",0,IF($H1119=MID(Q$1,3,20),IF($I1119="",1,0.6),IF($I1119=MID(Q$1,3,20),0.4,0)))</f>
        <v>1</v>
      </c>
      <c r="R1119" s="10" t="n">
        <f aca="false">IF($H1119="숙박",0,IF($H1119=MID(R$1,3,20),IF($I1119="",1,0.6),IF($I1119=MID(R$1,3,20),0.4,0)))</f>
        <v>0</v>
      </c>
      <c r="S1119" s="10" t="n">
        <f aca="false">IF($H1119="숙박",0,IF($H1119=MID(S$1,3,20),IF($I1119="",1,0.6),IF($I1119=MID(S$1,3,20),0.4,0)))</f>
        <v>0</v>
      </c>
      <c r="T1119" s="10" t="n">
        <f aca="false">IF($H1119="숙박",0,IF($H1119=MID(T$1,3,20),IF($I1119="",1,0.6),IF($I1119=MID(T$1,3,20),0.4,0)))</f>
        <v>0</v>
      </c>
      <c r="U1119" s="10" t="n">
        <f aca="false">IF($H1119="숙박",0,IF(ISNUMBER(SEARCH("야경",$J1119)),1,0))</f>
        <v>0</v>
      </c>
      <c r="V1119" s="10" t="n">
        <f aca="false">IF($H1119="숙박",0,1)</f>
        <v>1</v>
      </c>
    </row>
    <row r="1120" customFormat="false" ht="15" hidden="false" customHeight="false" outlineLevel="0" collapsed="false">
      <c r="A1120" s="8" t="n">
        <v>1119</v>
      </c>
      <c r="B1120" s="8" t="s">
        <v>45</v>
      </c>
      <c r="C1120" s="8"/>
      <c r="D1120" s="8" t="s">
        <v>3410</v>
      </c>
      <c r="E1120" s="7" t="s">
        <v>3411</v>
      </c>
      <c r="F1120" s="8"/>
      <c r="G1120" s="8"/>
      <c r="H1120" s="9" t="s">
        <v>594</v>
      </c>
      <c r="I1120" s="9"/>
      <c r="J1120" s="9"/>
      <c r="K1120" s="9"/>
      <c r="L1120" s="8"/>
      <c r="M1120" s="8"/>
      <c r="N1120" s="8" t="s">
        <v>595</v>
      </c>
      <c r="O1120" s="8"/>
      <c r="P1120" s="10" t="n">
        <f aca="false">IF($H1120="숙박",0,IF($H1120=MID(P$1,3,20),IF($I1120="",1,0.6),IF($I1120=MID(P$1,3,20),0.4,0)))</f>
        <v>0</v>
      </c>
      <c r="Q1120" s="10" t="n">
        <f aca="false">IF($H1120="숙박",0,IF($H1120=MID(Q$1,3,20),IF($I1120="",1,0.6),IF($I1120=MID(Q$1,3,20),0.4,0)))</f>
        <v>0</v>
      </c>
      <c r="R1120" s="10" t="n">
        <f aca="false">IF($H1120="숙박",0,IF($H1120=MID(R$1,3,20),IF($I1120="",1,0.6),IF($I1120=MID(R$1,3,20),0.4,0)))</f>
        <v>0</v>
      </c>
      <c r="S1120" s="10" t="n">
        <f aca="false">IF($H1120="숙박",0,IF($H1120=MID(S$1,3,20),IF($I1120="",1,0.6),IF($I1120=MID(S$1,3,20),0.4,0)))</f>
        <v>0</v>
      </c>
      <c r="T1120" s="10" t="n">
        <f aca="false">IF($H1120="숙박",0,IF($H1120=MID(T$1,3,20),IF($I1120="",1,0.6),IF($I1120=MID(T$1,3,20),0.4,0)))</f>
        <v>0</v>
      </c>
      <c r="U1120" s="10" t="n">
        <f aca="false">IF($H1120="숙박",0,IF(ISNUMBER(SEARCH("야경",$J1120)),1,0))</f>
        <v>0</v>
      </c>
      <c r="V1120" s="10" t="n">
        <f aca="false">IF($H1120="숙박",0,1)</f>
        <v>0</v>
      </c>
    </row>
    <row r="1121" customFormat="false" ht="15" hidden="false" customHeight="false" outlineLevel="0" collapsed="false">
      <c r="A1121" s="8" t="n">
        <v>1120</v>
      </c>
      <c r="B1121" s="8" t="s">
        <v>45</v>
      </c>
      <c r="C1121" s="8" t="s">
        <v>1343</v>
      </c>
      <c r="D1121" s="8" t="s">
        <v>3412</v>
      </c>
      <c r="E1121" s="7" t="s">
        <v>3413</v>
      </c>
      <c r="F1121" s="8"/>
      <c r="G1121" s="8" t="s">
        <v>49</v>
      </c>
      <c r="H1121" s="9" t="s">
        <v>49</v>
      </c>
      <c r="I1121" s="9"/>
      <c r="J1121" s="9"/>
      <c r="K1121" s="9" t="s">
        <v>52</v>
      </c>
      <c r="L1121" s="8"/>
      <c r="M1121" s="8"/>
      <c r="N1121" s="8"/>
      <c r="O1121" s="8" t="s">
        <v>3414</v>
      </c>
      <c r="P1121" s="10" t="n">
        <f aca="false">IF($H1121="숙박",0,IF($H1121=MID(P$1,3,20),IF($I1121="",1,0.6),IF($I1121=MID(P$1,3,20),0.4,0)))</f>
        <v>0</v>
      </c>
      <c r="Q1121" s="10" t="n">
        <f aca="false">IF($H1121="숙박",0,IF($H1121=MID(Q$1,3,20),IF($I1121="",1,0.6),IF($I1121=MID(Q$1,3,20),0.4,0)))</f>
        <v>1</v>
      </c>
      <c r="R1121" s="10" t="n">
        <f aca="false">IF($H1121="숙박",0,IF($H1121=MID(R$1,3,20),IF($I1121="",1,0.6),IF($I1121=MID(R$1,3,20),0.4,0)))</f>
        <v>0</v>
      </c>
      <c r="S1121" s="10" t="n">
        <f aca="false">IF($H1121="숙박",0,IF($H1121=MID(S$1,3,20),IF($I1121="",1,0.6),IF($I1121=MID(S$1,3,20),0.4,0)))</f>
        <v>0</v>
      </c>
      <c r="T1121" s="10" t="n">
        <f aca="false">IF($H1121="숙박",0,IF($H1121=MID(T$1,3,20),IF($I1121="",1,0.6),IF($I1121=MID(T$1,3,20),0.4,0)))</f>
        <v>0</v>
      </c>
      <c r="U1121" s="10" t="n">
        <f aca="false">IF($H1121="숙박",0,IF(ISNUMBER(SEARCH("야경",$J1121)),1,0))</f>
        <v>0</v>
      </c>
      <c r="V1121" s="10" t="n">
        <f aca="false">IF($H1121="숙박",0,1)</f>
        <v>1</v>
      </c>
    </row>
    <row r="1122" customFormat="false" ht="15" hidden="false" customHeight="false" outlineLevel="0" collapsed="false">
      <c r="A1122" s="8" t="n">
        <v>1121</v>
      </c>
      <c r="B1122" s="8" t="s">
        <v>45</v>
      </c>
      <c r="C1122" s="8"/>
      <c r="D1122" s="8" t="s">
        <v>3415</v>
      </c>
      <c r="E1122" s="7" t="s">
        <v>3416</v>
      </c>
      <c r="F1122" s="8"/>
      <c r="G1122" s="8"/>
      <c r="H1122" s="9" t="s">
        <v>594</v>
      </c>
      <c r="I1122" s="9"/>
      <c r="J1122" s="9"/>
      <c r="K1122" s="9"/>
      <c r="L1122" s="8"/>
      <c r="M1122" s="8"/>
      <c r="N1122" s="8" t="s">
        <v>595</v>
      </c>
      <c r="O1122" s="8"/>
      <c r="P1122" s="10" t="n">
        <f aca="false">IF($H1122="숙박",0,IF($H1122=MID(P$1,3,20),IF($I1122="",1,0.6),IF($I1122=MID(P$1,3,20),0.4,0)))</f>
        <v>0</v>
      </c>
      <c r="Q1122" s="10" t="n">
        <f aca="false">IF($H1122="숙박",0,IF($H1122=MID(Q$1,3,20),IF($I1122="",1,0.6),IF($I1122=MID(Q$1,3,20),0.4,0)))</f>
        <v>0</v>
      </c>
      <c r="R1122" s="10" t="n">
        <f aca="false">IF($H1122="숙박",0,IF($H1122=MID(R$1,3,20),IF($I1122="",1,0.6),IF($I1122=MID(R$1,3,20),0.4,0)))</f>
        <v>0</v>
      </c>
      <c r="S1122" s="10" t="n">
        <f aca="false">IF($H1122="숙박",0,IF($H1122=MID(S$1,3,20),IF($I1122="",1,0.6),IF($I1122=MID(S$1,3,20),0.4,0)))</f>
        <v>0</v>
      </c>
      <c r="T1122" s="10" t="n">
        <f aca="false">IF($H1122="숙박",0,IF($H1122=MID(T$1,3,20),IF($I1122="",1,0.6),IF($I1122=MID(T$1,3,20),0.4,0)))</f>
        <v>0</v>
      </c>
      <c r="U1122" s="10" t="n">
        <f aca="false">IF($H1122="숙박",0,IF(ISNUMBER(SEARCH("야경",$J1122)),1,0))</f>
        <v>0</v>
      </c>
      <c r="V1122" s="10" t="n">
        <f aca="false">IF($H1122="숙박",0,1)</f>
        <v>0</v>
      </c>
    </row>
    <row r="1123" customFormat="false" ht="15" hidden="false" customHeight="false" outlineLevel="0" collapsed="false">
      <c r="A1123" s="8" t="n">
        <v>1122</v>
      </c>
      <c r="B1123" s="8" t="s">
        <v>45</v>
      </c>
      <c r="C1123" s="8" t="s">
        <v>369</v>
      </c>
      <c r="D1123" s="8" t="s">
        <v>3417</v>
      </c>
      <c r="E1123" s="7" t="s">
        <v>3418</v>
      </c>
      <c r="F1123" s="8"/>
      <c r="G1123" s="8" t="s">
        <v>190</v>
      </c>
      <c r="H1123" s="9" t="s">
        <v>190</v>
      </c>
      <c r="I1123" s="9"/>
      <c r="J1123" s="9"/>
      <c r="K1123" s="9" t="s">
        <v>191</v>
      </c>
      <c r="L1123" s="8"/>
      <c r="M1123" s="8"/>
      <c r="N1123" s="8"/>
      <c r="O1123" s="8" t="s">
        <v>3419</v>
      </c>
      <c r="P1123" s="10" t="n">
        <f aca="false">IF($H1123="숙박",0,IF($H1123=MID(P$1,3,20),IF($I1123="",1,0.6),IF($I1123=MID(P$1,3,20),0.4,0)))</f>
        <v>1</v>
      </c>
      <c r="Q1123" s="10" t="n">
        <f aca="false">IF($H1123="숙박",0,IF($H1123=MID(Q$1,3,20),IF($I1123="",1,0.6),IF($I1123=MID(Q$1,3,20),0.4,0)))</f>
        <v>0</v>
      </c>
      <c r="R1123" s="10" t="n">
        <f aca="false">IF($H1123="숙박",0,IF($H1123=MID(R$1,3,20),IF($I1123="",1,0.6),IF($I1123=MID(R$1,3,20),0.4,0)))</f>
        <v>0</v>
      </c>
      <c r="S1123" s="10" t="n">
        <f aca="false">IF($H1123="숙박",0,IF($H1123=MID(S$1,3,20),IF($I1123="",1,0.6),IF($I1123=MID(S$1,3,20),0.4,0)))</f>
        <v>0</v>
      </c>
      <c r="T1123" s="10" t="n">
        <f aca="false">IF($H1123="숙박",0,IF($H1123=MID(T$1,3,20),IF($I1123="",1,0.6),IF($I1123=MID(T$1,3,20),0.4,0)))</f>
        <v>0</v>
      </c>
      <c r="U1123" s="10" t="n">
        <f aca="false">IF($H1123="숙박",0,IF(ISNUMBER(SEARCH("야경",$J1123)),1,0))</f>
        <v>0</v>
      </c>
      <c r="V1123" s="10" t="n">
        <f aca="false">IF($H1123="숙박",0,1)</f>
        <v>1</v>
      </c>
    </row>
    <row r="1124" customFormat="false" ht="15" hidden="false" customHeight="false" outlineLevel="0" collapsed="false">
      <c r="A1124" s="8" t="n">
        <v>1123</v>
      </c>
      <c r="B1124" s="8" t="s">
        <v>45</v>
      </c>
      <c r="C1124" s="8" t="s">
        <v>1493</v>
      </c>
      <c r="D1124" s="8" t="s">
        <v>3420</v>
      </c>
      <c r="E1124" s="7" t="s">
        <v>3421</v>
      </c>
      <c r="F1124" s="8"/>
      <c r="G1124" s="8" t="s">
        <v>190</v>
      </c>
      <c r="H1124" s="9" t="s">
        <v>190</v>
      </c>
      <c r="I1124" s="9"/>
      <c r="J1124" s="9"/>
      <c r="K1124" s="9" t="s">
        <v>191</v>
      </c>
      <c r="L1124" s="8"/>
      <c r="M1124" s="8"/>
      <c r="N1124" s="8"/>
      <c r="O1124" s="8" t="s">
        <v>3422</v>
      </c>
      <c r="P1124" s="10" t="n">
        <f aca="false">IF($H1124="숙박",0,IF($H1124=MID(P$1,3,20),IF($I1124="",1,0.6),IF($I1124=MID(P$1,3,20),0.4,0)))</f>
        <v>1</v>
      </c>
      <c r="Q1124" s="10" t="n">
        <f aca="false">IF($H1124="숙박",0,IF($H1124=MID(Q$1,3,20),IF($I1124="",1,0.6),IF($I1124=MID(Q$1,3,20),0.4,0)))</f>
        <v>0</v>
      </c>
      <c r="R1124" s="10" t="n">
        <f aca="false">IF($H1124="숙박",0,IF($H1124=MID(R$1,3,20),IF($I1124="",1,0.6),IF($I1124=MID(R$1,3,20),0.4,0)))</f>
        <v>0</v>
      </c>
      <c r="S1124" s="10" t="n">
        <f aca="false">IF($H1124="숙박",0,IF($H1124=MID(S$1,3,20),IF($I1124="",1,0.6),IF($I1124=MID(S$1,3,20),0.4,0)))</f>
        <v>0</v>
      </c>
      <c r="T1124" s="10" t="n">
        <f aca="false">IF($H1124="숙박",0,IF($H1124=MID(T$1,3,20),IF($I1124="",1,0.6),IF($I1124=MID(T$1,3,20),0.4,0)))</f>
        <v>0</v>
      </c>
      <c r="U1124" s="10" t="n">
        <f aca="false">IF($H1124="숙박",0,IF(ISNUMBER(SEARCH("야경",$J1124)),1,0))</f>
        <v>0</v>
      </c>
      <c r="V1124" s="10" t="n">
        <f aca="false">IF($H1124="숙박",0,1)</f>
        <v>1</v>
      </c>
    </row>
    <row r="1125" customFormat="false" ht="15" hidden="false" customHeight="false" outlineLevel="0" collapsed="false">
      <c r="A1125" s="8" t="n">
        <v>1124</v>
      </c>
      <c r="B1125" s="8" t="s">
        <v>45</v>
      </c>
      <c r="C1125" s="8" t="s">
        <v>1493</v>
      </c>
      <c r="D1125" s="8" t="s">
        <v>3423</v>
      </c>
      <c r="E1125" s="7" t="s">
        <v>3424</v>
      </c>
      <c r="F1125" s="8"/>
      <c r="G1125" s="8" t="s">
        <v>49</v>
      </c>
      <c r="H1125" s="9" t="s">
        <v>49</v>
      </c>
      <c r="I1125" s="9"/>
      <c r="J1125" s="9"/>
      <c r="K1125" s="9" t="s">
        <v>52</v>
      </c>
      <c r="L1125" s="8"/>
      <c r="M1125" s="8"/>
      <c r="N1125" s="8"/>
      <c r="O1125" s="8" t="s">
        <v>3425</v>
      </c>
      <c r="P1125" s="10" t="n">
        <f aca="false">IF($H1125="숙박",0,IF($H1125=MID(P$1,3,20),IF($I1125="",1,0.6),IF($I1125=MID(P$1,3,20),0.4,0)))</f>
        <v>0</v>
      </c>
      <c r="Q1125" s="10" t="n">
        <f aca="false">IF($H1125="숙박",0,IF($H1125=MID(Q$1,3,20),IF($I1125="",1,0.6),IF($I1125=MID(Q$1,3,20),0.4,0)))</f>
        <v>1</v>
      </c>
      <c r="R1125" s="10" t="n">
        <f aca="false">IF($H1125="숙박",0,IF($H1125=MID(R$1,3,20),IF($I1125="",1,0.6),IF($I1125=MID(R$1,3,20),0.4,0)))</f>
        <v>0</v>
      </c>
      <c r="S1125" s="10" t="n">
        <f aca="false">IF($H1125="숙박",0,IF($H1125=MID(S$1,3,20),IF($I1125="",1,0.6),IF($I1125=MID(S$1,3,20),0.4,0)))</f>
        <v>0</v>
      </c>
      <c r="T1125" s="10" t="n">
        <f aca="false">IF($H1125="숙박",0,IF($H1125=MID(T$1,3,20),IF($I1125="",1,0.6),IF($I1125=MID(T$1,3,20),0.4,0)))</f>
        <v>0</v>
      </c>
      <c r="U1125" s="10" t="n">
        <f aca="false">IF($H1125="숙박",0,IF(ISNUMBER(SEARCH("야경",$J1125)),1,0))</f>
        <v>0</v>
      </c>
      <c r="V1125" s="10" t="n">
        <f aca="false">IF($H1125="숙박",0,1)</f>
        <v>1</v>
      </c>
    </row>
    <row r="1126" customFormat="false" ht="15" hidden="false" customHeight="false" outlineLevel="0" collapsed="false">
      <c r="A1126" s="8" t="n">
        <v>1125</v>
      </c>
      <c r="B1126" s="8" t="s">
        <v>45</v>
      </c>
      <c r="C1126" s="8" t="s">
        <v>1493</v>
      </c>
      <c r="D1126" s="8" t="s">
        <v>3426</v>
      </c>
      <c r="E1126" s="7" t="s">
        <v>3427</v>
      </c>
      <c r="F1126" s="8"/>
      <c r="G1126" s="8" t="s">
        <v>190</v>
      </c>
      <c r="H1126" s="9" t="s">
        <v>190</v>
      </c>
      <c r="I1126" s="9"/>
      <c r="J1126" s="9"/>
      <c r="K1126" s="9" t="s">
        <v>191</v>
      </c>
      <c r="L1126" s="8"/>
      <c r="M1126" s="8"/>
      <c r="N1126" s="8"/>
      <c r="O1126" s="8" t="s">
        <v>3428</v>
      </c>
      <c r="P1126" s="10" t="n">
        <f aca="false">IF($H1126="숙박",0,IF($H1126=MID(P$1,3,20),IF($I1126="",1,0.6),IF($I1126=MID(P$1,3,20),0.4,0)))</f>
        <v>1</v>
      </c>
      <c r="Q1126" s="10" t="n">
        <f aca="false">IF($H1126="숙박",0,IF($H1126=MID(Q$1,3,20),IF($I1126="",1,0.6),IF($I1126=MID(Q$1,3,20),0.4,0)))</f>
        <v>0</v>
      </c>
      <c r="R1126" s="10" t="n">
        <f aca="false">IF($H1126="숙박",0,IF($H1126=MID(R$1,3,20),IF($I1126="",1,0.6),IF($I1126=MID(R$1,3,20),0.4,0)))</f>
        <v>0</v>
      </c>
      <c r="S1126" s="10" t="n">
        <f aca="false">IF($H1126="숙박",0,IF($H1126=MID(S$1,3,20),IF($I1126="",1,0.6),IF($I1126=MID(S$1,3,20),0.4,0)))</f>
        <v>0</v>
      </c>
      <c r="T1126" s="10" t="n">
        <f aca="false">IF($H1126="숙박",0,IF($H1126=MID(T$1,3,20),IF($I1126="",1,0.6),IF($I1126=MID(T$1,3,20),0.4,0)))</f>
        <v>0</v>
      </c>
      <c r="U1126" s="10" t="n">
        <f aca="false">IF($H1126="숙박",0,IF(ISNUMBER(SEARCH("야경",$J1126)),1,0))</f>
        <v>0</v>
      </c>
      <c r="V1126" s="10" t="n">
        <f aca="false">IF($H1126="숙박",0,1)</f>
        <v>1</v>
      </c>
    </row>
    <row r="1127" customFormat="false" ht="15" hidden="false" customHeight="false" outlineLevel="0" collapsed="false">
      <c r="A1127" s="8" t="n">
        <v>1126</v>
      </c>
      <c r="B1127" s="8" t="s">
        <v>45</v>
      </c>
      <c r="C1127" s="8" t="s">
        <v>1493</v>
      </c>
      <c r="D1127" s="8" t="s">
        <v>3429</v>
      </c>
      <c r="E1127" s="7" t="s">
        <v>3430</v>
      </c>
      <c r="F1127" s="8"/>
      <c r="G1127" s="8" t="s">
        <v>49</v>
      </c>
      <c r="H1127" s="9" t="s">
        <v>49</v>
      </c>
      <c r="I1127" s="9"/>
      <c r="J1127" s="9"/>
      <c r="K1127" s="9" t="s">
        <v>52</v>
      </c>
      <c r="L1127" s="8"/>
      <c r="M1127" s="8"/>
      <c r="N1127" s="8"/>
      <c r="O1127" s="8" t="s">
        <v>3431</v>
      </c>
      <c r="P1127" s="10" t="n">
        <f aca="false">IF($H1127="숙박",0,IF($H1127=MID(P$1,3,20),IF($I1127="",1,0.6),IF($I1127=MID(P$1,3,20),0.4,0)))</f>
        <v>0</v>
      </c>
      <c r="Q1127" s="10" t="n">
        <f aca="false">IF($H1127="숙박",0,IF($H1127=MID(Q$1,3,20),IF($I1127="",1,0.6),IF($I1127=MID(Q$1,3,20),0.4,0)))</f>
        <v>1</v>
      </c>
      <c r="R1127" s="10" t="n">
        <f aca="false">IF($H1127="숙박",0,IF($H1127=MID(R$1,3,20),IF($I1127="",1,0.6),IF($I1127=MID(R$1,3,20),0.4,0)))</f>
        <v>0</v>
      </c>
      <c r="S1127" s="10" t="n">
        <f aca="false">IF($H1127="숙박",0,IF($H1127=MID(S$1,3,20),IF($I1127="",1,0.6),IF($I1127=MID(S$1,3,20),0.4,0)))</f>
        <v>0</v>
      </c>
      <c r="T1127" s="10" t="n">
        <f aca="false">IF($H1127="숙박",0,IF($H1127=MID(T$1,3,20),IF($I1127="",1,0.6),IF($I1127=MID(T$1,3,20),0.4,0)))</f>
        <v>0</v>
      </c>
      <c r="U1127" s="10" t="n">
        <f aca="false">IF($H1127="숙박",0,IF(ISNUMBER(SEARCH("야경",$J1127)),1,0))</f>
        <v>0</v>
      </c>
      <c r="V1127" s="10" t="n">
        <f aca="false">IF($H1127="숙박",0,1)</f>
        <v>1</v>
      </c>
    </row>
    <row r="1128" customFormat="false" ht="15" hidden="false" customHeight="false" outlineLevel="0" collapsed="false">
      <c r="A1128" s="8" t="n">
        <v>1127</v>
      </c>
      <c r="B1128" s="8" t="s">
        <v>45</v>
      </c>
      <c r="C1128" s="8" t="s">
        <v>1493</v>
      </c>
      <c r="D1128" s="8" t="s">
        <v>3432</v>
      </c>
      <c r="E1128" s="7" t="s">
        <v>3433</v>
      </c>
      <c r="F1128" s="8"/>
      <c r="G1128" s="8" t="s">
        <v>49</v>
      </c>
      <c r="H1128" s="9" t="s">
        <v>49</v>
      </c>
      <c r="I1128" s="9" t="s">
        <v>184</v>
      </c>
      <c r="J1128" s="9"/>
      <c r="K1128" s="9" t="s">
        <v>52</v>
      </c>
      <c r="L1128" s="8"/>
      <c r="M1128" s="8"/>
      <c r="N1128" s="8" t="s">
        <v>483</v>
      </c>
      <c r="O1128" s="8" t="s">
        <v>3434</v>
      </c>
      <c r="P1128" s="10" t="n">
        <f aca="false">IF($H1128="숙박",0,IF($H1128=MID(P$1,3,20),IF($I1128="",1,0.6),IF($I1128=MID(P$1,3,20),0.4,0)))</f>
        <v>0</v>
      </c>
      <c r="Q1128" s="10" t="n">
        <f aca="false">IF($H1128="숙박",0,IF($H1128=MID(Q$1,3,20),IF($I1128="",1,0.6),IF($I1128=MID(Q$1,3,20),0.4,0)))</f>
        <v>0.6</v>
      </c>
      <c r="R1128" s="10" t="n">
        <f aca="false">IF($H1128="숙박",0,IF($H1128=MID(R$1,3,20),IF($I1128="",1,0.6),IF($I1128=MID(R$1,3,20),0.4,0)))</f>
        <v>0.4</v>
      </c>
      <c r="S1128" s="10" t="n">
        <f aca="false">IF($H1128="숙박",0,IF($H1128=MID(S$1,3,20),IF($I1128="",1,0.6),IF($I1128=MID(S$1,3,20),0.4,0)))</f>
        <v>0</v>
      </c>
      <c r="T1128" s="10" t="n">
        <f aca="false">IF($H1128="숙박",0,IF($H1128=MID(T$1,3,20),IF($I1128="",1,0.6),IF($I1128=MID(T$1,3,20),0.4,0)))</f>
        <v>0</v>
      </c>
      <c r="U1128" s="10" t="n">
        <f aca="false">IF($H1128="숙박",0,IF(ISNUMBER(SEARCH("야경",$J1128)),1,0))</f>
        <v>0</v>
      </c>
      <c r="V1128" s="10" t="n">
        <f aca="false">IF($H1128="숙박",0,1)</f>
        <v>1</v>
      </c>
    </row>
    <row r="1129" customFormat="false" ht="15" hidden="false" customHeight="false" outlineLevel="0" collapsed="false">
      <c r="A1129" s="8" t="n">
        <v>1128</v>
      </c>
      <c r="B1129" s="8" t="s">
        <v>45</v>
      </c>
      <c r="C1129" s="8" t="s">
        <v>1512</v>
      </c>
      <c r="D1129" s="8" t="s">
        <v>3435</v>
      </c>
      <c r="E1129" s="7" t="s">
        <v>3436</v>
      </c>
      <c r="F1129" s="8"/>
      <c r="G1129" s="8" t="s">
        <v>49</v>
      </c>
      <c r="H1129" s="9" t="s">
        <v>49</v>
      </c>
      <c r="I1129" s="9"/>
      <c r="J1129" s="9"/>
      <c r="K1129" s="9" t="s">
        <v>52</v>
      </c>
      <c r="L1129" s="8"/>
      <c r="M1129" s="8"/>
      <c r="N1129" s="8"/>
      <c r="O1129" s="8" t="s">
        <v>3437</v>
      </c>
      <c r="P1129" s="10" t="n">
        <f aca="false">IF($H1129="숙박",0,IF($H1129=MID(P$1,3,20),IF($I1129="",1,0.6),IF($I1129=MID(P$1,3,20),0.4,0)))</f>
        <v>0</v>
      </c>
      <c r="Q1129" s="10" t="n">
        <f aca="false">IF($H1129="숙박",0,IF($H1129=MID(Q$1,3,20),IF($I1129="",1,0.6),IF($I1129=MID(Q$1,3,20),0.4,0)))</f>
        <v>1</v>
      </c>
      <c r="R1129" s="10" t="n">
        <f aca="false">IF($H1129="숙박",0,IF($H1129=MID(R$1,3,20),IF($I1129="",1,0.6),IF($I1129=MID(R$1,3,20),0.4,0)))</f>
        <v>0</v>
      </c>
      <c r="S1129" s="10" t="n">
        <f aca="false">IF($H1129="숙박",0,IF($H1129=MID(S$1,3,20),IF($I1129="",1,0.6),IF($I1129=MID(S$1,3,20),0.4,0)))</f>
        <v>0</v>
      </c>
      <c r="T1129" s="10" t="n">
        <f aca="false">IF($H1129="숙박",0,IF($H1129=MID(T$1,3,20),IF($I1129="",1,0.6),IF($I1129=MID(T$1,3,20),0.4,0)))</f>
        <v>0</v>
      </c>
      <c r="U1129" s="10" t="n">
        <f aca="false">IF($H1129="숙박",0,IF(ISNUMBER(SEARCH("야경",$J1129)),1,0))</f>
        <v>0</v>
      </c>
      <c r="V1129" s="10" t="n">
        <f aca="false">IF($H1129="숙박",0,1)</f>
        <v>1</v>
      </c>
    </row>
    <row r="1130" customFormat="false" ht="15" hidden="false" customHeight="false" outlineLevel="0" collapsed="false">
      <c r="A1130" s="8" t="n">
        <v>1129</v>
      </c>
      <c r="B1130" s="8" t="s">
        <v>45</v>
      </c>
      <c r="C1130" s="8" t="s">
        <v>297</v>
      </c>
      <c r="D1130" s="8" t="s">
        <v>3438</v>
      </c>
      <c r="E1130" s="7" t="s">
        <v>3439</v>
      </c>
      <c r="F1130" s="8"/>
      <c r="G1130" s="8" t="s">
        <v>49</v>
      </c>
      <c r="H1130" s="9" t="s">
        <v>49</v>
      </c>
      <c r="I1130" s="9"/>
      <c r="J1130" s="9"/>
      <c r="K1130" s="9" t="s">
        <v>52</v>
      </c>
      <c r="L1130" s="8"/>
      <c r="M1130" s="8"/>
      <c r="N1130" s="8"/>
      <c r="O1130" s="8" t="s">
        <v>3440</v>
      </c>
      <c r="P1130" s="10" t="n">
        <f aca="false">IF($H1130="숙박",0,IF($H1130=MID(P$1,3,20),IF($I1130="",1,0.6),IF($I1130=MID(P$1,3,20),0.4,0)))</f>
        <v>0</v>
      </c>
      <c r="Q1130" s="10" t="n">
        <f aca="false">IF($H1130="숙박",0,IF($H1130=MID(Q$1,3,20),IF($I1130="",1,0.6),IF($I1130=MID(Q$1,3,20),0.4,0)))</f>
        <v>1</v>
      </c>
      <c r="R1130" s="10" t="n">
        <f aca="false">IF($H1130="숙박",0,IF($H1130=MID(R$1,3,20),IF($I1130="",1,0.6),IF($I1130=MID(R$1,3,20),0.4,0)))</f>
        <v>0</v>
      </c>
      <c r="S1130" s="10" t="n">
        <f aca="false">IF($H1130="숙박",0,IF($H1130=MID(S$1,3,20),IF($I1130="",1,0.6),IF($I1130=MID(S$1,3,20),0.4,0)))</f>
        <v>0</v>
      </c>
      <c r="T1130" s="10" t="n">
        <f aca="false">IF($H1130="숙박",0,IF($H1130=MID(T$1,3,20),IF($I1130="",1,0.6),IF($I1130=MID(T$1,3,20),0.4,0)))</f>
        <v>0</v>
      </c>
      <c r="U1130" s="10" t="n">
        <f aca="false">IF($H1130="숙박",0,IF(ISNUMBER(SEARCH("야경",$J1130)),1,0))</f>
        <v>0</v>
      </c>
      <c r="V1130" s="10" t="n">
        <f aca="false">IF($H1130="숙박",0,1)</f>
        <v>1</v>
      </c>
    </row>
    <row r="1131" customFormat="false" ht="15" hidden="false" customHeight="false" outlineLevel="0" collapsed="false">
      <c r="A1131" s="8" t="n">
        <v>1130</v>
      </c>
      <c r="B1131" s="8" t="s">
        <v>45</v>
      </c>
      <c r="C1131" s="8" t="s">
        <v>3441</v>
      </c>
      <c r="D1131" s="8" t="s">
        <v>3442</v>
      </c>
      <c r="E1131" s="7" t="s">
        <v>3443</v>
      </c>
      <c r="F1131" s="8"/>
      <c r="G1131" s="8" t="s">
        <v>190</v>
      </c>
      <c r="H1131" s="9" t="s">
        <v>190</v>
      </c>
      <c r="I1131" s="9"/>
      <c r="J1131" s="9"/>
      <c r="K1131" s="9" t="s">
        <v>191</v>
      </c>
      <c r="L1131" s="8"/>
      <c r="M1131" s="8"/>
      <c r="N1131" s="8"/>
      <c r="O1131" s="8" t="s">
        <v>3444</v>
      </c>
      <c r="P1131" s="10" t="n">
        <f aca="false">IF($H1131="숙박",0,IF($H1131=MID(P$1,3,20),IF($I1131="",1,0.6),IF($I1131=MID(P$1,3,20),0.4,0)))</f>
        <v>1</v>
      </c>
      <c r="Q1131" s="10" t="n">
        <f aca="false">IF($H1131="숙박",0,IF($H1131=MID(Q$1,3,20),IF($I1131="",1,0.6),IF($I1131=MID(Q$1,3,20),0.4,0)))</f>
        <v>0</v>
      </c>
      <c r="R1131" s="10" t="n">
        <f aca="false">IF($H1131="숙박",0,IF($H1131=MID(R$1,3,20),IF($I1131="",1,0.6),IF($I1131=MID(R$1,3,20),0.4,0)))</f>
        <v>0</v>
      </c>
      <c r="S1131" s="10" t="n">
        <f aca="false">IF($H1131="숙박",0,IF($H1131=MID(S$1,3,20),IF($I1131="",1,0.6),IF($I1131=MID(S$1,3,20),0.4,0)))</f>
        <v>0</v>
      </c>
      <c r="T1131" s="10" t="n">
        <f aca="false">IF($H1131="숙박",0,IF($H1131=MID(T$1,3,20),IF($I1131="",1,0.6),IF($I1131=MID(T$1,3,20),0.4,0)))</f>
        <v>0</v>
      </c>
      <c r="U1131" s="10" t="n">
        <f aca="false">IF($H1131="숙박",0,IF(ISNUMBER(SEARCH("야경",$J1131)),1,0))</f>
        <v>0</v>
      </c>
      <c r="V1131" s="10" t="n">
        <f aca="false">IF($H1131="숙박",0,1)</f>
        <v>1</v>
      </c>
    </row>
    <row r="1132" customFormat="false" ht="15" hidden="false" customHeight="false" outlineLevel="0" collapsed="false">
      <c r="A1132" s="8" t="n">
        <v>1131</v>
      </c>
      <c r="B1132" s="8" t="s">
        <v>45</v>
      </c>
      <c r="C1132" s="8" t="s">
        <v>388</v>
      </c>
      <c r="D1132" s="8" t="s">
        <v>3445</v>
      </c>
      <c r="E1132" s="7" t="s">
        <v>3446</v>
      </c>
      <c r="F1132" s="8"/>
      <c r="G1132" s="8" t="s">
        <v>50</v>
      </c>
      <c r="H1132" s="9" t="s">
        <v>50</v>
      </c>
      <c r="I1132" s="9" t="s">
        <v>184</v>
      </c>
      <c r="J1132" s="9" t="s">
        <v>168</v>
      </c>
      <c r="K1132" s="9" t="s">
        <v>52</v>
      </c>
      <c r="L1132" s="8"/>
      <c r="M1132" s="8"/>
      <c r="N1132" s="8" t="s">
        <v>483</v>
      </c>
      <c r="O1132" s="8" t="s">
        <v>3447</v>
      </c>
      <c r="P1132" s="10" t="n">
        <f aca="false">IF($H1132="숙박",0,IF($H1132=MID(P$1,3,20),IF($I1132="",1,0.6),IF($I1132=MID(P$1,3,20),0.4,0)))</f>
        <v>0</v>
      </c>
      <c r="Q1132" s="10" t="n">
        <f aca="false">IF($H1132="숙박",0,IF($H1132=MID(Q$1,3,20),IF($I1132="",1,0.6),IF($I1132=MID(Q$1,3,20),0.4,0)))</f>
        <v>0</v>
      </c>
      <c r="R1132" s="10" t="n">
        <f aca="false">IF($H1132="숙박",0,IF($H1132=MID(R$1,3,20),IF($I1132="",1,0.6),IF($I1132=MID(R$1,3,20),0.4,0)))</f>
        <v>0.4</v>
      </c>
      <c r="S1132" s="10" t="n">
        <f aca="false">IF($H1132="숙박",0,IF($H1132=MID(S$1,3,20),IF($I1132="",1,0.6),IF($I1132=MID(S$1,3,20),0.4,0)))</f>
        <v>0</v>
      </c>
      <c r="T1132" s="10" t="n">
        <f aca="false">IF($H1132="숙박",0,IF($H1132=MID(T$1,3,20),IF($I1132="",1,0.6),IF($I1132=MID(T$1,3,20),0.4,0)))</f>
        <v>0.6</v>
      </c>
      <c r="U1132" s="10" t="n">
        <f aca="false">IF($H1132="숙박",0,IF(ISNUMBER(SEARCH("야경",$J1132)),1,0))</f>
        <v>0</v>
      </c>
      <c r="V1132" s="10" t="n">
        <f aca="false">IF($H1132="숙박",0,1)</f>
        <v>1</v>
      </c>
    </row>
    <row r="1133" customFormat="false" ht="15" hidden="false" customHeight="false" outlineLevel="0" collapsed="false">
      <c r="A1133" s="8" t="n">
        <v>1132</v>
      </c>
      <c r="B1133" s="8" t="s">
        <v>45</v>
      </c>
      <c r="C1133" s="8" t="s">
        <v>2057</v>
      </c>
      <c r="D1133" s="8" t="s">
        <v>3448</v>
      </c>
      <c r="E1133" s="7" t="s">
        <v>3449</v>
      </c>
      <c r="F1133" s="8"/>
      <c r="G1133" s="8" t="s">
        <v>50</v>
      </c>
      <c r="H1133" s="9" t="s">
        <v>50</v>
      </c>
      <c r="I1133" s="9"/>
      <c r="J1133" s="9" t="s">
        <v>168</v>
      </c>
      <c r="K1133" s="9" t="s">
        <v>52</v>
      </c>
      <c r="L1133" s="8"/>
      <c r="M1133" s="8"/>
      <c r="N1133" s="8"/>
      <c r="O1133" s="8" t="s">
        <v>3450</v>
      </c>
      <c r="P1133" s="10" t="n">
        <f aca="false">IF($H1133="숙박",0,IF($H1133=MID(P$1,3,20),IF($I1133="",1,0.6),IF($I1133=MID(P$1,3,20),0.4,0)))</f>
        <v>0</v>
      </c>
      <c r="Q1133" s="10" t="n">
        <f aca="false">IF($H1133="숙박",0,IF($H1133=MID(Q$1,3,20),IF($I1133="",1,0.6),IF($I1133=MID(Q$1,3,20),0.4,0)))</f>
        <v>0</v>
      </c>
      <c r="R1133" s="10" t="n">
        <f aca="false">IF($H1133="숙박",0,IF($H1133=MID(R$1,3,20),IF($I1133="",1,0.6),IF($I1133=MID(R$1,3,20),0.4,0)))</f>
        <v>0</v>
      </c>
      <c r="S1133" s="10" t="n">
        <f aca="false">IF($H1133="숙박",0,IF($H1133=MID(S$1,3,20),IF($I1133="",1,0.6),IF($I1133=MID(S$1,3,20),0.4,0)))</f>
        <v>0</v>
      </c>
      <c r="T1133" s="10" t="n">
        <f aca="false">IF($H1133="숙박",0,IF($H1133=MID(T$1,3,20),IF($I1133="",1,0.6),IF($I1133=MID(T$1,3,20),0.4,0)))</f>
        <v>1</v>
      </c>
      <c r="U1133" s="10" t="n">
        <f aca="false">IF($H1133="숙박",0,IF(ISNUMBER(SEARCH("야경",$J1133)),1,0))</f>
        <v>0</v>
      </c>
      <c r="V1133" s="10" t="n">
        <f aca="false">IF($H1133="숙박",0,1)</f>
        <v>1</v>
      </c>
    </row>
    <row r="1134" customFormat="false" ht="15" hidden="false" customHeight="false" outlineLevel="0" collapsed="false">
      <c r="A1134" s="8" t="n">
        <v>1133</v>
      </c>
      <c r="B1134" s="8" t="s">
        <v>45</v>
      </c>
      <c r="C1134" s="8" t="s">
        <v>2581</v>
      </c>
      <c r="D1134" s="8" t="s">
        <v>3451</v>
      </c>
      <c r="E1134" s="7" t="s">
        <v>3452</v>
      </c>
      <c r="F1134" s="8"/>
      <c r="G1134" s="8" t="s">
        <v>184</v>
      </c>
      <c r="H1134" s="9" t="s">
        <v>184</v>
      </c>
      <c r="I1134" s="9"/>
      <c r="J1134" s="9"/>
      <c r="K1134" s="9" t="s">
        <v>191</v>
      </c>
      <c r="L1134" s="8"/>
      <c r="M1134" s="8"/>
      <c r="N1134" s="8"/>
      <c r="O1134" s="8" t="s">
        <v>3453</v>
      </c>
      <c r="P1134" s="10" t="n">
        <f aca="false">IF($H1134="숙박",0,IF($H1134=MID(P$1,3,20),IF($I1134="",1,0.6),IF($I1134=MID(P$1,3,20),0.4,0)))</f>
        <v>0</v>
      </c>
      <c r="Q1134" s="10" t="n">
        <f aca="false">IF($H1134="숙박",0,IF($H1134=MID(Q$1,3,20),IF($I1134="",1,0.6),IF($I1134=MID(Q$1,3,20),0.4,0)))</f>
        <v>0</v>
      </c>
      <c r="R1134" s="10" t="n">
        <f aca="false">IF($H1134="숙박",0,IF($H1134=MID(R$1,3,20),IF($I1134="",1,0.6),IF($I1134=MID(R$1,3,20),0.4,0)))</f>
        <v>1</v>
      </c>
      <c r="S1134" s="10" t="n">
        <f aca="false">IF($H1134="숙박",0,IF($H1134=MID(S$1,3,20),IF($I1134="",1,0.6),IF($I1134=MID(S$1,3,20),0.4,0)))</f>
        <v>0</v>
      </c>
      <c r="T1134" s="10" t="n">
        <f aca="false">IF($H1134="숙박",0,IF($H1134=MID(T$1,3,20),IF($I1134="",1,0.6),IF($I1134=MID(T$1,3,20),0.4,0)))</f>
        <v>0</v>
      </c>
      <c r="U1134" s="10" t="n">
        <f aca="false">IF($H1134="숙박",0,IF(ISNUMBER(SEARCH("야경",$J1134)),1,0))</f>
        <v>0</v>
      </c>
      <c r="V1134" s="10" t="n">
        <f aca="false">IF($H1134="숙박",0,1)</f>
        <v>1</v>
      </c>
    </row>
    <row r="1135" customFormat="false" ht="15" hidden="false" customHeight="false" outlineLevel="0" collapsed="false">
      <c r="A1135" s="8" t="n">
        <v>1134</v>
      </c>
      <c r="B1135" s="8" t="s">
        <v>45</v>
      </c>
      <c r="C1135" s="8" t="s">
        <v>380</v>
      </c>
      <c r="D1135" s="8" t="s">
        <v>3454</v>
      </c>
      <c r="E1135" s="7" t="s">
        <v>3455</v>
      </c>
      <c r="F1135" s="8"/>
      <c r="G1135" s="8" t="s">
        <v>190</v>
      </c>
      <c r="H1135" s="9" t="s">
        <v>190</v>
      </c>
      <c r="I1135" s="9"/>
      <c r="J1135" s="9"/>
      <c r="K1135" s="9" t="s">
        <v>191</v>
      </c>
      <c r="L1135" s="8"/>
      <c r="M1135" s="8"/>
      <c r="N1135" s="8"/>
      <c r="O1135" s="7" t="s">
        <v>3456</v>
      </c>
      <c r="P1135" s="10" t="n">
        <f aca="false">IF($H1135="숙박",0,IF($H1135=MID(P$1,3,20),IF($I1135="",1,0.6),IF($I1135=MID(P$1,3,20),0.4,0)))</f>
        <v>1</v>
      </c>
      <c r="Q1135" s="10" t="n">
        <f aca="false">IF($H1135="숙박",0,IF($H1135=MID(Q$1,3,20),IF($I1135="",1,0.6),IF($I1135=MID(Q$1,3,20),0.4,0)))</f>
        <v>0</v>
      </c>
      <c r="R1135" s="10" t="n">
        <f aca="false">IF($H1135="숙박",0,IF($H1135=MID(R$1,3,20),IF($I1135="",1,0.6),IF($I1135=MID(R$1,3,20),0.4,0)))</f>
        <v>0</v>
      </c>
      <c r="S1135" s="10" t="n">
        <f aca="false">IF($H1135="숙박",0,IF($H1135=MID(S$1,3,20),IF($I1135="",1,0.6),IF($I1135=MID(S$1,3,20),0.4,0)))</f>
        <v>0</v>
      </c>
      <c r="T1135" s="10" t="n">
        <f aca="false">IF($H1135="숙박",0,IF($H1135=MID(T$1,3,20),IF($I1135="",1,0.6),IF($I1135=MID(T$1,3,20),0.4,0)))</f>
        <v>0</v>
      </c>
      <c r="U1135" s="10" t="n">
        <f aca="false">IF($H1135="숙박",0,IF(ISNUMBER(SEARCH("야경",$J1135)),1,0))</f>
        <v>0</v>
      </c>
      <c r="V1135" s="10" t="n">
        <f aca="false">IF($H1135="숙박",0,1)</f>
        <v>1</v>
      </c>
    </row>
    <row r="1136" customFormat="false" ht="15" hidden="false" customHeight="false" outlineLevel="0" collapsed="false">
      <c r="A1136" s="8" t="n">
        <v>1135</v>
      </c>
      <c r="B1136" s="8" t="s">
        <v>45</v>
      </c>
      <c r="C1136" s="8"/>
      <c r="D1136" s="8" t="s">
        <v>3457</v>
      </c>
      <c r="E1136" s="7" t="s">
        <v>3458</v>
      </c>
      <c r="F1136" s="8"/>
      <c r="G1136" s="8"/>
      <c r="H1136" s="9" t="s">
        <v>594</v>
      </c>
      <c r="I1136" s="9"/>
      <c r="J1136" s="9"/>
      <c r="K1136" s="9"/>
      <c r="L1136" s="8"/>
      <c r="M1136" s="8"/>
      <c r="N1136" s="8" t="s">
        <v>595</v>
      </c>
      <c r="O1136" s="8"/>
      <c r="P1136" s="10" t="n">
        <f aca="false">IF($H1136="숙박",0,IF($H1136=MID(P$1,3,20),IF($I1136="",1,0.6),IF($I1136=MID(P$1,3,20),0.4,0)))</f>
        <v>0</v>
      </c>
      <c r="Q1136" s="10" t="n">
        <f aca="false">IF($H1136="숙박",0,IF($H1136=MID(Q$1,3,20),IF($I1136="",1,0.6),IF($I1136=MID(Q$1,3,20),0.4,0)))</f>
        <v>0</v>
      </c>
      <c r="R1136" s="10" t="n">
        <f aca="false">IF($H1136="숙박",0,IF($H1136=MID(R$1,3,20),IF($I1136="",1,0.6),IF($I1136=MID(R$1,3,20),0.4,0)))</f>
        <v>0</v>
      </c>
      <c r="S1136" s="10" t="n">
        <f aca="false">IF($H1136="숙박",0,IF($H1136=MID(S$1,3,20),IF($I1136="",1,0.6),IF($I1136=MID(S$1,3,20),0.4,0)))</f>
        <v>0</v>
      </c>
      <c r="T1136" s="10" t="n">
        <f aca="false">IF($H1136="숙박",0,IF($H1136=MID(T$1,3,20),IF($I1136="",1,0.6),IF($I1136=MID(T$1,3,20),0.4,0)))</f>
        <v>0</v>
      </c>
      <c r="U1136" s="10" t="n">
        <f aca="false">IF($H1136="숙박",0,IF(ISNUMBER(SEARCH("야경",$J1136)),1,0))</f>
        <v>0</v>
      </c>
      <c r="V1136" s="10" t="n">
        <f aca="false">IF($H1136="숙박",0,1)</f>
        <v>0</v>
      </c>
    </row>
    <row r="1137" customFormat="false" ht="15" hidden="false" customHeight="false" outlineLevel="0" collapsed="false">
      <c r="A1137" s="8" t="n">
        <v>1136</v>
      </c>
      <c r="B1137" s="8" t="s">
        <v>45</v>
      </c>
      <c r="C1137" s="8" t="s">
        <v>1895</v>
      </c>
      <c r="D1137" s="8" t="s">
        <v>3459</v>
      </c>
      <c r="E1137" s="7" t="s">
        <v>3460</v>
      </c>
      <c r="F1137" s="8"/>
      <c r="G1137" s="8" t="s">
        <v>49</v>
      </c>
      <c r="H1137" s="9" t="s">
        <v>49</v>
      </c>
      <c r="I1137" s="9" t="s">
        <v>184</v>
      </c>
      <c r="J1137" s="9" t="s">
        <v>43</v>
      </c>
      <c r="K1137" s="9" t="s">
        <v>52</v>
      </c>
      <c r="L1137" s="8"/>
      <c r="M1137" s="8"/>
      <c r="N1137" s="8" t="s">
        <v>483</v>
      </c>
      <c r="O1137" s="8" t="s">
        <v>3461</v>
      </c>
      <c r="P1137" s="10" t="n">
        <f aca="false">IF($H1137="숙박",0,IF($H1137=MID(P$1,3,20),IF($I1137="",1,0.6),IF($I1137=MID(P$1,3,20),0.4,0)))</f>
        <v>0</v>
      </c>
      <c r="Q1137" s="10" t="n">
        <f aca="false">IF($H1137="숙박",0,IF($H1137=MID(Q$1,3,20),IF($I1137="",1,0.6),IF($I1137=MID(Q$1,3,20),0.4,0)))</f>
        <v>0.6</v>
      </c>
      <c r="R1137" s="10" t="n">
        <f aca="false">IF($H1137="숙박",0,IF($H1137=MID(R$1,3,20),IF($I1137="",1,0.6),IF($I1137=MID(R$1,3,20),0.4,0)))</f>
        <v>0.4</v>
      </c>
      <c r="S1137" s="10" t="n">
        <f aca="false">IF($H1137="숙박",0,IF($H1137=MID(S$1,3,20),IF($I1137="",1,0.6),IF($I1137=MID(S$1,3,20),0.4,0)))</f>
        <v>0</v>
      </c>
      <c r="T1137" s="10" t="n">
        <f aca="false">IF($H1137="숙박",0,IF($H1137=MID(T$1,3,20),IF($I1137="",1,0.6),IF($I1137=MID(T$1,3,20),0.4,0)))</f>
        <v>0</v>
      </c>
      <c r="U1137" s="10" t="n">
        <f aca="false">IF($H1137="숙박",0,IF(ISNUMBER(SEARCH("야경",$J1137)),1,0))</f>
        <v>1</v>
      </c>
      <c r="V1137" s="10" t="n">
        <f aca="false">IF($H1137="숙박",0,1)</f>
        <v>1</v>
      </c>
    </row>
    <row r="1138" customFormat="false" ht="15" hidden="false" customHeight="false" outlineLevel="0" collapsed="false">
      <c r="A1138" s="8" t="n">
        <v>1137</v>
      </c>
      <c r="B1138" s="8" t="s">
        <v>45</v>
      </c>
      <c r="C1138" s="8" t="s">
        <v>327</v>
      </c>
      <c r="D1138" s="8" t="s">
        <v>3462</v>
      </c>
      <c r="E1138" s="7" t="s">
        <v>3463</v>
      </c>
      <c r="F1138" s="8"/>
      <c r="G1138" s="8" t="s">
        <v>190</v>
      </c>
      <c r="H1138" s="9" t="s">
        <v>190</v>
      </c>
      <c r="I1138" s="9"/>
      <c r="J1138" s="9"/>
      <c r="K1138" s="9" t="s">
        <v>191</v>
      </c>
      <c r="L1138" s="8"/>
      <c r="M1138" s="8"/>
      <c r="N1138" s="8"/>
      <c r="O1138" s="8" t="s">
        <v>3464</v>
      </c>
      <c r="P1138" s="10" t="n">
        <f aca="false">IF($H1138="숙박",0,IF($H1138=MID(P$1,3,20),IF($I1138="",1,0.6),IF($I1138=MID(P$1,3,20),0.4,0)))</f>
        <v>1</v>
      </c>
      <c r="Q1138" s="10" t="n">
        <f aca="false">IF($H1138="숙박",0,IF($H1138=MID(Q$1,3,20),IF($I1138="",1,0.6),IF($I1138=MID(Q$1,3,20),0.4,0)))</f>
        <v>0</v>
      </c>
      <c r="R1138" s="10" t="n">
        <f aca="false">IF($H1138="숙박",0,IF($H1138=MID(R$1,3,20),IF($I1138="",1,0.6),IF($I1138=MID(R$1,3,20),0.4,0)))</f>
        <v>0</v>
      </c>
      <c r="S1138" s="10" t="n">
        <f aca="false">IF($H1138="숙박",0,IF($H1138=MID(S$1,3,20),IF($I1138="",1,0.6),IF($I1138=MID(S$1,3,20),0.4,0)))</f>
        <v>0</v>
      </c>
      <c r="T1138" s="10" t="n">
        <f aca="false">IF($H1138="숙박",0,IF($H1138=MID(T$1,3,20),IF($I1138="",1,0.6),IF($I1138=MID(T$1,3,20),0.4,0)))</f>
        <v>0</v>
      </c>
      <c r="U1138" s="10" t="n">
        <f aca="false">IF($H1138="숙박",0,IF(ISNUMBER(SEARCH("야경",$J1138)),1,0))</f>
        <v>0</v>
      </c>
      <c r="V1138" s="10" t="n">
        <f aca="false">IF($H1138="숙박",0,1)</f>
        <v>1</v>
      </c>
    </row>
    <row r="1139" customFormat="false" ht="15" hidden="false" customHeight="false" outlineLevel="0" collapsed="false">
      <c r="A1139" s="8" t="n">
        <v>1138</v>
      </c>
      <c r="B1139" s="8" t="s">
        <v>45</v>
      </c>
      <c r="C1139" s="8" t="s">
        <v>421</v>
      </c>
      <c r="D1139" s="8" t="s">
        <v>3465</v>
      </c>
      <c r="E1139" s="7" t="s">
        <v>3466</v>
      </c>
      <c r="F1139" s="8"/>
      <c r="G1139" s="8" t="s">
        <v>49</v>
      </c>
      <c r="H1139" s="9" t="s">
        <v>49</v>
      </c>
      <c r="I1139" s="9"/>
      <c r="J1139" s="9"/>
      <c r="K1139" s="9" t="s">
        <v>52</v>
      </c>
      <c r="L1139" s="8"/>
      <c r="M1139" s="8"/>
      <c r="N1139" s="8"/>
      <c r="O1139" s="8" t="s">
        <v>3467</v>
      </c>
      <c r="P1139" s="10" t="n">
        <f aca="false">IF($H1139="숙박",0,IF($H1139=MID(P$1,3,20),IF($I1139="",1,0.6),IF($I1139=MID(P$1,3,20),0.4,0)))</f>
        <v>0</v>
      </c>
      <c r="Q1139" s="10" t="n">
        <f aca="false">IF($H1139="숙박",0,IF($H1139=MID(Q$1,3,20),IF($I1139="",1,0.6),IF($I1139=MID(Q$1,3,20),0.4,0)))</f>
        <v>1</v>
      </c>
      <c r="R1139" s="10" t="n">
        <f aca="false">IF($H1139="숙박",0,IF($H1139=MID(R$1,3,20),IF($I1139="",1,0.6),IF($I1139=MID(R$1,3,20),0.4,0)))</f>
        <v>0</v>
      </c>
      <c r="S1139" s="10" t="n">
        <f aca="false">IF($H1139="숙박",0,IF($H1139=MID(S$1,3,20),IF($I1139="",1,0.6),IF($I1139=MID(S$1,3,20),0.4,0)))</f>
        <v>0</v>
      </c>
      <c r="T1139" s="10" t="n">
        <f aca="false">IF($H1139="숙박",0,IF($H1139=MID(T$1,3,20),IF($I1139="",1,0.6),IF($I1139=MID(T$1,3,20),0.4,0)))</f>
        <v>0</v>
      </c>
      <c r="U1139" s="10" t="n">
        <f aca="false">IF($H1139="숙박",0,IF(ISNUMBER(SEARCH("야경",$J1139)),1,0))</f>
        <v>0</v>
      </c>
      <c r="V1139" s="10" t="n">
        <f aca="false">IF($H1139="숙박",0,1)</f>
        <v>1</v>
      </c>
    </row>
    <row r="1140" customFormat="false" ht="15" hidden="false" customHeight="false" outlineLevel="0" collapsed="false">
      <c r="A1140" s="8" t="n">
        <v>1139</v>
      </c>
      <c r="B1140" s="8" t="s">
        <v>45</v>
      </c>
      <c r="C1140" s="8"/>
      <c r="D1140" s="8" t="s">
        <v>3468</v>
      </c>
      <c r="E1140" s="7" t="s">
        <v>3469</v>
      </c>
      <c r="F1140" s="8"/>
      <c r="G1140" s="8"/>
      <c r="H1140" s="9" t="s">
        <v>594</v>
      </c>
      <c r="I1140" s="9"/>
      <c r="J1140" s="9"/>
      <c r="K1140" s="9"/>
      <c r="L1140" s="8"/>
      <c r="M1140" s="8"/>
      <c r="N1140" s="8" t="s">
        <v>595</v>
      </c>
      <c r="O1140" s="8"/>
      <c r="P1140" s="10" t="n">
        <f aca="false">IF($H1140="숙박",0,IF($H1140=MID(P$1,3,20),IF($I1140="",1,0.6),IF($I1140=MID(P$1,3,20),0.4,0)))</f>
        <v>0</v>
      </c>
      <c r="Q1140" s="10" t="n">
        <f aca="false">IF($H1140="숙박",0,IF($H1140=MID(Q$1,3,20),IF($I1140="",1,0.6),IF($I1140=MID(Q$1,3,20),0.4,0)))</f>
        <v>0</v>
      </c>
      <c r="R1140" s="10" t="n">
        <f aca="false">IF($H1140="숙박",0,IF($H1140=MID(R$1,3,20),IF($I1140="",1,0.6),IF($I1140=MID(R$1,3,20),0.4,0)))</f>
        <v>0</v>
      </c>
      <c r="S1140" s="10" t="n">
        <f aca="false">IF($H1140="숙박",0,IF($H1140=MID(S$1,3,20),IF($I1140="",1,0.6),IF($I1140=MID(S$1,3,20),0.4,0)))</f>
        <v>0</v>
      </c>
      <c r="T1140" s="10" t="n">
        <f aca="false">IF($H1140="숙박",0,IF($H1140=MID(T$1,3,20),IF($I1140="",1,0.6),IF($I1140=MID(T$1,3,20),0.4,0)))</f>
        <v>0</v>
      </c>
      <c r="U1140" s="10" t="n">
        <f aca="false">IF($H1140="숙박",0,IF(ISNUMBER(SEARCH("야경",$J1140)),1,0))</f>
        <v>0</v>
      </c>
      <c r="V1140" s="10" t="n">
        <f aca="false">IF($H1140="숙박",0,1)</f>
        <v>0</v>
      </c>
    </row>
    <row r="1141" customFormat="false" ht="15" hidden="false" customHeight="false" outlineLevel="0" collapsed="false">
      <c r="A1141" s="8" t="n">
        <v>1140</v>
      </c>
      <c r="B1141" s="8" t="s">
        <v>45</v>
      </c>
      <c r="C1141" s="8" t="s">
        <v>1809</v>
      </c>
      <c r="D1141" s="8" t="s">
        <v>3470</v>
      </c>
      <c r="E1141" s="7" t="s">
        <v>3471</v>
      </c>
      <c r="F1141" s="8"/>
      <c r="G1141" s="8" t="s">
        <v>184</v>
      </c>
      <c r="H1141" s="9" t="s">
        <v>184</v>
      </c>
      <c r="I1141" s="9"/>
      <c r="J1141" s="9"/>
      <c r="K1141" s="9" t="s">
        <v>191</v>
      </c>
      <c r="L1141" s="8"/>
      <c r="M1141" s="8"/>
      <c r="N1141" s="8"/>
      <c r="O1141" s="8" t="s">
        <v>3472</v>
      </c>
      <c r="P1141" s="10" t="n">
        <f aca="false">IF($H1141="숙박",0,IF($H1141=MID(P$1,3,20),IF($I1141="",1,0.6),IF($I1141=MID(P$1,3,20),0.4,0)))</f>
        <v>0</v>
      </c>
      <c r="Q1141" s="10" t="n">
        <f aca="false">IF($H1141="숙박",0,IF($H1141=MID(Q$1,3,20),IF($I1141="",1,0.6),IF($I1141=MID(Q$1,3,20),0.4,0)))</f>
        <v>0</v>
      </c>
      <c r="R1141" s="10" t="n">
        <f aca="false">IF($H1141="숙박",0,IF($H1141=MID(R$1,3,20),IF($I1141="",1,0.6),IF($I1141=MID(R$1,3,20),0.4,0)))</f>
        <v>1</v>
      </c>
      <c r="S1141" s="10" t="n">
        <f aca="false">IF($H1141="숙박",0,IF($H1141=MID(S$1,3,20),IF($I1141="",1,0.6),IF($I1141=MID(S$1,3,20),0.4,0)))</f>
        <v>0</v>
      </c>
      <c r="T1141" s="10" t="n">
        <f aca="false">IF($H1141="숙박",0,IF($H1141=MID(T$1,3,20),IF($I1141="",1,0.6),IF($I1141=MID(T$1,3,20),0.4,0)))</f>
        <v>0</v>
      </c>
      <c r="U1141" s="10" t="n">
        <f aca="false">IF($H1141="숙박",0,IF(ISNUMBER(SEARCH("야경",$J1141)),1,0))</f>
        <v>0</v>
      </c>
      <c r="V1141" s="10" t="n">
        <f aca="false">IF($H1141="숙박",0,1)</f>
        <v>1</v>
      </c>
    </row>
    <row r="1142" customFormat="false" ht="15" hidden="false" customHeight="false" outlineLevel="0" collapsed="false">
      <c r="A1142" s="8" t="n">
        <v>1141</v>
      </c>
      <c r="B1142" s="8" t="s">
        <v>45</v>
      </c>
      <c r="C1142" s="8" t="s">
        <v>2335</v>
      </c>
      <c r="D1142" s="8" t="s">
        <v>3473</v>
      </c>
      <c r="E1142" s="7" t="s">
        <v>3474</v>
      </c>
      <c r="F1142" s="8"/>
      <c r="G1142" s="8" t="s">
        <v>50</v>
      </c>
      <c r="H1142" s="9" t="s">
        <v>50</v>
      </c>
      <c r="I1142" s="9" t="s">
        <v>184</v>
      </c>
      <c r="J1142" s="9" t="s">
        <v>168</v>
      </c>
      <c r="K1142" s="9" t="s">
        <v>52</v>
      </c>
      <c r="L1142" s="8"/>
      <c r="M1142" s="8"/>
      <c r="N1142" s="8" t="s">
        <v>483</v>
      </c>
      <c r="O1142" s="8" t="s">
        <v>3475</v>
      </c>
      <c r="P1142" s="10" t="n">
        <f aca="false">IF($H1142="숙박",0,IF($H1142=MID(P$1,3,20),IF($I1142="",1,0.6),IF($I1142=MID(P$1,3,20),0.4,0)))</f>
        <v>0</v>
      </c>
      <c r="Q1142" s="10" t="n">
        <f aca="false">IF($H1142="숙박",0,IF($H1142=MID(Q$1,3,20),IF($I1142="",1,0.6),IF($I1142=MID(Q$1,3,20),0.4,0)))</f>
        <v>0</v>
      </c>
      <c r="R1142" s="10" t="n">
        <f aca="false">IF($H1142="숙박",0,IF($H1142=MID(R$1,3,20),IF($I1142="",1,0.6),IF($I1142=MID(R$1,3,20),0.4,0)))</f>
        <v>0.4</v>
      </c>
      <c r="S1142" s="10" t="n">
        <f aca="false">IF($H1142="숙박",0,IF($H1142=MID(S$1,3,20),IF($I1142="",1,0.6),IF($I1142=MID(S$1,3,20),0.4,0)))</f>
        <v>0</v>
      </c>
      <c r="T1142" s="10" t="n">
        <f aca="false">IF($H1142="숙박",0,IF($H1142=MID(T$1,3,20),IF($I1142="",1,0.6),IF($I1142=MID(T$1,3,20),0.4,0)))</f>
        <v>0.6</v>
      </c>
      <c r="U1142" s="10" t="n">
        <f aca="false">IF($H1142="숙박",0,IF(ISNUMBER(SEARCH("야경",$J1142)),1,0))</f>
        <v>0</v>
      </c>
      <c r="V1142" s="10" t="n">
        <f aca="false">IF($H1142="숙박",0,1)</f>
        <v>1</v>
      </c>
    </row>
    <row r="1143" customFormat="false" ht="15" hidden="false" customHeight="false" outlineLevel="0" collapsed="false">
      <c r="A1143" s="8" t="n">
        <v>1142</v>
      </c>
      <c r="B1143" s="8" t="s">
        <v>45</v>
      </c>
      <c r="C1143" s="8" t="s">
        <v>438</v>
      </c>
      <c r="D1143" s="8" t="s">
        <v>3476</v>
      </c>
      <c r="E1143" s="7" t="s">
        <v>3477</v>
      </c>
      <c r="F1143" s="8"/>
      <c r="G1143" s="8" t="s">
        <v>184</v>
      </c>
      <c r="H1143" s="9" t="s">
        <v>184</v>
      </c>
      <c r="I1143" s="9"/>
      <c r="J1143" s="9" t="s">
        <v>479</v>
      </c>
      <c r="K1143" s="9" t="s">
        <v>191</v>
      </c>
      <c r="L1143" s="8"/>
      <c r="M1143" s="8"/>
      <c r="N1143" s="8"/>
      <c r="O1143" s="8" t="s">
        <v>3478</v>
      </c>
      <c r="P1143" s="10" t="n">
        <f aca="false">IF($H1143="숙박",0,IF($H1143=MID(P$1,3,20),IF($I1143="",1,0.6),IF($I1143=MID(P$1,3,20),0.4,0)))</f>
        <v>0</v>
      </c>
      <c r="Q1143" s="10" t="n">
        <f aca="false">IF($H1143="숙박",0,IF($H1143=MID(Q$1,3,20),IF($I1143="",1,0.6),IF($I1143=MID(Q$1,3,20),0.4,0)))</f>
        <v>0</v>
      </c>
      <c r="R1143" s="10" t="n">
        <f aca="false">IF($H1143="숙박",0,IF($H1143=MID(R$1,3,20),IF($I1143="",1,0.6),IF($I1143=MID(R$1,3,20),0.4,0)))</f>
        <v>1</v>
      </c>
      <c r="S1143" s="10" t="n">
        <f aca="false">IF($H1143="숙박",0,IF($H1143=MID(S$1,3,20),IF($I1143="",1,0.6),IF($I1143=MID(S$1,3,20),0.4,0)))</f>
        <v>0</v>
      </c>
      <c r="T1143" s="10" t="n">
        <f aca="false">IF($H1143="숙박",0,IF($H1143=MID(T$1,3,20),IF($I1143="",1,0.6),IF($I1143=MID(T$1,3,20),0.4,0)))</f>
        <v>0</v>
      </c>
      <c r="U1143" s="10" t="n">
        <f aca="false">IF($H1143="숙박",0,IF(ISNUMBER(SEARCH("야경",$J1143)),1,0))</f>
        <v>0</v>
      </c>
      <c r="V1143" s="10" t="n">
        <f aca="false">IF($H1143="숙박",0,1)</f>
        <v>1</v>
      </c>
    </row>
    <row r="1144" customFormat="false" ht="15" hidden="false" customHeight="false" outlineLevel="0" collapsed="false">
      <c r="A1144" s="8" t="n">
        <v>1143</v>
      </c>
      <c r="B1144" s="8" t="s">
        <v>45</v>
      </c>
      <c r="C1144" s="8" t="s">
        <v>1448</v>
      </c>
      <c r="D1144" s="8" t="s">
        <v>3479</v>
      </c>
      <c r="E1144" s="7" t="s">
        <v>3480</v>
      </c>
      <c r="F1144" s="8"/>
      <c r="G1144" s="8" t="s">
        <v>190</v>
      </c>
      <c r="H1144" s="9" t="s">
        <v>190</v>
      </c>
      <c r="I1144" s="9"/>
      <c r="J1144" s="9"/>
      <c r="K1144" s="9" t="s">
        <v>191</v>
      </c>
      <c r="L1144" s="8"/>
      <c r="M1144" s="8"/>
      <c r="N1144" s="8"/>
      <c r="O1144" s="8" t="s">
        <v>3481</v>
      </c>
      <c r="P1144" s="10" t="n">
        <f aca="false">IF($H1144="숙박",0,IF($H1144=MID(P$1,3,20),IF($I1144="",1,0.6),IF($I1144=MID(P$1,3,20),0.4,0)))</f>
        <v>1</v>
      </c>
      <c r="Q1144" s="10" t="n">
        <f aca="false">IF($H1144="숙박",0,IF($H1144=MID(Q$1,3,20),IF($I1144="",1,0.6),IF($I1144=MID(Q$1,3,20),0.4,0)))</f>
        <v>0</v>
      </c>
      <c r="R1144" s="10" t="n">
        <f aca="false">IF($H1144="숙박",0,IF($H1144=MID(R$1,3,20),IF($I1144="",1,0.6),IF($I1144=MID(R$1,3,20),0.4,0)))</f>
        <v>0</v>
      </c>
      <c r="S1144" s="10" t="n">
        <f aca="false">IF($H1144="숙박",0,IF($H1144=MID(S$1,3,20),IF($I1144="",1,0.6),IF($I1144=MID(S$1,3,20),0.4,0)))</f>
        <v>0</v>
      </c>
      <c r="T1144" s="10" t="n">
        <f aca="false">IF($H1144="숙박",0,IF($H1144=MID(T$1,3,20),IF($I1144="",1,0.6),IF($I1144=MID(T$1,3,20),0.4,0)))</f>
        <v>0</v>
      </c>
      <c r="U1144" s="10" t="n">
        <f aca="false">IF($H1144="숙박",0,IF(ISNUMBER(SEARCH("야경",$J1144)),1,0))</f>
        <v>0</v>
      </c>
      <c r="V1144" s="10" t="n">
        <f aca="false">IF($H1144="숙박",0,1)</f>
        <v>1</v>
      </c>
    </row>
    <row r="1145" customFormat="false" ht="15" hidden="false" customHeight="false" outlineLevel="0" collapsed="false">
      <c r="A1145" s="8" t="n">
        <v>1144</v>
      </c>
      <c r="B1145" s="8" t="s">
        <v>45</v>
      </c>
      <c r="C1145" s="8" t="s">
        <v>321</v>
      </c>
      <c r="D1145" s="8" t="s">
        <v>3482</v>
      </c>
      <c r="E1145" s="7" t="s">
        <v>3483</v>
      </c>
      <c r="F1145" s="8"/>
      <c r="G1145" s="8" t="s">
        <v>190</v>
      </c>
      <c r="H1145" s="9" t="s">
        <v>190</v>
      </c>
      <c r="I1145" s="9"/>
      <c r="J1145" s="9"/>
      <c r="K1145" s="9" t="s">
        <v>191</v>
      </c>
      <c r="L1145" s="8"/>
      <c r="M1145" s="8"/>
      <c r="N1145" s="8"/>
      <c r="O1145" s="8" t="s">
        <v>3484</v>
      </c>
      <c r="P1145" s="10" t="n">
        <f aca="false">IF($H1145="숙박",0,IF($H1145=MID(P$1,3,20),IF($I1145="",1,0.6),IF($I1145=MID(P$1,3,20),0.4,0)))</f>
        <v>1</v>
      </c>
      <c r="Q1145" s="10" t="n">
        <f aca="false">IF($H1145="숙박",0,IF($H1145=MID(Q$1,3,20),IF($I1145="",1,0.6),IF($I1145=MID(Q$1,3,20),0.4,0)))</f>
        <v>0</v>
      </c>
      <c r="R1145" s="10" t="n">
        <f aca="false">IF($H1145="숙박",0,IF($H1145=MID(R$1,3,20),IF($I1145="",1,0.6),IF($I1145=MID(R$1,3,20),0.4,0)))</f>
        <v>0</v>
      </c>
      <c r="S1145" s="10" t="n">
        <f aca="false">IF($H1145="숙박",0,IF($H1145=MID(S$1,3,20),IF($I1145="",1,0.6),IF($I1145=MID(S$1,3,20),0.4,0)))</f>
        <v>0</v>
      </c>
      <c r="T1145" s="10" t="n">
        <f aca="false">IF($H1145="숙박",0,IF($H1145=MID(T$1,3,20),IF($I1145="",1,0.6),IF($I1145=MID(T$1,3,20),0.4,0)))</f>
        <v>0</v>
      </c>
      <c r="U1145" s="10" t="n">
        <f aca="false">IF($H1145="숙박",0,IF(ISNUMBER(SEARCH("야경",$J1145)),1,0))</f>
        <v>0</v>
      </c>
      <c r="V1145" s="10" t="n">
        <f aca="false">IF($H1145="숙박",0,1)</f>
        <v>1</v>
      </c>
    </row>
    <row r="1146" customFormat="false" ht="15" hidden="false" customHeight="false" outlineLevel="0" collapsed="false">
      <c r="A1146" s="8" t="n">
        <v>1145</v>
      </c>
      <c r="B1146" s="8" t="s">
        <v>45</v>
      </c>
      <c r="C1146" s="8" t="s">
        <v>2597</v>
      </c>
      <c r="D1146" s="8" t="s">
        <v>3485</v>
      </c>
      <c r="E1146" s="7" t="s">
        <v>3486</v>
      </c>
      <c r="F1146" s="8"/>
      <c r="G1146" s="8" t="s">
        <v>190</v>
      </c>
      <c r="H1146" s="9" t="s">
        <v>190</v>
      </c>
      <c r="I1146" s="9"/>
      <c r="J1146" s="9"/>
      <c r="K1146" s="9" t="s">
        <v>191</v>
      </c>
      <c r="L1146" s="8"/>
      <c r="M1146" s="8"/>
      <c r="N1146" s="8"/>
      <c r="O1146" s="8" t="s">
        <v>3487</v>
      </c>
      <c r="P1146" s="10" t="n">
        <f aca="false">IF($H1146="숙박",0,IF($H1146=MID(P$1,3,20),IF($I1146="",1,0.6),IF($I1146=MID(P$1,3,20),0.4,0)))</f>
        <v>1</v>
      </c>
      <c r="Q1146" s="10" t="n">
        <f aca="false">IF($H1146="숙박",0,IF($H1146=MID(Q$1,3,20),IF($I1146="",1,0.6),IF($I1146=MID(Q$1,3,20),0.4,0)))</f>
        <v>0</v>
      </c>
      <c r="R1146" s="10" t="n">
        <f aca="false">IF($H1146="숙박",0,IF($H1146=MID(R$1,3,20),IF($I1146="",1,0.6),IF($I1146=MID(R$1,3,20),0.4,0)))</f>
        <v>0</v>
      </c>
      <c r="S1146" s="10" t="n">
        <f aca="false">IF($H1146="숙박",0,IF($H1146=MID(S$1,3,20),IF($I1146="",1,0.6),IF($I1146=MID(S$1,3,20),0.4,0)))</f>
        <v>0</v>
      </c>
      <c r="T1146" s="10" t="n">
        <f aca="false">IF($H1146="숙박",0,IF($H1146=MID(T$1,3,20),IF($I1146="",1,0.6),IF($I1146=MID(T$1,3,20),0.4,0)))</f>
        <v>0</v>
      </c>
      <c r="U1146" s="10" t="n">
        <f aca="false">IF($H1146="숙박",0,IF(ISNUMBER(SEARCH("야경",$J1146)),1,0))</f>
        <v>0</v>
      </c>
      <c r="V1146" s="10" t="n">
        <f aca="false">IF($H1146="숙박",0,1)</f>
        <v>1</v>
      </c>
    </row>
    <row r="1147" customFormat="false" ht="15" hidden="false" customHeight="false" outlineLevel="0" collapsed="false">
      <c r="A1147" s="8" t="n">
        <v>1146</v>
      </c>
      <c r="B1147" s="8" t="s">
        <v>45</v>
      </c>
      <c r="C1147" s="8" t="s">
        <v>2203</v>
      </c>
      <c r="D1147" s="8" t="s">
        <v>3488</v>
      </c>
      <c r="E1147" s="7" t="s">
        <v>3489</v>
      </c>
      <c r="F1147" s="8"/>
      <c r="G1147" s="8" t="s">
        <v>49</v>
      </c>
      <c r="H1147" s="9" t="s">
        <v>49</v>
      </c>
      <c r="I1147" s="9"/>
      <c r="J1147" s="9"/>
      <c r="K1147" s="9" t="s">
        <v>52</v>
      </c>
      <c r="L1147" s="8"/>
      <c r="M1147" s="8"/>
      <c r="N1147" s="8"/>
      <c r="O1147" s="8" t="s">
        <v>3490</v>
      </c>
      <c r="P1147" s="10" t="n">
        <f aca="false">IF($H1147="숙박",0,IF($H1147=MID(P$1,3,20),IF($I1147="",1,0.6),IF($I1147=MID(P$1,3,20),0.4,0)))</f>
        <v>0</v>
      </c>
      <c r="Q1147" s="10" t="n">
        <f aca="false">IF($H1147="숙박",0,IF($H1147=MID(Q$1,3,20),IF($I1147="",1,0.6),IF($I1147=MID(Q$1,3,20),0.4,0)))</f>
        <v>1</v>
      </c>
      <c r="R1147" s="10" t="n">
        <f aca="false">IF($H1147="숙박",0,IF($H1147=MID(R$1,3,20),IF($I1147="",1,0.6),IF($I1147=MID(R$1,3,20),0.4,0)))</f>
        <v>0</v>
      </c>
      <c r="S1147" s="10" t="n">
        <f aca="false">IF($H1147="숙박",0,IF($H1147=MID(S$1,3,20),IF($I1147="",1,0.6),IF($I1147=MID(S$1,3,20),0.4,0)))</f>
        <v>0</v>
      </c>
      <c r="T1147" s="10" t="n">
        <f aca="false">IF($H1147="숙박",0,IF($H1147=MID(T$1,3,20),IF($I1147="",1,0.6),IF($I1147=MID(T$1,3,20),0.4,0)))</f>
        <v>0</v>
      </c>
      <c r="U1147" s="10" t="n">
        <f aca="false">IF($H1147="숙박",0,IF(ISNUMBER(SEARCH("야경",$J1147)),1,0))</f>
        <v>0</v>
      </c>
      <c r="V1147" s="10" t="n">
        <f aca="false">IF($H1147="숙박",0,1)</f>
        <v>1</v>
      </c>
    </row>
    <row r="1148" customFormat="false" ht="15" hidden="false" customHeight="false" outlineLevel="0" collapsed="false">
      <c r="A1148" s="8" t="n">
        <v>1147</v>
      </c>
      <c r="B1148" s="8" t="s">
        <v>45</v>
      </c>
      <c r="C1148" s="8" t="s">
        <v>1822</v>
      </c>
      <c r="D1148" s="8" t="s">
        <v>3491</v>
      </c>
      <c r="E1148" s="7" t="s">
        <v>3492</v>
      </c>
      <c r="F1148" s="8"/>
      <c r="G1148" s="8" t="s">
        <v>49</v>
      </c>
      <c r="H1148" s="9" t="s">
        <v>49</v>
      </c>
      <c r="I1148" s="9"/>
      <c r="J1148" s="9"/>
      <c r="K1148" s="9" t="s">
        <v>52</v>
      </c>
      <c r="L1148" s="8"/>
      <c r="M1148" s="8"/>
      <c r="N1148" s="8"/>
      <c r="O1148" s="8" t="s">
        <v>3493</v>
      </c>
      <c r="P1148" s="10" t="n">
        <f aca="false">IF($H1148="숙박",0,IF($H1148=MID(P$1,3,20),IF($I1148="",1,0.6),IF($I1148=MID(P$1,3,20),0.4,0)))</f>
        <v>0</v>
      </c>
      <c r="Q1148" s="10" t="n">
        <f aca="false">IF($H1148="숙박",0,IF($H1148=MID(Q$1,3,20),IF($I1148="",1,0.6),IF($I1148=MID(Q$1,3,20),0.4,0)))</f>
        <v>1</v>
      </c>
      <c r="R1148" s="10" t="n">
        <f aca="false">IF($H1148="숙박",0,IF($H1148=MID(R$1,3,20),IF($I1148="",1,0.6),IF($I1148=MID(R$1,3,20),0.4,0)))</f>
        <v>0</v>
      </c>
      <c r="S1148" s="10" t="n">
        <f aca="false">IF($H1148="숙박",0,IF($H1148=MID(S$1,3,20),IF($I1148="",1,0.6),IF($I1148=MID(S$1,3,20),0.4,0)))</f>
        <v>0</v>
      </c>
      <c r="T1148" s="10" t="n">
        <f aca="false">IF($H1148="숙박",0,IF($H1148=MID(T$1,3,20),IF($I1148="",1,0.6),IF($I1148=MID(T$1,3,20),0.4,0)))</f>
        <v>0</v>
      </c>
      <c r="U1148" s="10" t="n">
        <f aca="false">IF($H1148="숙박",0,IF(ISNUMBER(SEARCH("야경",$J1148)),1,0))</f>
        <v>0</v>
      </c>
      <c r="V1148" s="10" t="n">
        <f aca="false">IF($H1148="숙박",0,1)</f>
        <v>1</v>
      </c>
    </row>
    <row r="1149" customFormat="false" ht="15" hidden="false" customHeight="false" outlineLevel="0" collapsed="false">
      <c r="A1149" s="8" t="n">
        <v>1148</v>
      </c>
      <c r="B1149" s="8" t="s">
        <v>45</v>
      </c>
      <c r="C1149" s="8"/>
      <c r="D1149" s="8" t="s">
        <v>3494</v>
      </c>
      <c r="E1149" s="7" t="s">
        <v>3495</v>
      </c>
      <c r="F1149" s="8"/>
      <c r="G1149" s="8"/>
      <c r="H1149" s="9" t="s">
        <v>594</v>
      </c>
      <c r="I1149" s="9"/>
      <c r="J1149" s="9"/>
      <c r="K1149" s="9"/>
      <c r="L1149" s="8"/>
      <c r="M1149" s="8"/>
      <c r="N1149" s="8" t="s">
        <v>595</v>
      </c>
      <c r="O1149" s="8"/>
      <c r="P1149" s="10" t="n">
        <f aca="false">IF($H1149="숙박",0,IF($H1149=MID(P$1,3,20),IF($I1149="",1,0.6),IF($I1149=MID(P$1,3,20),0.4,0)))</f>
        <v>0</v>
      </c>
      <c r="Q1149" s="10" t="n">
        <f aca="false">IF($H1149="숙박",0,IF($H1149=MID(Q$1,3,20),IF($I1149="",1,0.6),IF($I1149=MID(Q$1,3,20),0.4,0)))</f>
        <v>0</v>
      </c>
      <c r="R1149" s="10" t="n">
        <f aca="false">IF($H1149="숙박",0,IF($H1149=MID(R$1,3,20),IF($I1149="",1,0.6),IF($I1149=MID(R$1,3,20),0.4,0)))</f>
        <v>0</v>
      </c>
      <c r="S1149" s="10" t="n">
        <f aca="false">IF($H1149="숙박",0,IF($H1149=MID(S$1,3,20),IF($I1149="",1,0.6),IF($I1149=MID(S$1,3,20),0.4,0)))</f>
        <v>0</v>
      </c>
      <c r="T1149" s="10" t="n">
        <f aca="false">IF($H1149="숙박",0,IF($H1149=MID(T$1,3,20),IF($I1149="",1,0.6),IF($I1149=MID(T$1,3,20),0.4,0)))</f>
        <v>0</v>
      </c>
      <c r="U1149" s="10" t="n">
        <f aca="false">IF($H1149="숙박",0,IF(ISNUMBER(SEARCH("야경",$J1149)),1,0))</f>
        <v>0</v>
      </c>
      <c r="V1149" s="10" t="n">
        <f aca="false">IF($H1149="숙박",0,1)</f>
        <v>0</v>
      </c>
    </row>
    <row r="1150" customFormat="false" ht="15" hidden="false" customHeight="false" outlineLevel="0" collapsed="false">
      <c r="A1150" s="8" t="n">
        <v>1149</v>
      </c>
      <c r="B1150" s="8" t="s">
        <v>45</v>
      </c>
      <c r="C1150" s="8" t="s">
        <v>1596</v>
      </c>
      <c r="D1150" s="8" t="s">
        <v>3496</v>
      </c>
      <c r="E1150" s="7" t="s">
        <v>3497</v>
      </c>
      <c r="F1150" s="8"/>
      <c r="G1150" s="8" t="s">
        <v>184</v>
      </c>
      <c r="H1150" s="9" t="s">
        <v>184</v>
      </c>
      <c r="I1150" s="9" t="s">
        <v>49</v>
      </c>
      <c r="J1150" s="9" t="s">
        <v>1361</v>
      </c>
      <c r="K1150" s="9" t="s">
        <v>52</v>
      </c>
      <c r="L1150" s="8"/>
      <c r="M1150" s="8"/>
      <c r="N1150" s="8" t="s">
        <v>483</v>
      </c>
      <c r="O1150" s="8" t="s">
        <v>3498</v>
      </c>
      <c r="P1150" s="10" t="n">
        <f aca="false">IF($H1150="숙박",0,IF($H1150=MID(P$1,3,20),IF($I1150="",1,0.6),IF($I1150=MID(P$1,3,20),0.4,0)))</f>
        <v>0</v>
      </c>
      <c r="Q1150" s="10" t="n">
        <f aca="false">IF($H1150="숙박",0,IF($H1150=MID(Q$1,3,20),IF($I1150="",1,0.6),IF($I1150=MID(Q$1,3,20),0.4,0)))</f>
        <v>0.4</v>
      </c>
      <c r="R1150" s="10" t="n">
        <f aca="false">IF($H1150="숙박",0,IF($H1150=MID(R$1,3,20),IF($I1150="",1,0.6),IF($I1150=MID(R$1,3,20),0.4,0)))</f>
        <v>0.6</v>
      </c>
      <c r="S1150" s="10" t="n">
        <f aca="false">IF($H1150="숙박",0,IF($H1150=MID(S$1,3,20),IF($I1150="",1,0.6),IF($I1150=MID(S$1,3,20),0.4,0)))</f>
        <v>0</v>
      </c>
      <c r="T1150" s="10" t="n">
        <f aca="false">IF($H1150="숙박",0,IF($H1150=MID(T$1,3,20),IF($I1150="",1,0.6),IF($I1150=MID(T$1,3,20),0.4,0)))</f>
        <v>0</v>
      </c>
      <c r="U1150" s="10" t="n">
        <f aca="false">IF($H1150="숙박",0,IF(ISNUMBER(SEARCH("야경",$J1150)),1,0))</f>
        <v>0</v>
      </c>
      <c r="V1150" s="10" t="n">
        <f aca="false">IF($H1150="숙박",0,1)</f>
        <v>1</v>
      </c>
    </row>
    <row r="1151" customFormat="false" ht="15" hidden="false" customHeight="false" outlineLevel="0" collapsed="false">
      <c r="A1151" s="8" t="n">
        <v>1150</v>
      </c>
      <c r="B1151" s="8" t="s">
        <v>45</v>
      </c>
      <c r="C1151" s="8" t="s">
        <v>966</v>
      </c>
      <c r="D1151" s="8" t="s">
        <v>3499</v>
      </c>
      <c r="E1151" s="7" t="s">
        <v>3500</v>
      </c>
      <c r="F1151" s="8"/>
      <c r="G1151" s="8" t="s">
        <v>190</v>
      </c>
      <c r="H1151" s="9" t="s">
        <v>190</v>
      </c>
      <c r="I1151" s="9"/>
      <c r="J1151" s="9" t="s">
        <v>1361</v>
      </c>
      <c r="K1151" s="9" t="s">
        <v>191</v>
      </c>
      <c r="L1151" s="8"/>
      <c r="M1151" s="8"/>
      <c r="N1151" s="8"/>
      <c r="O1151" s="8" t="s">
        <v>3501</v>
      </c>
      <c r="P1151" s="10" t="n">
        <f aca="false">IF($H1151="숙박",0,IF($H1151=MID(P$1,3,20),IF($I1151="",1,0.6),IF($I1151=MID(P$1,3,20),0.4,0)))</f>
        <v>1</v>
      </c>
      <c r="Q1151" s="10" t="n">
        <f aca="false">IF($H1151="숙박",0,IF($H1151=MID(Q$1,3,20),IF($I1151="",1,0.6),IF($I1151=MID(Q$1,3,20),0.4,0)))</f>
        <v>0</v>
      </c>
      <c r="R1151" s="10" t="n">
        <f aca="false">IF($H1151="숙박",0,IF($H1151=MID(R$1,3,20),IF($I1151="",1,0.6),IF($I1151=MID(R$1,3,20),0.4,0)))</f>
        <v>0</v>
      </c>
      <c r="S1151" s="10" t="n">
        <f aca="false">IF($H1151="숙박",0,IF($H1151=MID(S$1,3,20),IF($I1151="",1,0.6),IF($I1151=MID(S$1,3,20),0.4,0)))</f>
        <v>0</v>
      </c>
      <c r="T1151" s="10" t="n">
        <f aca="false">IF($H1151="숙박",0,IF($H1151=MID(T$1,3,20),IF($I1151="",1,0.6),IF($I1151=MID(T$1,3,20),0.4,0)))</f>
        <v>0</v>
      </c>
      <c r="U1151" s="10" t="n">
        <f aca="false">IF($H1151="숙박",0,IF(ISNUMBER(SEARCH("야경",$J1151)),1,0))</f>
        <v>0</v>
      </c>
      <c r="V1151" s="10" t="n">
        <f aca="false">IF($H1151="숙박",0,1)</f>
        <v>1</v>
      </c>
    </row>
    <row r="1152" customFormat="false" ht="15" hidden="false" customHeight="false" outlineLevel="0" collapsed="false">
      <c r="A1152" s="8" t="n">
        <v>1151</v>
      </c>
      <c r="B1152" s="8" t="s">
        <v>45</v>
      </c>
      <c r="C1152" s="8" t="s">
        <v>966</v>
      </c>
      <c r="D1152" s="8" t="s">
        <v>3502</v>
      </c>
      <c r="E1152" s="7" t="s">
        <v>3503</v>
      </c>
      <c r="F1152" s="8"/>
      <c r="G1152" s="8" t="s">
        <v>184</v>
      </c>
      <c r="H1152" s="9" t="s">
        <v>184</v>
      </c>
      <c r="I1152" s="9" t="s">
        <v>49</v>
      </c>
      <c r="J1152" s="9" t="s">
        <v>43</v>
      </c>
      <c r="K1152" s="9" t="s">
        <v>52</v>
      </c>
      <c r="L1152" s="8"/>
      <c r="M1152" s="8"/>
      <c r="N1152" s="8" t="s">
        <v>483</v>
      </c>
      <c r="O1152" s="8" t="s">
        <v>3504</v>
      </c>
      <c r="P1152" s="10" t="n">
        <f aca="false">IF($H1152="숙박",0,IF($H1152=MID(P$1,3,20),IF($I1152="",1,0.6),IF($I1152=MID(P$1,3,20),0.4,0)))</f>
        <v>0</v>
      </c>
      <c r="Q1152" s="10" t="n">
        <f aca="false">IF($H1152="숙박",0,IF($H1152=MID(Q$1,3,20),IF($I1152="",1,0.6),IF($I1152=MID(Q$1,3,20),0.4,0)))</f>
        <v>0.4</v>
      </c>
      <c r="R1152" s="10" t="n">
        <f aca="false">IF($H1152="숙박",0,IF($H1152=MID(R$1,3,20),IF($I1152="",1,0.6),IF($I1152=MID(R$1,3,20),0.4,0)))</f>
        <v>0.6</v>
      </c>
      <c r="S1152" s="10" t="n">
        <f aca="false">IF($H1152="숙박",0,IF($H1152=MID(S$1,3,20),IF($I1152="",1,0.6),IF($I1152=MID(S$1,3,20),0.4,0)))</f>
        <v>0</v>
      </c>
      <c r="T1152" s="10" t="n">
        <f aca="false">IF($H1152="숙박",0,IF($H1152=MID(T$1,3,20),IF($I1152="",1,0.6),IF($I1152=MID(T$1,3,20),0.4,0)))</f>
        <v>0</v>
      </c>
      <c r="U1152" s="10" t="n">
        <f aca="false">IF($H1152="숙박",0,IF(ISNUMBER(SEARCH("야경",$J1152)),1,0))</f>
        <v>1</v>
      </c>
      <c r="V1152" s="10" t="n">
        <f aca="false">IF($H1152="숙박",0,1)</f>
        <v>1</v>
      </c>
    </row>
    <row r="1153" customFormat="false" ht="15" hidden="false" customHeight="false" outlineLevel="0" collapsed="false">
      <c r="A1153" s="8" t="n">
        <v>1152</v>
      </c>
      <c r="B1153" s="8" t="s">
        <v>45</v>
      </c>
      <c r="C1153" s="8"/>
      <c r="D1153" s="8" t="s">
        <v>3505</v>
      </c>
      <c r="E1153" s="7" t="s">
        <v>3506</v>
      </c>
      <c r="F1153" s="8"/>
      <c r="G1153" s="8"/>
      <c r="H1153" s="9" t="s">
        <v>594</v>
      </c>
      <c r="I1153" s="9"/>
      <c r="J1153" s="9"/>
      <c r="K1153" s="9"/>
      <c r="L1153" s="8"/>
      <c r="M1153" s="8"/>
      <c r="N1153" s="8" t="s">
        <v>595</v>
      </c>
      <c r="O1153" s="8"/>
      <c r="P1153" s="10" t="n">
        <f aca="false">IF($H1153="숙박",0,IF($H1153=MID(P$1,3,20),IF($I1153="",1,0.6),IF($I1153=MID(P$1,3,20),0.4,0)))</f>
        <v>0</v>
      </c>
      <c r="Q1153" s="10" t="n">
        <f aca="false">IF($H1153="숙박",0,IF($H1153=MID(Q$1,3,20),IF($I1153="",1,0.6),IF($I1153=MID(Q$1,3,20),0.4,0)))</f>
        <v>0</v>
      </c>
      <c r="R1153" s="10" t="n">
        <f aca="false">IF($H1153="숙박",0,IF($H1153=MID(R$1,3,20),IF($I1153="",1,0.6),IF($I1153=MID(R$1,3,20),0.4,0)))</f>
        <v>0</v>
      </c>
      <c r="S1153" s="10" t="n">
        <f aca="false">IF($H1153="숙박",0,IF($H1153=MID(S$1,3,20),IF($I1153="",1,0.6),IF($I1153=MID(S$1,3,20),0.4,0)))</f>
        <v>0</v>
      </c>
      <c r="T1153" s="10" t="n">
        <f aca="false">IF($H1153="숙박",0,IF($H1153=MID(T$1,3,20),IF($I1153="",1,0.6),IF($I1153=MID(T$1,3,20),0.4,0)))</f>
        <v>0</v>
      </c>
      <c r="U1153" s="10" t="n">
        <f aca="false">IF($H1153="숙박",0,IF(ISNUMBER(SEARCH("야경",$J1153)),1,0))</f>
        <v>0</v>
      </c>
      <c r="V1153" s="10" t="n">
        <f aca="false">IF($H1153="숙박",0,1)</f>
        <v>0</v>
      </c>
    </row>
    <row r="1154" customFormat="false" ht="15" hidden="false" customHeight="false" outlineLevel="0" collapsed="false">
      <c r="A1154" s="8" t="n">
        <v>1153</v>
      </c>
      <c r="B1154" s="8" t="s">
        <v>45</v>
      </c>
      <c r="C1154" s="8" t="s">
        <v>966</v>
      </c>
      <c r="D1154" s="8" t="s">
        <v>3507</v>
      </c>
      <c r="E1154" s="7" t="s">
        <v>3508</v>
      </c>
      <c r="F1154" s="8"/>
      <c r="G1154" s="8" t="s">
        <v>184</v>
      </c>
      <c r="H1154" s="9" t="s">
        <v>184</v>
      </c>
      <c r="I1154" s="9"/>
      <c r="J1154" s="9"/>
      <c r="K1154" s="9" t="s">
        <v>191</v>
      </c>
      <c r="L1154" s="8"/>
      <c r="M1154" s="8"/>
      <c r="N1154" s="8"/>
      <c r="O1154" s="8" t="s">
        <v>3509</v>
      </c>
      <c r="P1154" s="10" t="n">
        <f aca="false">IF($H1154="숙박",0,IF($H1154=MID(P$1,3,20),IF($I1154="",1,0.6),IF($I1154=MID(P$1,3,20),0.4,0)))</f>
        <v>0</v>
      </c>
      <c r="Q1154" s="10" t="n">
        <f aca="false">IF($H1154="숙박",0,IF($H1154=MID(Q$1,3,20),IF($I1154="",1,0.6),IF($I1154=MID(Q$1,3,20),0.4,0)))</f>
        <v>0</v>
      </c>
      <c r="R1154" s="10" t="n">
        <f aca="false">IF($H1154="숙박",0,IF($H1154=MID(R$1,3,20),IF($I1154="",1,0.6),IF($I1154=MID(R$1,3,20),0.4,0)))</f>
        <v>1</v>
      </c>
      <c r="S1154" s="10" t="n">
        <f aca="false">IF($H1154="숙박",0,IF($H1154=MID(S$1,3,20),IF($I1154="",1,0.6),IF($I1154=MID(S$1,3,20),0.4,0)))</f>
        <v>0</v>
      </c>
      <c r="T1154" s="10" t="n">
        <f aca="false">IF($H1154="숙박",0,IF($H1154=MID(T$1,3,20),IF($I1154="",1,0.6),IF($I1154=MID(T$1,3,20),0.4,0)))</f>
        <v>0</v>
      </c>
      <c r="U1154" s="10" t="n">
        <f aca="false">IF($H1154="숙박",0,IF(ISNUMBER(SEARCH("야경",$J1154)),1,0))</f>
        <v>0</v>
      </c>
      <c r="V1154" s="10" t="n">
        <f aca="false">IF($H1154="숙박",0,1)</f>
        <v>1</v>
      </c>
    </row>
    <row r="1155" customFormat="false" ht="15" hidden="false" customHeight="false" outlineLevel="0" collapsed="false">
      <c r="A1155" s="8" t="n">
        <v>1154</v>
      </c>
      <c r="B1155" s="8" t="s">
        <v>45</v>
      </c>
      <c r="C1155" s="8"/>
      <c r="D1155" s="8" t="s">
        <v>3510</v>
      </c>
      <c r="E1155" s="7" t="s">
        <v>3511</v>
      </c>
      <c r="F1155" s="8"/>
      <c r="G1155" s="8"/>
      <c r="H1155" s="9" t="s">
        <v>594</v>
      </c>
      <c r="I1155" s="9"/>
      <c r="J1155" s="9"/>
      <c r="K1155" s="9"/>
      <c r="L1155" s="8"/>
      <c r="M1155" s="8"/>
      <c r="N1155" s="8" t="s">
        <v>595</v>
      </c>
      <c r="O1155" s="8"/>
      <c r="P1155" s="10" t="n">
        <f aca="false">IF($H1155="숙박",0,IF($H1155=MID(P$1,3,20),IF($I1155="",1,0.6),IF($I1155=MID(P$1,3,20),0.4,0)))</f>
        <v>0</v>
      </c>
      <c r="Q1155" s="10" t="n">
        <f aca="false">IF($H1155="숙박",0,IF($H1155=MID(Q$1,3,20),IF($I1155="",1,0.6),IF($I1155=MID(Q$1,3,20),0.4,0)))</f>
        <v>0</v>
      </c>
      <c r="R1155" s="10" t="n">
        <f aca="false">IF($H1155="숙박",0,IF($H1155=MID(R$1,3,20),IF($I1155="",1,0.6),IF($I1155=MID(R$1,3,20),0.4,0)))</f>
        <v>0</v>
      </c>
      <c r="S1155" s="10" t="n">
        <f aca="false">IF($H1155="숙박",0,IF($H1155=MID(S$1,3,20),IF($I1155="",1,0.6),IF($I1155=MID(S$1,3,20),0.4,0)))</f>
        <v>0</v>
      </c>
      <c r="T1155" s="10" t="n">
        <f aca="false">IF($H1155="숙박",0,IF($H1155=MID(T$1,3,20),IF($I1155="",1,0.6),IF($I1155=MID(T$1,3,20),0.4,0)))</f>
        <v>0</v>
      </c>
      <c r="U1155" s="10" t="n">
        <f aca="false">IF($H1155="숙박",0,IF(ISNUMBER(SEARCH("야경",$J1155)),1,0))</f>
        <v>0</v>
      </c>
      <c r="V1155" s="10" t="n">
        <f aca="false">IF($H1155="숙박",0,1)</f>
        <v>0</v>
      </c>
    </row>
    <row r="1156" customFormat="false" ht="15" hidden="false" customHeight="false" outlineLevel="0" collapsed="false">
      <c r="A1156" s="8" t="n">
        <v>1155</v>
      </c>
      <c r="B1156" s="8" t="s">
        <v>45</v>
      </c>
      <c r="C1156" s="8" t="s">
        <v>1415</v>
      </c>
      <c r="D1156" s="8" t="s">
        <v>3512</v>
      </c>
      <c r="E1156" s="7" t="s">
        <v>3513</v>
      </c>
      <c r="F1156" s="8"/>
      <c r="G1156" s="8" t="s">
        <v>190</v>
      </c>
      <c r="H1156" s="9" t="s">
        <v>190</v>
      </c>
      <c r="I1156" s="9"/>
      <c r="J1156" s="9"/>
      <c r="K1156" s="9" t="s">
        <v>191</v>
      </c>
      <c r="L1156" s="8"/>
      <c r="M1156" s="8"/>
      <c r="N1156" s="8"/>
      <c r="O1156" s="8" t="s">
        <v>3514</v>
      </c>
      <c r="P1156" s="10" t="n">
        <f aca="false">IF($H1156="숙박",0,IF($H1156=MID(P$1,3,20),IF($I1156="",1,0.6),IF($I1156=MID(P$1,3,20),0.4,0)))</f>
        <v>1</v>
      </c>
      <c r="Q1156" s="10" t="n">
        <f aca="false">IF($H1156="숙박",0,IF($H1156=MID(Q$1,3,20),IF($I1156="",1,0.6),IF($I1156=MID(Q$1,3,20),0.4,0)))</f>
        <v>0</v>
      </c>
      <c r="R1156" s="10" t="n">
        <f aca="false">IF($H1156="숙박",0,IF($H1156=MID(R$1,3,20),IF($I1156="",1,0.6),IF($I1156=MID(R$1,3,20),0.4,0)))</f>
        <v>0</v>
      </c>
      <c r="S1156" s="10" t="n">
        <f aca="false">IF($H1156="숙박",0,IF($H1156=MID(S$1,3,20),IF($I1156="",1,0.6),IF($I1156=MID(S$1,3,20),0.4,0)))</f>
        <v>0</v>
      </c>
      <c r="T1156" s="10" t="n">
        <f aca="false">IF($H1156="숙박",0,IF($H1156=MID(T$1,3,20),IF($I1156="",1,0.6),IF($I1156=MID(T$1,3,20),0.4,0)))</f>
        <v>0</v>
      </c>
      <c r="U1156" s="10" t="n">
        <f aca="false">IF($H1156="숙박",0,IF(ISNUMBER(SEARCH("야경",$J1156)),1,0))</f>
        <v>0</v>
      </c>
      <c r="V1156" s="10" t="n">
        <f aca="false">IF($H1156="숙박",0,1)</f>
        <v>1</v>
      </c>
    </row>
    <row r="1157" customFormat="false" ht="15" hidden="false" customHeight="false" outlineLevel="0" collapsed="false">
      <c r="A1157" s="8" t="n">
        <v>1156</v>
      </c>
      <c r="B1157" s="8" t="s">
        <v>45</v>
      </c>
      <c r="C1157" s="8" t="s">
        <v>1444</v>
      </c>
      <c r="D1157" s="8" t="s">
        <v>3515</v>
      </c>
      <c r="E1157" s="7" t="s">
        <v>3516</v>
      </c>
      <c r="F1157" s="8"/>
      <c r="G1157" s="8" t="s">
        <v>190</v>
      </c>
      <c r="H1157" s="9" t="s">
        <v>190</v>
      </c>
      <c r="I1157" s="9"/>
      <c r="J1157" s="9"/>
      <c r="K1157" s="9" t="s">
        <v>191</v>
      </c>
      <c r="L1157" s="8"/>
      <c r="M1157" s="8"/>
      <c r="N1157" s="8"/>
      <c r="O1157" s="8" t="s">
        <v>3517</v>
      </c>
      <c r="P1157" s="10" t="n">
        <f aca="false">IF($H1157="숙박",0,IF($H1157=MID(P$1,3,20),IF($I1157="",1,0.6),IF($I1157=MID(P$1,3,20),0.4,0)))</f>
        <v>1</v>
      </c>
      <c r="Q1157" s="10" t="n">
        <f aca="false">IF($H1157="숙박",0,IF($H1157=MID(Q$1,3,20),IF($I1157="",1,0.6),IF($I1157=MID(Q$1,3,20),0.4,0)))</f>
        <v>0</v>
      </c>
      <c r="R1157" s="10" t="n">
        <f aca="false">IF($H1157="숙박",0,IF($H1157=MID(R$1,3,20),IF($I1157="",1,0.6),IF($I1157=MID(R$1,3,20),0.4,0)))</f>
        <v>0</v>
      </c>
      <c r="S1157" s="10" t="n">
        <f aca="false">IF($H1157="숙박",0,IF($H1157=MID(S$1,3,20),IF($I1157="",1,0.6),IF($I1157=MID(S$1,3,20),0.4,0)))</f>
        <v>0</v>
      </c>
      <c r="T1157" s="10" t="n">
        <f aca="false">IF($H1157="숙박",0,IF($H1157=MID(T$1,3,20),IF($I1157="",1,0.6),IF($I1157=MID(T$1,3,20),0.4,0)))</f>
        <v>0</v>
      </c>
      <c r="U1157" s="10" t="n">
        <f aca="false">IF($H1157="숙박",0,IF(ISNUMBER(SEARCH("야경",$J1157)),1,0))</f>
        <v>0</v>
      </c>
      <c r="V1157" s="10" t="n">
        <f aca="false">IF($H1157="숙박",0,1)</f>
        <v>1</v>
      </c>
    </row>
    <row r="1158" customFormat="false" ht="15" hidden="false" customHeight="false" outlineLevel="0" collapsed="false">
      <c r="A1158" s="8" t="n">
        <v>1157</v>
      </c>
      <c r="B1158" s="8" t="s">
        <v>45</v>
      </c>
      <c r="C1158" s="8" t="s">
        <v>2133</v>
      </c>
      <c r="D1158" s="8" t="s">
        <v>3518</v>
      </c>
      <c r="E1158" s="7" t="s">
        <v>3519</v>
      </c>
      <c r="F1158" s="8"/>
      <c r="G1158" s="8" t="s">
        <v>49</v>
      </c>
      <c r="H1158" s="9" t="s">
        <v>49</v>
      </c>
      <c r="I1158" s="9"/>
      <c r="J1158" s="9"/>
      <c r="K1158" s="9" t="s">
        <v>52</v>
      </c>
      <c r="L1158" s="8"/>
      <c r="M1158" s="8"/>
      <c r="N1158" s="8"/>
      <c r="O1158" s="8" t="s">
        <v>3520</v>
      </c>
      <c r="P1158" s="10" t="n">
        <f aca="false">IF($H1158="숙박",0,IF($H1158=MID(P$1,3,20),IF($I1158="",1,0.6),IF($I1158=MID(P$1,3,20),0.4,0)))</f>
        <v>0</v>
      </c>
      <c r="Q1158" s="10" t="n">
        <f aca="false">IF($H1158="숙박",0,IF($H1158=MID(Q$1,3,20),IF($I1158="",1,0.6),IF($I1158=MID(Q$1,3,20),0.4,0)))</f>
        <v>1</v>
      </c>
      <c r="R1158" s="10" t="n">
        <f aca="false">IF($H1158="숙박",0,IF($H1158=MID(R$1,3,20),IF($I1158="",1,0.6),IF($I1158=MID(R$1,3,20),0.4,0)))</f>
        <v>0</v>
      </c>
      <c r="S1158" s="10" t="n">
        <f aca="false">IF($H1158="숙박",0,IF($H1158=MID(S$1,3,20),IF($I1158="",1,0.6),IF($I1158=MID(S$1,3,20),0.4,0)))</f>
        <v>0</v>
      </c>
      <c r="T1158" s="10" t="n">
        <f aca="false">IF($H1158="숙박",0,IF($H1158=MID(T$1,3,20),IF($I1158="",1,0.6),IF($I1158=MID(T$1,3,20),0.4,0)))</f>
        <v>0</v>
      </c>
      <c r="U1158" s="10" t="n">
        <f aca="false">IF($H1158="숙박",0,IF(ISNUMBER(SEARCH("야경",$J1158)),1,0))</f>
        <v>0</v>
      </c>
      <c r="V1158" s="10" t="n">
        <f aca="false">IF($H1158="숙박",0,1)</f>
        <v>1</v>
      </c>
    </row>
    <row r="1159" customFormat="false" ht="15" hidden="false" customHeight="false" outlineLevel="0" collapsed="false">
      <c r="A1159" s="8" t="n">
        <v>1158</v>
      </c>
      <c r="B1159" s="8" t="s">
        <v>45</v>
      </c>
      <c r="C1159" s="8" t="s">
        <v>1440</v>
      </c>
      <c r="D1159" s="8" t="s">
        <v>3521</v>
      </c>
      <c r="E1159" s="7" t="s">
        <v>3522</v>
      </c>
      <c r="F1159" s="8"/>
      <c r="G1159" s="8" t="s">
        <v>184</v>
      </c>
      <c r="H1159" s="9" t="s">
        <v>184</v>
      </c>
      <c r="I1159" s="9"/>
      <c r="J1159" s="9"/>
      <c r="K1159" s="9" t="s">
        <v>191</v>
      </c>
      <c r="L1159" s="8"/>
      <c r="M1159" s="8"/>
      <c r="N1159" s="8"/>
      <c r="O1159" s="8" t="s">
        <v>3523</v>
      </c>
      <c r="P1159" s="10" t="n">
        <f aca="false">IF($H1159="숙박",0,IF($H1159=MID(P$1,3,20),IF($I1159="",1,0.6),IF($I1159=MID(P$1,3,20),0.4,0)))</f>
        <v>0</v>
      </c>
      <c r="Q1159" s="10" t="n">
        <f aca="false">IF($H1159="숙박",0,IF($H1159=MID(Q$1,3,20),IF($I1159="",1,0.6),IF($I1159=MID(Q$1,3,20),0.4,0)))</f>
        <v>0</v>
      </c>
      <c r="R1159" s="10" t="n">
        <f aca="false">IF($H1159="숙박",0,IF($H1159=MID(R$1,3,20),IF($I1159="",1,0.6),IF($I1159=MID(R$1,3,20),0.4,0)))</f>
        <v>1</v>
      </c>
      <c r="S1159" s="10" t="n">
        <f aca="false">IF($H1159="숙박",0,IF($H1159=MID(S$1,3,20),IF($I1159="",1,0.6),IF($I1159=MID(S$1,3,20),0.4,0)))</f>
        <v>0</v>
      </c>
      <c r="T1159" s="10" t="n">
        <f aca="false">IF($H1159="숙박",0,IF($H1159=MID(T$1,3,20),IF($I1159="",1,0.6),IF($I1159=MID(T$1,3,20),0.4,0)))</f>
        <v>0</v>
      </c>
      <c r="U1159" s="10" t="n">
        <f aca="false">IF($H1159="숙박",0,IF(ISNUMBER(SEARCH("야경",$J1159)),1,0))</f>
        <v>0</v>
      </c>
      <c r="V1159" s="10" t="n">
        <f aca="false">IF($H1159="숙박",0,1)</f>
        <v>1</v>
      </c>
    </row>
    <row r="1160" customFormat="false" ht="15" hidden="false" customHeight="false" outlineLevel="0" collapsed="false">
      <c r="A1160" s="8" t="n">
        <v>1159</v>
      </c>
      <c r="B1160" s="8" t="s">
        <v>45</v>
      </c>
      <c r="C1160" s="8" t="s">
        <v>1336</v>
      </c>
      <c r="D1160" s="8" t="s">
        <v>3524</v>
      </c>
      <c r="E1160" s="7" t="s">
        <v>3525</v>
      </c>
      <c r="F1160" s="8"/>
      <c r="G1160" s="8" t="s">
        <v>184</v>
      </c>
      <c r="H1160" s="9" t="s">
        <v>184</v>
      </c>
      <c r="I1160" s="9"/>
      <c r="J1160" s="9" t="s">
        <v>1361</v>
      </c>
      <c r="K1160" s="9" t="s">
        <v>191</v>
      </c>
      <c r="L1160" s="8"/>
      <c r="M1160" s="8"/>
      <c r="N1160" s="8"/>
      <c r="O1160" s="8" t="s">
        <v>3526</v>
      </c>
      <c r="P1160" s="10" t="n">
        <f aca="false">IF($H1160="숙박",0,IF($H1160=MID(P$1,3,20),IF($I1160="",1,0.6),IF($I1160=MID(P$1,3,20),0.4,0)))</f>
        <v>0</v>
      </c>
      <c r="Q1160" s="10" t="n">
        <f aca="false">IF($H1160="숙박",0,IF($H1160=MID(Q$1,3,20),IF($I1160="",1,0.6),IF($I1160=MID(Q$1,3,20),0.4,0)))</f>
        <v>0</v>
      </c>
      <c r="R1160" s="10" t="n">
        <f aca="false">IF($H1160="숙박",0,IF($H1160=MID(R$1,3,20),IF($I1160="",1,0.6),IF($I1160=MID(R$1,3,20),0.4,0)))</f>
        <v>1</v>
      </c>
      <c r="S1160" s="10" t="n">
        <f aca="false">IF($H1160="숙박",0,IF($H1160=MID(S$1,3,20),IF($I1160="",1,0.6),IF($I1160=MID(S$1,3,20),0.4,0)))</f>
        <v>0</v>
      </c>
      <c r="T1160" s="10" t="n">
        <f aca="false">IF($H1160="숙박",0,IF($H1160=MID(T$1,3,20),IF($I1160="",1,0.6),IF($I1160=MID(T$1,3,20),0.4,0)))</f>
        <v>0</v>
      </c>
      <c r="U1160" s="10" t="n">
        <f aca="false">IF($H1160="숙박",0,IF(ISNUMBER(SEARCH("야경",$J1160)),1,0))</f>
        <v>0</v>
      </c>
      <c r="V1160" s="10" t="n">
        <f aca="false">IF($H1160="숙박",0,1)</f>
        <v>1</v>
      </c>
    </row>
    <row r="1161" customFormat="false" ht="15" hidden="false" customHeight="false" outlineLevel="0" collapsed="false">
      <c r="A1161" s="8" t="n">
        <v>1160</v>
      </c>
      <c r="B1161" s="8" t="s">
        <v>45</v>
      </c>
      <c r="C1161" s="8" t="s">
        <v>1508</v>
      </c>
      <c r="D1161" s="8" t="s">
        <v>3527</v>
      </c>
      <c r="E1161" s="7" t="s">
        <v>3528</v>
      </c>
      <c r="F1161" s="8"/>
      <c r="G1161" s="8" t="s">
        <v>184</v>
      </c>
      <c r="H1161" s="9" t="s">
        <v>184</v>
      </c>
      <c r="I1161" s="9"/>
      <c r="J1161" s="9" t="s">
        <v>1361</v>
      </c>
      <c r="K1161" s="9" t="s">
        <v>191</v>
      </c>
      <c r="L1161" s="8"/>
      <c r="M1161" s="8"/>
      <c r="N1161" s="8"/>
      <c r="O1161" s="8" t="s">
        <v>3529</v>
      </c>
      <c r="P1161" s="10" t="n">
        <f aca="false">IF($H1161="숙박",0,IF($H1161=MID(P$1,3,20),IF($I1161="",1,0.6),IF($I1161=MID(P$1,3,20),0.4,0)))</f>
        <v>0</v>
      </c>
      <c r="Q1161" s="10" t="n">
        <f aca="false">IF($H1161="숙박",0,IF($H1161=MID(Q$1,3,20),IF($I1161="",1,0.6),IF($I1161=MID(Q$1,3,20),0.4,0)))</f>
        <v>0</v>
      </c>
      <c r="R1161" s="10" t="n">
        <f aca="false">IF($H1161="숙박",0,IF($H1161=MID(R$1,3,20),IF($I1161="",1,0.6),IF($I1161=MID(R$1,3,20),0.4,0)))</f>
        <v>1</v>
      </c>
      <c r="S1161" s="10" t="n">
        <f aca="false">IF($H1161="숙박",0,IF($H1161=MID(S$1,3,20),IF($I1161="",1,0.6),IF($I1161=MID(S$1,3,20),0.4,0)))</f>
        <v>0</v>
      </c>
      <c r="T1161" s="10" t="n">
        <f aca="false">IF($H1161="숙박",0,IF($H1161=MID(T$1,3,20),IF($I1161="",1,0.6),IF($I1161=MID(T$1,3,20),0.4,0)))</f>
        <v>0</v>
      </c>
      <c r="U1161" s="10" t="n">
        <f aca="false">IF($H1161="숙박",0,IF(ISNUMBER(SEARCH("야경",$J1161)),1,0))</f>
        <v>0</v>
      </c>
      <c r="V1161" s="10" t="n">
        <f aca="false">IF($H1161="숙박",0,1)</f>
        <v>1</v>
      </c>
    </row>
    <row r="1162" customFormat="false" ht="15" hidden="false" customHeight="false" outlineLevel="0" collapsed="false">
      <c r="A1162" s="8" t="n">
        <v>1161</v>
      </c>
      <c r="B1162" s="8" t="s">
        <v>45</v>
      </c>
      <c r="C1162" s="8" t="s">
        <v>966</v>
      </c>
      <c r="D1162" s="8" t="s">
        <v>3530</v>
      </c>
      <c r="E1162" s="7" t="s">
        <v>3531</v>
      </c>
      <c r="F1162" s="8"/>
      <c r="G1162" s="8" t="s">
        <v>190</v>
      </c>
      <c r="H1162" s="9" t="s">
        <v>190</v>
      </c>
      <c r="I1162" s="9"/>
      <c r="J1162" s="9"/>
      <c r="K1162" s="9" t="s">
        <v>191</v>
      </c>
      <c r="L1162" s="8"/>
      <c r="M1162" s="8"/>
      <c r="N1162" s="8"/>
      <c r="O1162" s="8" t="s">
        <v>3532</v>
      </c>
      <c r="P1162" s="10" t="n">
        <f aca="false">IF($H1162="숙박",0,IF($H1162=MID(P$1,3,20),IF($I1162="",1,0.6),IF($I1162=MID(P$1,3,20),0.4,0)))</f>
        <v>1</v>
      </c>
      <c r="Q1162" s="10" t="n">
        <f aca="false">IF($H1162="숙박",0,IF($H1162=MID(Q$1,3,20),IF($I1162="",1,0.6),IF($I1162=MID(Q$1,3,20),0.4,0)))</f>
        <v>0</v>
      </c>
      <c r="R1162" s="10" t="n">
        <f aca="false">IF($H1162="숙박",0,IF($H1162=MID(R$1,3,20),IF($I1162="",1,0.6),IF($I1162=MID(R$1,3,20),0.4,0)))</f>
        <v>0</v>
      </c>
      <c r="S1162" s="10" t="n">
        <f aca="false">IF($H1162="숙박",0,IF($H1162=MID(S$1,3,20),IF($I1162="",1,0.6),IF($I1162=MID(S$1,3,20),0.4,0)))</f>
        <v>0</v>
      </c>
      <c r="T1162" s="10" t="n">
        <f aca="false">IF($H1162="숙박",0,IF($H1162=MID(T$1,3,20),IF($I1162="",1,0.6),IF($I1162=MID(T$1,3,20),0.4,0)))</f>
        <v>0</v>
      </c>
      <c r="U1162" s="10" t="n">
        <f aca="false">IF($H1162="숙박",0,IF(ISNUMBER(SEARCH("야경",$J1162)),1,0))</f>
        <v>0</v>
      </c>
      <c r="V1162" s="10" t="n">
        <f aca="false">IF($H1162="숙박",0,1)</f>
        <v>1</v>
      </c>
    </row>
    <row r="1163" customFormat="false" ht="15" hidden="false" customHeight="false" outlineLevel="0" collapsed="false">
      <c r="A1163" s="8" t="n">
        <v>1162</v>
      </c>
      <c r="B1163" s="8" t="s">
        <v>45</v>
      </c>
      <c r="C1163" s="8"/>
      <c r="D1163" s="8" t="s">
        <v>3533</v>
      </c>
      <c r="E1163" s="7" t="s">
        <v>3534</v>
      </c>
      <c r="F1163" s="8"/>
      <c r="G1163" s="8"/>
      <c r="H1163" s="9" t="s">
        <v>594</v>
      </c>
      <c r="I1163" s="9"/>
      <c r="J1163" s="9"/>
      <c r="K1163" s="9"/>
      <c r="L1163" s="8"/>
      <c r="M1163" s="8"/>
      <c r="N1163" s="8" t="s">
        <v>595</v>
      </c>
      <c r="O1163" s="8"/>
      <c r="P1163" s="10" t="n">
        <f aca="false">IF($H1163="숙박",0,IF($H1163=MID(P$1,3,20),IF($I1163="",1,0.6),IF($I1163=MID(P$1,3,20),0.4,0)))</f>
        <v>0</v>
      </c>
      <c r="Q1163" s="10" t="n">
        <f aca="false">IF($H1163="숙박",0,IF($H1163=MID(Q$1,3,20),IF($I1163="",1,0.6),IF($I1163=MID(Q$1,3,20),0.4,0)))</f>
        <v>0</v>
      </c>
      <c r="R1163" s="10" t="n">
        <f aca="false">IF($H1163="숙박",0,IF($H1163=MID(R$1,3,20),IF($I1163="",1,0.6),IF($I1163=MID(R$1,3,20),0.4,0)))</f>
        <v>0</v>
      </c>
      <c r="S1163" s="10" t="n">
        <f aca="false">IF($H1163="숙박",0,IF($H1163=MID(S$1,3,20),IF($I1163="",1,0.6),IF($I1163=MID(S$1,3,20),0.4,0)))</f>
        <v>0</v>
      </c>
      <c r="T1163" s="10" t="n">
        <f aca="false">IF($H1163="숙박",0,IF($H1163=MID(T$1,3,20),IF($I1163="",1,0.6),IF($I1163=MID(T$1,3,20),0.4,0)))</f>
        <v>0</v>
      </c>
      <c r="U1163" s="10" t="n">
        <f aca="false">IF($H1163="숙박",0,IF(ISNUMBER(SEARCH("야경",$J1163)),1,0))</f>
        <v>0</v>
      </c>
      <c r="V1163" s="10" t="n">
        <f aca="false">IF($H1163="숙박",0,1)</f>
        <v>0</v>
      </c>
    </row>
    <row r="1164" customFormat="false" ht="15" hidden="false" customHeight="false" outlineLevel="0" collapsed="false">
      <c r="A1164" s="8" t="n">
        <v>1163</v>
      </c>
      <c r="B1164" s="8" t="s">
        <v>45</v>
      </c>
      <c r="C1164" s="8" t="s">
        <v>290</v>
      </c>
      <c r="D1164" s="8" t="s">
        <v>3535</v>
      </c>
      <c r="E1164" s="7" t="s">
        <v>3536</v>
      </c>
      <c r="F1164" s="8"/>
      <c r="G1164" s="8" t="s">
        <v>184</v>
      </c>
      <c r="H1164" s="9" t="s">
        <v>184</v>
      </c>
      <c r="I1164" s="9" t="s">
        <v>190</v>
      </c>
      <c r="J1164" s="9"/>
      <c r="K1164" s="9" t="s">
        <v>191</v>
      </c>
      <c r="L1164" s="8"/>
      <c r="M1164" s="8"/>
      <c r="N1164" s="8" t="s">
        <v>483</v>
      </c>
      <c r="O1164" s="8" t="s">
        <v>3537</v>
      </c>
      <c r="P1164" s="10" t="n">
        <f aca="false">IF($H1164="숙박",0,IF($H1164=MID(P$1,3,20),IF($I1164="",1,0.6),IF($I1164=MID(P$1,3,20),0.4,0)))</f>
        <v>0.4</v>
      </c>
      <c r="Q1164" s="10" t="n">
        <f aca="false">IF($H1164="숙박",0,IF($H1164=MID(Q$1,3,20),IF($I1164="",1,0.6),IF($I1164=MID(Q$1,3,20),0.4,0)))</f>
        <v>0</v>
      </c>
      <c r="R1164" s="10" t="n">
        <f aca="false">IF($H1164="숙박",0,IF($H1164=MID(R$1,3,20),IF($I1164="",1,0.6),IF($I1164=MID(R$1,3,20),0.4,0)))</f>
        <v>0.6</v>
      </c>
      <c r="S1164" s="10" t="n">
        <f aca="false">IF($H1164="숙박",0,IF($H1164=MID(S$1,3,20),IF($I1164="",1,0.6),IF($I1164=MID(S$1,3,20),0.4,0)))</f>
        <v>0</v>
      </c>
      <c r="T1164" s="10" t="n">
        <f aca="false">IF($H1164="숙박",0,IF($H1164=MID(T$1,3,20),IF($I1164="",1,0.6),IF($I1164=MID(T$1,3,20),0.4,0)))</f>
        <v>0</v>
      </c>
      <c r="U1164" s="10" t="n">
        <f aca="false">IF($H1164="숙박",0,IF(ISNUMBER(SEARCH("야경",$J1164)),1,0))</f>
        <v>0</v>
      </c>
      <c r="V1164" s="10" t="n">
        <f aca="false">IF($H1164="숙박",0,1)</f>
        <v>1</v>
      </c>
    </row>
    <row r="1165" customFormat="false" ht="15" hidden="false" customHeight="false" outlineLevel="0" collapsed="false">
      <c r="A1165" s="8" t="n">
        <v>1164</v>
      </c>
      <c r="B1165" s="8" t="s">
        <v>45</v>
      </c>
      <c r="C1165" s="8" t="s">
        <v>1917</v>
      </c>
      <c r="D1165" s="8" t="s">
        <v>3538</v>
      </c>
      <c r="E1165" s="7" t="s">
        <v>3539</v>
      </c>
      <c r="F1165" s="8"/>
      <c r="G1165" s="8" t="s">
        <v>184</v>
      </c>
      <c r="H1165" s="9" t="s">
        <v>184</v>
      </c>
      <c r="I1165" s="9"/>
      <c r="J1165" s="9" t="s">
        <v>1361</v>
      </c>
      <c r="K1165" s="9" t="s">
        <v>191</v>
      </c>
      <c r="L1165" s="8"/>
      <c r="M1165" s="8"/>
      <c r="N1165" s="8"/>
      <c r="O1165" s="8" t="s">
        <v>3540</v>
      </c>
      <c r="P1165" s="10" t="n">
        <f aca="false">IF($H1165="숙박",0,IF($H1165=MID(P$1,3,20),IF($I1165="",1,0.6),IF($I1165=MID(P$1,3,20),0.4,0)))</f>
        <v>0</v>
      </c>
      <c r="Q1165" s="10" t="n">
        <f aca="false">IF($H1165="숙박",0,IF($H1165=MID(Q$1,3,20),IF($I1165="",1,0.6),IF($I1165=MID(Q$1,3,20),0.4,0)))</f>
        <v>0</v>
      </c>
      <c r="R1165" s="10" t="n">
        <f aca="false">IF($H1165="숙박",0,IF($H1165=MID(R$1,3,20),IF($I1165="",1,0.6),IF($I1165=MID(R$1,3,20),0.4,0)))</f>
        <v>1</v>
      </c>
      <c r="S1165" s="10" t="n">
        <f aca="false">IF($H1165="숙박",0,IF($H1165=MID(S$1,3,20),IF($I1165="",1,0.6),IF($I1165=MID(S$1,3,20),0.4,0)))</f>
        <v>0</v>
      </c>
      <c r="T1165" s="10" t="n">
        <f aca="false">IF($H1165="숙박",0,IF($H1165=MID(T$1,3,20),IF($I1165="",1,0.6),IF($I1165=MID(T$1,3,20),0.4,0)))</f>
        <v>0</v>
      </c>
      <c r="U1165" s="10" t="n">
        <f aca="false">IF($H1165="숙박",0,IF(ISNUMBER(SEARCH("야경",$J1165)),1,0))</f>
        <v>0</v>
      </c>
      <c r="V1165" s="10" t="n">
        <f aca="false">IF($H1165="숙박",0,1)</f>
        <v>1</v>
      </c>
    </row>
    <row r="1166" customFormat="false" ht="15" hidden="false" customHeight="false" outlineLevel="0" collapsed="false">
      <c r="A1166" s="8" t="n">
        <v>1165</v>
      </c>
      <c r="B1166" s="8" t="s">
        <v>45</v>
      </c>
      <c r="C1166" s="8"/>
      <c r="D1166" s="8" t="s">
        <v>3541</v>
      </c>
      <c r="E1166" s="7" t="s">
        <v>3542</v>
      </c>
      <c r="F1166" s="8"/>
      <c r="G1166" s="8"/>
      <c r="H1166" s="9" t="s">
        <v>594</v>
      </c>
      <c r="I1166" s="9"/>
      <c r="J1166" s="9"/>
      <c r="K1166" s="9"/>
      <c r="L1166" s="8"/>
      <c r="M1166" s="8"/>
      <c r="N1166" s="8" t="s">
        <v>595</v>
      </c>
      <c r="O1166" s="8"/>
      <c r="P1166" s="10" t="n">
        <f aca="false">IF($H1166="숙박",0,IF($H1166=MID(P$1,3,20),IF($I1166="",1,0.6),IF($I1166=MID(P$1,3,20),0.4,0)))</f>
        <v>0</v>
      </c>
      <c r="Q1166" s="10" t="n">
        <f aca="false">IF($H1166="숙박",0,IF($H1166=MID(Q$1,3,20),IF($I1166="",1,0.6),IF($I1166=MID(Q$1,3,20),0.4,0)))</f>
        <v>0</v>
      </c>
      <c r="R1166" s="10" t="n">
        <f aca="false">IF($H1166="숙박",0,IF($H1166=MID(R$1,3,20),IF($I1166="",1,0.6),IF($I1166=MID(R$1,3,20),0.4,0)))</f>
        <v>0</v>
      </c>
      <c r="S1166" s="10" t="n">
        <f aca="false">IF($H1166="숙박",0,IF($H1166=MID(S$1,3,20),IF($I1166="",1,0.6),IF($I1166=MID(S$1,3,20),0.4,0)))</f>
        <v>0</v>
      </c>
      <c r="T1166" s="10" t="n">
        <f aca="false">IF($H1166="숙박",0,IF($H1166=MID(T$1,3,20),IF($I1166="",1,0.6),IF($I1166=MID(T$1,3,20),0.4,0)))</f>
        <v>0</v>
      </c>
      <c r="U1166" s="10" t="n">
        <f aca="false">IF($H1166="숙박",0,IF(ISNUMBER(SEARCH("야경",$J1166)),1,0))</f>
        <v>0</v>
      </c>
      <c r="V1166" s="10" t="n">
        <f aca="false">IF($H1166="숙박",0,1)</f>
        <v>0</v>
      </c>
    </row>
    <row r="1167" customFormat="false" ht="15" hidden="false" customHeight="false" outlineLevel="0" collapsed="false">
      <c r="A1167" s="8" t="n">
        <v>1166</v>
      </c>
      <c r="B1167" s="8" t="s">
        <v>45</v>
      </c>
      <c r="C1167" s="8" t="s">
        <v>1434</v>
      </c>
      <c r="D1167" s="8" t="s">
        <v>3543</v>
      </c>
      <c r="E1167" s="7" t="s">
        <v>3544</v>
      </c>
      <c r="F1167" s="8"/>
      <c r="G1167" s="8" t="s">
        <v>49</v>
      </c>
      <c r="H1167" s="9" t="s">
        <v>49</v>
      </c>
      <c r="I1167" s="9"/>
      <c r="J1167" s="9"/>
      <c r="K1167" s="9" t="s">
        <v>52</v>
      </c>
      <c r="L1167" s="8"/>
      <c r="M1167" s="8"/>
      <c r="N1167" s="8"/>
      <c r="O1167" s="8" t="s">
        <v>3545</v>
      </c>
      <c r="P1167" s="10" t="n">
        <f aca="false">IF($H1167="숙박",0,IF($H1167=MID(P$1,3,20),IF($I1167="",1,0.6),IF($I1167=MID(P$1,3,20),0.4,0)))</f>
        <v>0</v>
      </c>
      <c r="Q1167" s="10" t="n">
        <f aca="false">IF($H1167="숙박",0,IF($H1167=MID(Q$1,3,20),IF($I1167="",1,0.6),IF($I1167=MID(Q$1,3,20),0.4,0)))</f>
        <v>1</v>
      </c>
      <c r="R1167" s="10" t="n">
        <f aca="false">IF($H1167="숙박",0,IF($H1167=MID(R$1,3,20),IF($I1167="",1,0.6),IF($I1167=MID(R$1,3,20),0.4,0)))</f>
        <v>0</v>
      </c>
      <c r="S1167" s="10" t="n">
        <f aca="false">IF($H1167="숙박",0,IF($H1167=MID(S$1,3,20),IF($I1167="",1,0.6),IF($I1167=MID(S$1,3,20),0.4,0)))</f>
        <v>0</v>
      </c>
      <c r="T1167" s="10" t="n">
        <f aca="false">IF($H1167="숙박",0,IF($H1167=MID(T$1,3,20),IF($I1167="",1,0.6),IF($I1167=MID(T$1,3,20),0.4,0)))</f>
        <v>0</v>
      </c>
      <c r="U1167" s="10" t="n">
        <f aca="false">IF($H1167="숙박",0,IF(ISNUMBER(SEARCH("야경",$J1167)),1,0))</f>
        <v>0</v>
      </c>
      <c r="V1167" s="10" t="n">
        <f aca="false">IF($H1167="숙박",0,1)</f>
        <v>1</v>
      </c>
    </row>
    <row r="1168" customFormat="false" ht="15" hidden="false" customHeight="false" outlineLevel="0" collapsed="false">
      <c r="A1168" s="8" t="n">
        <v>1167</v>
      </c>
      <c r="B1168" s="8" t="s">
        <v>45</v>
      </c>
      <c r="C1168" s="8" t="s">
        <v>1899</v>
      </c>
      <c r="D1168" s="8" t="s">
        <v>3546</v>
      </c>
      <c r="E1168" s="7" t="s">
        <v>3547</v>
      </c>
      <c r="F1168" s="8"/>
      <c r="G1168" s="8" t="s">
        <v>190</v>
      </c>
      <c r="H1168" s="9" t="s">
        <v>190</v>
      </c>
      <c r="I1168" s="9"/>
      <c r="J1168" s="9"/>
      <c r="K1168" s="9" t="s">
        <v>191</v>
      </c>
      <c r="L1168" s="8"/>
      <c r="M1168" s="8"/>
      <c r="N1168" s="8"/>
      <c r="O1168" s="8" t="s">
        <v>3548</v>
      </c>
      <c r="P1168" s="10" t="n">
        <f aca="false">IF($H1168="숙박",0,IF($H1168=MID(P$1,3,20),IF($I1168="",1,0.6),IF($I1168=MID(P$1,3,20),0.4,0)))</f>
        <v>1</v>
      </c>
      <c r="Q1168" s="10" t="n">
        <f aca="false">IF($H1168="숙박",0,IF($H1168=MID(Q$1,3,20),IF($I1168="",1,0.6),IF($I1168=MID(Q$1,3,20),0.4,0)))</f>
        <v>0</v>
      </c>
      <c r="R1168" s="10" t="n">
        <f aca="false">IF($H1168="숙박",0,IF($H1168=MID(R$1,3,20),IF($I1168="",1,0.6),IF($I1168=MID(R$1,3,20),0.4,0)))</f>
        <v>0</v>
      </c>
      <c r="S1168" s="10" t="n">
        <f aca="false">IF($H1168="숙박",0,IF($H1168=MID(S$1,3,20),IF($I1168="",1,0.6),IF($I1168=MID(S$1,3,20),0.4,0)))</f>
        <v>0</v>
      </c>
      <c r="T1168" s="10" t="n">
        <f aca="false">IF($H1168="숙박",0,IF($H1168=MID(T$1,3,20),IF($I1168="",1,0.6),IF($I1168=MID(T$1,3,20),0.4,0)))</f>
        <v>0</v>
      </c>
      <c r="U1168" s="10" t="n">
        <f aca="false">IF($H1168="숙박",0,IF(ISNUMBER(SEARCH("야경",$J1168)),1,0))</f>
        <v>0</v>
      </c>
      <c r="V1168" s="10" t="n">
        <f aca="false">IF($H1168="숙박",0,1)</f>
        <v>1</v>
      </c>
    </row>
    <row r="1169" customFormat="false" ht="15" hidden="false" customHeight="false" outlineLevel="0" collapsed="false">
      <c r="A1169" s="8" t="n">
        <v>1168</v>
      </c>
      <c r="B1169" s="8" t="s">
        <v>45</v>
      </c>
      <c r="C1169" s="8" t="s">
        <v>369</v>
      </c>
      <c r="D1169" s="8" t="s">
        <v>3549</v>
      </c>
      <c r="E1169" s="7" t="s">
        <v>3550</v>
      </c>
      <c r="F1169" s="8"/>
      <c r="G1169" s="8" t="s">
        <v>49</v>
      </c>
      <c r="H1169" s="9" t="s">
        <v>49</v>
      </c>
      <c r="I1169" s="9"/>
      <c r="J1169" s="9"/>
      <c r="K1169" s="9" t="s">
        <v>52</v>
      </c>
      <c r="L1169" s="8"/>
      <c r="M1169" s="8"/>
      <c r="N1169" s="8"/>
      <c r="O1169" s="8" t="s">
        <v>3551</v>
      </c>
      <c r="P1169" s="10" t="n">
        <f aca="false">IF($H1169="숙박",0,IF($H1169=MID(P$1,3,20),IF($I1169="",1,0.6),IF($I1169=MID(P$1,3,20),0.4,0)))</f>
        <v>0</v>
      </c>
      <c r="Q1169" s="10" t="n">
        <f aca="false">IF($H1169="숙박",0,IF($H1169=MID(Q$1,3,20),IF($I1169="",1,0.6),IF($I1169=MID(Q$1,3,20),0.4,0)))</f>
        <v>1</v>
      </c>
      <c r="R1169" s="10" t="n">
        <f aca="false">IF($H1169="숙박",0,IF($H1169=MID(R$1,3,20),IF($I1169="",1,0.6),IF($I1169=MID(R$1,3,20),0.4,0)))</f>
        <v>0</v>
      </c>
      <c r="S1169" s="10" t="n">
        <f aca="false">IF($H1169="숙박",0,IF($H1169=MID(S$1,3,20),IF($I1169="",1,0.6),IF($I1169=MID(S$1,3,20),0.4,0)))</f>
        <v>0</v>
      </c>
      <c r="T1169" s="10" t="n">
        <f aca="false">IF($H1169="숙박",0,IF($H1169=MID(T$1,3,20),IF($I1169="",1,0.6),IF($I1169=MID(T$1,3,20),0.4,0)))</f>
        <v>0</v>
      </c>
      <c r="U1169" s="10" t="n">
        <f aca="false">IF($H1169="숙박",0,IF(ISNUMBER(SEARCH("야경",$J1169)),1,0))</f>
        <v>0</v>
      </c>
      <c r="V1169" s="10" t="n">
        <f aca="false">IF($H1169="숙박",0,1)</f>
        <v>1</v>
      </c>
    </row>
    <row r="1170" customFormat="false" ht="15" hidden="false" customHeight="false" outlineLevel="0" collapsed="false">
      <c r="A1170" s="8" t="n">
        <v>1169</v>
      </c>
      <c r="B1170" s="8" t="s">
        <v>45</v>
      </c>
      <c r="C1170" s="8"/>
      <c r="D1170" s="8" t="s">
        <v>3552</v>
      </c>
      <c r="E1170" s="7" t="s">
        <v>3553</v>
      </c>
      <c r="F1170" s="8"/>
      <c r="G1170" s="8"/>
      <c r="H1170" s="9" t="s">
        <v>594</v>
      </c>
      <c r="I1170" s="9"/>
      <c r="J1170" s="9"/>
      <c r="K1170" s="9"/>
      <c r="L1170" s="8"/>
      <c r="M1170" s="8"/>
      <c r="N1170" s="8" t="s">
        <v>595</v>
      </c>
      <c r="O1170" s="8"/>
      <c r="P1170" s="10" t="n">
        <f aca="false">IF($H1170="숙박",0,IF($H1170=MID(P$1,3,20),IF($I1170="",1,0.6),IF($I1170=MID(P$1,3,20),0.4,0)))</f>
        <v>0</v>
      </c>
      <c r="Q1170" s="10" t="n">
        <f aca="false">IF($H1170="숙박",0,IF($H1170=MID(Q$1,3,20),IF($I1170="",1,0.6),IF($I1170=MID(Q$1,3,20),0.4,0)))</f>
        <v>0</v>
      </c>
      <c r="R1170" s="10" t="n">
        <f aca="false">IF($H1170="숙박",0,IF($H1170=MID(R$1,3,20),IF($I1170="",1,0.6),IF($I1170=MID(R$1,3,20),0.4,0)))</f>
        <v>0</v>
      </c>
      <c r="S1170" s="10" t="n">
        <f aca="false">IF($H1170="숙박",0,IF($H1170=MID(S$1,3,20),IF($I1170="",1,0.6),IF($I1170=MID(S$1,3,20),0.4,0)))</f>
        <v>0</v>
      </c>
      <c r="T1170" s="10" t="n">
        <f aca="false">IF($H1170="숙박",0,IF($H1170=MID(T$1,3,20),IF($I1170="",1,0.6),IF($I1170=MID(T$1,3,20),0.4,0)))</f>
        <v>0</v>
      </c>
      <c r="U1170" s="10" t="n">
        <f aca="false">IF($H1170="숙박",0,IF(ISNUMBER(SEARCH("야경",$J1170)),1,0))</f>
        <v>0</v>
      </c>
      <c r="V1170" s="10" t="n">
        <f aca="false">IF($H1170="숙박",0,1)</f>
        <v>0</v>
      </c>
    </row>
    <row r="1171" customFormat="false" ht="15" hidden="false" customHeight="false" outlineLevel="0" collapsed="false">
      <c r="A1171" s="8" t="n">
        <v>1170</v>
      </c>
      <c r="B1171" s="8" t="s">
        <v>45</v>
      </c>
      <c r="C1171" s="8" t="s">
        <v>369</v>
      </c>
      <c r="D1171" s="8" t="s">
        <v>3554</v>
      </c>
      <c r="E1171" s="7" t="s">
        <v>3555</v>
      </c>
      <c r="F1171" s="8"/>
      <c r="G1171" s="8" t="s">
        <v>190</v>
      </c>
      <c r="H1171" s="9" t="s">
        <v>190</v>
      </c>
      <c r="I1171" s="9"/>
      <c r="J1171" s="9"/>
      <c r="K1171" s="9" t="s">
        <v>191</v>
      </c>
      <c r="L1171" s="8"/>
      <c r="M1171" s="8"/>
      <c r="N1171" s="8"/>
      <c r="O1171" s="8" t="s">
        <v>3556</v>
      </c>
      <c r="P1171" s="10" t="n">
        <f aca="false">IF($H1171="숙박",0,IF($H1171=MID(P$1,3,20),IF($I1171="",1,0.6),IF($I1171=MID(P$1,3,20),0.4,0)))</f>
        <v>1</v>
      </c>
      <c r="Q1171" s="10" t="n">
        <f aca="false">IF($H1171="숙박",0,IF($H1171=MID(Q$1,3,20),IF($I1171="",1,0.6),IF($I1171=MID(Q$1,3,20),0.4,0)))</f>
        <v>0</v>
      </c>
      <c r="R1171" s="10" t="n">
        <f aca="false">IF($H1171="숙박",0,IF($H1171=MID(R$1,3,20),IF($I1171="",1,0.6),IF($I1171=MID(R$1,3,20),0.4,0)))</f>
        <v>0</v>
      </c>
      <c r="S1171" s="10" t="n">
        <f aca="false">IF($H1171="숙박",0,IF($H1171=MID(S$1,3,20),IF($I1171="",1,0.6),IF($I1171=MID(S$1,3,20),0.4,0)))</f>
        <v>0</v>
      </c>
      <c r="T1171" s="10" t="n">
        <f aca="false">IF($H1171="숙박",0,IF($H1171=MID(T$1,3,20),IF($I1171="",1,0.6),IF($I1171=MID(T$1,3,20),0.4,0)))</f>
        <v>0</v>
      </c>
      <c r="U1171" s="10" t="n">
        <f aca="false">IF($H1171="숙박",0,IF(ISNUMBER(SEARCH("야경",$J1171)),1,0))</f>
        <v>0</v>
      </c>
      <c r="V1171" s="10" t="n">
        <f aca="false">IF($H1171="숙박",0,1)</f>
        <v>1</v>
      </c>
    </row>
    <row r="1172" customFormat="false" ht="15" hidden="false" customHeight="false" outlineLevel="0" collapsed="false">
      <c r="A1172" s="8" t="n">
        <v>1171</v>
      </c>
      <c r="B1172" s="8" t="s">
        <v>45</v>
      </c>
      <c r="C1172" s="8" t="s">
        <v>2177</v>
      </c>
      <c r="D1172" s="8" t="s">
        <v>3557</v>
      </c>
      <c r="E1172" s="7" t="s">
        <v>3558</v>
      </c>
      <c r="F1172" s="8"/>
      <c r="G1172" s="8" t="s">
        <v>190</v>
      </c>
      <c r="H1172" s="9" t="s">
        <v>190</v>
      </c>
      <c r="I1172" s="9"/>
      <c r="J1172" s="9"/>
      <c r="K1172" s="9" t="s">
        <v>191</v>
      </c>
      <c r="L1172" s="8"/>
      <c r="M1172" s="8"/>
      <c r="N1172" s="8"/>
      <c r="O1172" s="8" t="s">
        <v>3559</v>
      </c>
      <c r="P1172" s="10" t="n">
        <f aca="false">IF($H1172="숙박",0,IF($H1172=MID(P$1,3,20),IF($I1172="",1,0.6),IF($I1172=MID(P$1,3,20),0.4,0)))</f>
        <v>1</v>
      </c>
      <c r="Q1172" s="10" t="n">
        <f aca="false">IF($H1172="숙박",0,IF($H1172=MID(Q$1,3,20),IF($I1172="",1,0.6),IF($I1172=MID(Q$1,3,20),0.4,0)))</f>
        <v>0</v>
      </c>
      <c r="R1172" s="10" t="n">
        <f aca="false">IF($H1172="숙박",0,IF($H1172=MID(R$1,3,20),IF($I1172="",1,0.6),IF($I1172=MID(R$1,3,20),0.4,0)))</f>
        <v>0</v>
      </c>
      <c r="S1172" s="10" t="n">
        <f aca="false">IF($H1172="숙박",0,IF($H1172=MID(S$1,3,20),IF($I1172="",1,0.6),IF($I1172=MID(S$1,3,20),0.4,0)))</f>
        <v>0</v>
      </c>
      <c r="T1172" s="10" t="n">
        <f aca="false">IF($H1172="숙박",0,IF($H1172=MID(T$1,3,20),IF($I1172="",1,0.6),IF($I1172=MID(T$1,3,20),0.4,0)))</f>
        <v>0</v>
      </c>
      <c r="U1172" s="10" t="n">
        <f aca="false">IF($H1172="숙박",0,IF(ISNUMBER(SEARCH("야경",$J1172)),1,0))</f>
        <v>0</v>
      </c>
      <c r="V1172" s="10" t="n">
        <f aca="false">IF($H1172="숙박",0,1)</f>
        <v>1</v>
      </c>
    </row>
    <row r="1173" customFormat="false" ht="15" hidden="false" customHeight="false" outlineLevel="0" collapsed="false">
      <c r="A1173" s="8" t="n">
        <v>1172</v>
      </c>
      <c r="B1173" s="8" t="s">
        <v>45</v>
      </c>
      <c r="C1173" s="8"/>
      <c r="D1173" s="8" t="s">
        <v>3560</v>
      </c>
      <c r="E1173" s="7" t="s">
        <v>3561</v>
      </c>
      <c r="F1173" s="8"/>
      <c r="G1173" s="8"/>
      <c r="H1173" s="9" t="s">
        <v>594</v>
      </c>
      <c r="I1173" s="9"/>
      <c r="J1173" s="9"/>
      <c r="K1173" s="9"/>
      <c r="L1173" s="8"/>
      <c r="M1173" s="8"/>
      <c r="N1173" s="8" t="s">
        <v>595</v>
      </c>
      <c r="O1173" s="8"/>
      <c r="P1173" s="10" t="n">
        <f aca="false">IF($H1173="숙박",0,IF($H1173=MID(P$1,3,20),IF($I1173="",1,0.6),IF($I1173=MID(P$1,3,20),0.4,0)))</f>
        <v>0</v>
      </c>
      <c r="Q1173" s="10" t="n">
        <f aca="false">IF($H1173="숙박",0,IF($H1173=MID(Q$1,3,20),IF($I1173="",1,0.6),IF($I1173=MID(Q$1,3,20),0.4,0)))</f>
        <v>0</v>
      </c>
      <c r="R1173" s="10" t="n">
        <f aca="false">IF($H1173="숙박",0,IF($H1173=MID(R$1,3,20),IF($I1173="",1,0.6),IF($I1173=MID(R$1,3,20),0.4,0)))</f>
        <v>0</v>
      </c>
      <c r="S1173" s="10" t="n">
        <f aca="false">IF($H1173="숙박",0,IF($H1173=MID(S$1,3,20),IF($I1173="",1,0.6),IF($I1173=MID(S$1,3,20),0.4,0)))</f>
        <v>0</v>
      </c>
      <c r="T1173" s="10" t="n">
        <f aca="false">IF($H1173="숙박",0,IF($H1173=MID(T$1,3,20),IF($I1173="",1,0.6),IF($I1173=MID(T$1,3,20),0.4,0)))</f>
        <v>0</v>
      </c>
      <c r="U1173" s="10" t="n">
        <f aca="false">IF($H1173="숙박",0,IF(ISNUMBER(SEARCH("야경",$J1173)),1,0))</f>
        <v>0</v>
      </c>
      <c r="V1173" s="10" t="n">
        <f aca="false">IF($H1173="숙박",0,1)</f>
        <v>0</v>
      </c>
    </row>
    <row r="1174" customFormat="false" ht="15" hidden="false" customHeight="false" outlineLevel="0" collapsed="false">
      <c r="A1174" s="8" t="n">
        <v>1173</v>
      </c>
      <c r="B1174" s="8" t="s">
        <v>45</v>
      </c>
      <c r="C1174" s="8" t="s">
        <v>2177</v>
      </c>
      <c r="D1174" s="8" t="s">
        <v>3562</v>
      </c>
      <c r="E1174" s="7" t="s">
        <v>3563</v>
      </c>
      <c r="F1174" s="8"/>
      <c r="G1174" s="8" t="s">
        <v>184</v>
      </c>
      <c r="H1174" s="9" t="s">
        <v>184</v>
      </c>
      <c r="I1174" s="9" t="s">
        <v>49</v>
      </c>
      <c r="J1174" s="9"/>
      <c r="K1174" s="9" t="s">
        <v>52</v>
      </c>
      <c r="L1174" s="8"/>
      <c r="M1174" s="8"/>
      <c r="N1174" s="8" t="s">
        <v>483</v>
      </c>
      <c r="O1174" s="8" t="s">
        <v>3564</v>
      </c>
      <c r="P1174" s="10" t="n">
        <f aca="false">IF($H1174="숙박",0,IF($H1174=MID(P$1,3,20),IF($I1174="",1,0.6),IF($I1174=MID(P$1,3,20),0.4,0)))</f>
        <v>0</v>
      </c>
      <c r="Q1174" s="10" t="n">
        <f aca="false">IF($H1174="숙박",0,IF($H1174=MID(Q$1,3,20),IF($I1174="",1,0.6),IF($I1174=MID(Q$1,3,20),0.4,0)))</f>
        <v>0.4</v>
      </c>
      <c r="R1174" s="10" t="n">
        <f aca="false">IF($H1174="숙박",0,IF($H1174=MID(R$1,3,20),IF($I1174="",1,0.6),IF($I1174=MID(R$1,3,20),0.4,0)))</f>
        <v>0.6</v>
      </c>
      <c r="S1174" s="10" t="n">
        <f aca="false">IF($H1174="숙박",0,IF($H1174=MID(S$1,3,20),IF($I1174="",1,0.6),IF($I1174=MID(S$1,3,20),0.4,0)))</f>
        <v>0</v>
      </c>
      <c r="T1174" s="10" t="n">
        <f aca="false">IF($H1174="숙박",0,IF($H1174=MID(T$1,3,20),IF($I1174="",1,0.6),IF($I1174=MID(T$1,3,20),0.4,0)))</f>
        <v>0</v>
      </c>
      <c r="U1174" s="10" t="n">
        <f aca="false">IF($H1174="숙박",0,IF(ISNUMBER(SEARCH("야경",$J1174)),1,0))</f>
        <v>0</v>
      </c>
      <c r="V1174" s="10" t="n">
        <f aca="false">IF($H1174="숙박",0,1)</f>
        <v>1</v>
      </c>
    </row>
    <row r="1175" customFormat="false" ht="15" hidden="false" customHeight="false" outlineLevel="0" collapsed="false">
      <c r="A1175" s="8" t="n">
        <v>1174</v>
      </c>
      <c r="B1175" s="8" t="s">
        <v>45</v>
      </c>
      <c r="C1175" s="8" t="s">
        <v>1434</v>
      </c>
      <c r="D1175" s="8" t="s">
        <v>3565</v>
      </c>
      <c r="E1175" s="7" t="s">
        <v>3566</v>
      </c>
      <c r="F1175" s="8"/>
      <c r="G1175" s="8" t="s">
        <v>184</v>
      </c>
      <c r="H1175" s="9" t="s">
        <v>184</v>
      </c>
      <c r="I1175" s="9" t="s">
        <v>49</v>
      </c>
      <c r="J1175" s="9"/>
      <c r="K1175" s="9" t="s">
        <v>52</v>
      </c>
      <c r="L1175" s="8"/>
      <c r="M1175" s="8"/>
      <c r="N1175" s="8" t="s">
        <v>483</v>
      </c>
      <c r="O1175" s="8" t="s">
        <v>3567</v>
      </c>
      <c r="P1175" s="10" t="n">
        <f aca="false">IF($H1175="숙박",0,IF($H1175=MID(P$1,3,20),IF($I1175="",1,0.6),IF($I1175=MID(P$1,3,20),0.4,0)))</f>
        <v>0</v>
      </c>
      <c r="Q1175" s="10" t="n">
        <f aca="false">IF($H1175="숙박",0,IF($H1175=MID(Q$1,3,20),IF($I1175="",1,0.6),IF($I1175=MID(Q$1,3,20),0.4,0)))</f>
        <v>0.4</v>
      </c>
      <c r="R1175" s="10" t="n">
        <f aca="false">IF($H1175="숙박",0,IF($H1175=MID(R$1,3,20),IF($I1175="",1,0.6),IF($I1175=MID(R$1,3,20),0.4,0)))</f>
        <v>0.6</v>
      </c>
      <c r="S1175" s="10" t="n">
        <f aca="false">IF($H1175="숙박",0,IF($H1175=MID(S$1,3,20),IF($I1175="",1,0.6),IF($I1175=MID(S$1,3,20),0.4,0)))</f>
        <v>0</v>
      </c>
      <c r="T1175" s="10" t="n">
        <f aca="false">IF($H1175="숙박",0,IF($H1175=MID(T$1,3,20),IF($I1175="",1,0.6),IF($I1175=MID(T$1,3,20),0.4,0)))</f>
        <v>0</v>
      </c>
      <c r="U1175" s="10" t="n">
        <f aca="false">IF($H1175="숙박",0,IF(ISNUMBER(SEARCH("야경",$J1175)),1,0))</f>
        <v>0</v>
      </c>
      <c r="V1175" s="10" t="n">
        <f aca="false">IF($H1175="숙박",0,1)</f>
        <v>1</v>
      </c>
    </row>
    <row r="1176" customFormat="false" ht="15" hidden="false" customHeight="false" outlineLevel="0" collapsed="false">
      <c r="A1176" s="8" t="n">
        <v>1175</v>
      </c>
      <c r="B1176" s="8" t="s">
        <v>45</v>
      </c>
      <c r="C1176" s="8" t="s">
        <v>178</v>
      </c>
      <c r="D1176" s="8" t="s">
        <v>3568</v>
      </c>
      <c r="E1176" s="7" t="s">
        <v>3569</v>
      </c>
      <c r="F1176" s="8"/>
      <c r="G1176" s="8" t="s">
        <v>190</v>
      </c>
      <c r="H1176" s="9" t="s">
        <v>190</v>
      </c>
      <c r="I1176" s="9"/>
      <c r="J1176" s="9"/>
      <c r="K1176" s="9" t="s">
        <v>191</v>
      </c>
      <c r="L1176" s="8"/>
      <c r="M1176" s="8"/>
      <c r="N1176" s="8"/>
      <c r="O1176" s="7" t="s">
        <v>3570</v>
      </c>
      <c r="P1176" s="10" t="n">
        <f aca="false">IF($H1176="숙박",0,IF($H1176=MID(P$1,3,20),IF($I1176="",1,0.6),IF($I1176=MID(P$1,3,20),0.4,0)))</f>
        <v>1</v>
      </c>
      <c r="Q1176" s="10" t="n">
        <f aca="false">IF($H1176="숙박",0,IF($H1176=MID(Q$1,3,20),IF($I1176="",1,0.6),IF($I1176=MID(Q$1,3,20),0.4,0)))</f>
        <v>0</v>
      </c>
      <c r="R1176" s="10" t="n">
        <f aca="false">IF($H1176="숙박",0,IF($H1176=MID(R$1,3,20),IF($I1176="",1,0.6),IF($I1176=MID(R$1,3,20),0.4,0)))</f>
        <v>0</v>
      </c>
      <c r="S1176" s="10" t="n">
        <f aca="false">IF($H1176="숙박",0,IF($H1176=MID(S$1,3,20),IF($I1176="",1,0.6),IF($I1176=MID(S$1,3,20),0.4,0)))</f>
        <v>0</v>
      </c>
      <c r="T1176" s="10" t="n">
        <f aca="false">IF($H1176="숙박",0,IF($H1176=MID(T$1,3,20),IF($I1176="",1,0.6),IF($I1176=MID(T$1,3,20),0.4,0)))</f>
        <v>0</v>
      </c>
      <c r="U1176" s="10" t="n">
        <f aca="false">IF($H1176="숙박",0,IF(ISNUMBER(SEARCH("야경",$J1176)),1,0))</f>
        <v>0</v>
      </c>
      <c r="V1176" s="10" t="n">
        <f aca="false">IF($H1176="숙박",0,1)</f>
        <v>1</v>
      </c>
    </row>
    <row r="1177" customFormat="false" ht="15" hidden="false" customHeight="false" outlineLevel="0" collapsed="false">
      <c r="A1177" s="8" t="n">
        <v>1176</v>
      </c>
      <c r="B1177" s="8" t="s">
        <v>45</v>
      </c>
      <c r="C1177" s="8" t="s">
        <v>411</v>
      </c>
      <c r="D1177" s="8" t="s">
        <v>3571</v>
      </c>
      <c r="E1177" s="7" t="s">
        <v>3572</v>
      </c>
      <c r="F1177" s="8"/>
      <c r="G1177" s="8" t="s">
        <v>184</v>
      </c>
      <c r="H1177" s="9" t="s">
        <v>184</v>
      </c>
      <c r="I1177" s="9"/>
      <c r="J1177" s="9" t="s">
        <v>1361</v>
      </c>
      <c r="K1177" s="9" t="s">
        <v>191</v>
      </c>
      <c r="L1177" s="8"/>
      <c r="M1177" s="8"/>
      <c r="N1177" s="8"/>
      <c r="O1177" s="8" t="s">
        <v>3573</v>
      </c>
      <c r="P1177" s="10" t="n">
        <f aca="false">IF($H1177="숙박",0,IF($H1177=MID(P$1,3,20),IF($I1177="",1,0.6),IF($I1177=MID(P$1,3,20),0.4,0)))</f>
        <v>0</v>
      </c>
      <c r="Q1177" s="10" t="n">
        <f aca="false">IF($H1177="숙박",0,IF($H1177=MID(Q$1,3,20),IF($I1177="",1,0.6),IF($I1177=MID(Q$1,3,20),0.4,0)))</f>
        <v>0</v>
      </c>
      <c r="R1177" s="10" t="n">
        <f aca="false">IF($H1177="숙박",0,IF($H1177=MID(R$1,3,20),IF($I1177="",1,0.6),IF($I1177=MID(R$1,3,20),0.4,0)))</f>
        <v>1</v>
      </c>
      <c r="S1177" s="10" t="n">
        <f aca="false">IF($H1177="숙박",0,IF($H1177=MID(S$1,3,20),IF($I1177="",1,0.6),IF($I1177=MID(S$1,3,20),0.4,0)))</f>
        <v>0</v>
      </c>
      <c r="T1177" s="10" t="n">
        <f aca="false">IF($H1177="숙박",0,IF($H1177=MID(T$1,3,20),IF($I1177="",1,0.6),IF($I1177=MID(T$1,3,20),0.4,0)))</f>
        <v>0</v>
      </c>
      <c r="U1177" s="10" t="n">
        <f aca="false">IF($H1177="숙박",0,IF(ISNUMBER(SEARCH("야경",$J1177)),1,0))</f>
        <v>0</v>
      </c>
      <c r="V1177" s="10" t="n">
        <f aca="false">IF($H1177="숙박",0,1)</f>
        <v>1</v>
      </c>
    </row>
    <row r="1178" customFormat="false" ht="15" hidden="false" customHeight="false" outlineLevel="0" collapsed="false">
      <c r="A1178" s="8" t="n">
        <v>1177</v>
      </c>
      <c r="B1178" s="8" t="s">
        <v>45</v>
      </c>
      <c r="C1178" s="8" t="s">
        <v>369</v>
      </c>
      <c r="D1178" s="8" t="s">
        <v>3574</v>
      </c>
      <c r="E1178" s="7" t="s">
        <v>3575</v>
      </c>
      <c r="F1178" s="8"/>
      <c r="G1178" s="8" t="s">
        <v>49</v>
      </c>
      <c r="H1178" s="9" t="s">
        <v>49</v>
      </c>
      <c r="I1178" s="9"/>
      <c r="J1178" s="9"/>
      <c r="K1178" s="9" t="s">
        <v>52</v>
      </c>
      <c r="L1178" s="8"/>
      <c r="M1178" s="8"/>
      <c r="N1178" s="8"/>
      <c r="O1178" s="8" t="s">
        <v>3576</v>
      </c>
      <c r="P1178" s="10" t="n">
        <f aca="false">IF($H1178="숙박",0,IF($H1178=MID(P$1,3,20),IF($I1178="",1,0.6),IF($I1178=MID(P$1,3,20),0.4,0)))</f>
        <v>0</v>
      </c>
      <c r="Q1178" s="10" t="n">
        <f aca="false">IF($H1178="숙박",0,IF($H1178=MID(Q$1,3,20),IF($I1178="",1,0.6),IF($I1178=MID(Q$1,3,20),0.4,0)))</f>
        <v>1</v>
      </c>
      <c r="R1178" s="10" t="n">
        <f aca="false">IF($H1178="숙박",0,IF($H1178=MID(R$1,3,20),IF($I1178="",1,0.6),IF($I1178=MID(R$1,3,20),0.4,0)))</f>
        <v>0</v>
      </c>
      <c r="S1178" s="10" t="n">
        <f aca="false">IF($H1178="숙박",0,IF($H1178=MID(S$1,3,20),IF($I1178="",1,0.6),IF($I1178=MID(S$1,3,20),0.4,0)))</f>
        <v>0</v>
      </c>
      <c r="T1178" s="10" t="n">
        <f aca="false">IF($H1178="숙박",0,IF($H1178=MID(T$1,3,20),IF($I1178="",1,0.6),IF($I1178=MID(T$1,3,20),0.4,0)))</f>
        <v>0</v>
      </c>
      <c r="U1178" s="10" t="n">
        <f aca="false">IF($H1178="숙박",0,IF(ISNUMBER(SEARCH("야경",$J1178)),1,0))</f>
        <v>0</v>
      </c>
      <c r="V1178" s="10" t="n">
        <f aca="false">IF($H1178="숙박",0,1)</f>
        <v>1</v>
      </c>
    </row>
    <row r="1179" customFormat="false" ht="15" hidden="false" customHeight="false" outlineLevel="0" collapsed="false">
      <c r="A1179" s="8" t="n">
        <v>1178</v>
      </c>
      <c r="B1179" s="8" t="s">
        <v>45</v>
      </c>
      <c r="C1179" s="8" t="s">
        <v>1367</v>
      </c>
      <c r="D1179" s="8" t="s">
        <v>3577</v>
      </c>
      <c r="E1179" s="7" t="s">
        <v>3578</v>
      </c>
      <c r="F1179" s="8"/>
      <c r="G1179" s="8" t="s">
        <v>216</v>
      </c>
      <c r="H1179" s="9" t="s">
        <v>216</v>
      </c>
      <c r="I1179" s="9" t="s">
        <v>190</v>
      </c>
      <c r="J1179" s="9" t="s">
        <v>43</v>
      </c>
      <c r="K1179" s="9" t="s">
        <v>52</v>
      </c>
      <c r="L1179" s="8"/>
      <c r="M1179" s="8"/>
      <c r="N1179" s="8" t="s">
        <v>483</v>
      </c>
      <c r="O1179" s="8" t="s">
        <v>3579</v>
      </c>
      <c r="P1179" s="10" t="n">
        <f aca="false">IF($H1179="숙박",0,IF($H1179=MID(P$1,3,20),IF($I1179="",1,0.6),IF($I1179=MID(P$1,3,20),0.4,0)))</f>
        <v>0.4</v>
      </c>
      <c r="Q1179" s="10" t="n">
        <f aca="false">IF($H1179="숙박",0,IF($H1179=MID(Q$1,3,20),IF($I1179="",1,0.6),IF($I1179=MID(Q$1,3,20),0.4,0)))</f>
        <v>0</v>
      </c>
      <c r="R1179" s="10" t="n">
        <f aca="false">IF($H1179="숙박",0,IF($H1179=MID(R$1,3,20),IF($I1179="",1,0.6),IF($I1179=MID(R$1,3,20),0.4,0)))</f>
        <v>0</v>
      </c>
      <c r="S1179" s="10" t="n">
        <f aca="false">IF($H1179="숙박",0,IF($H1179=MID(S$1,3,20),IF($I1179="",1,0.6),IF($I1179=MID(S$1,3,20),0.4,0)))</f>
        <v>0.6</v>
      </c>
      <c r="T1179" s="10" t="n">
        <f aca="false">IF($H1179="숙박",0,IF($H1179=MID(T$1,3,20),IF($I1179="",1,0.6),IF($I1179=MID(T$1,3,20),0.4,0)))</f>
        <v>0</v>
      </c>
      <c r="U1179" s="10" t="n">
        <f aca="false">IF($H1179="숙박",0,IF(ISNUMBER(SEARCH("야경",$J1179)),1,0))</f>
        <v>1</v>
      </c>
      <c r="V1179" s="10" t="n">
        <f aca="false">IF($H1179="숙박",0,1)</f>
        <v>1</v>
      </c>
    </row>
    <row r="1180" customFormat="false" ht="15" hidden="false" customHeight="false" outlineLevel="0" collapsed="false">
      <c r="A1180" s="8" t="n">
        <v>1179</v>
      </c>
      <c r="B1180" s="8" t="s">
        <v>45</v>
      </c>
      <c r="C1180" s="8" t="s">
        <v>1367</v>
      </c>
      <c r="D1180" s="8" t="s">
        <v>3580</v>
      </c>
      <c r="E1180" s="7" t="s">
        <v>3581</v>
      </c>
      <c r="F1180" s="8"/>
      <c r="G1180" s="8" t="s">
        <v>216</v>
      </c>
      <c r="H1180" s="9" t="s">
        <v>216</v>
      </c>
      <c r="I1180" s="9"/>
      <c r="J1180" s="9"/>
      <c r="K1180" s="9" t="s">
        <v>191</v>
      </c>
      <c r="L1180" s="8"/>
      <c r="M1180" s="8"/>
      <c r="N1180" s="8"/>
      <c r="O1180" s="8" t="s">
        <v>3582</v>
      </c>
      <c r="P1180" s="10" t="n">
        <f aca="false">IF($H1180="숙박",0,IF($H1180=MID(P$1,3,20),IF($I1180="",1,0.6),IF($I1180=MID(P$1,3,20),0.4,0)))</f>
        <v>0</v>
      </c>
      <c r="Q1180" s="10" t="n">
        <f aca="false">IF($H1180="숙박",0,IF($H1180=MID(Q$1,3,20),IF($I1180="",1,0.6),IF($I1180=MID(Q$1,3,20),0.4,0)))</f>
        <v>0</v>
      </c>
      <c r="R1180" s="10" t="n">
        <f aca="false">IF($H1180="숙박",0,IF($H1180=MID(R$1,3,20),IF($I1180="",1,0.6),IF($I1180=MID(R$1,3,20),0.4,0)))</f>
        <v>0</v>
      </c>
      <c r="S1180" s="10" t="n">
        <f aca="false">IF($H1180="숙박",0,IF($H1180=MID(S$1,3,20),IF($I1180="",1,0.6),IF($I1180=MID(S$1,3,20),0.4,0)))</f>
        <v>1</v>
      </c>
      <c r="T1180" s="10" t="n">
        <f aca="false">IF($H1180="숙박",0,IF($H1180=MID(T$1,3,20),IF($I1180="",1,0.6),IF($I1180=MID(T$1,3,20),0.4,0)))</f>
        <v>0</v>
      </c>
      <c r="U1180" s="10" t="n">
        <f aca="false">IF($H1180="숙박",0,IF(ISNUMBER(SEARCH("야경",$J1180)),1,0))</f>
        <v>0</v>
      </c>
      <c r="V1180" s="10" t="n">
        <f aca="false">IF($H1180="숙박",0,1)</f>
        <v>1</v>
      </c>
    </row>
    <row r="1181" customFormat="false" ht="15" hidden="false" customHeight="false" outlineLevel="0" collapsed="false">
      <c r="A1181" s="8" t="n">
        <v>1180</v>
      </c>
      <c r="B1181" s="8" t="s">
        <v>45</v>
      </c>
      <c r="C1181" s="8" t="s">
        <v>1636</v>
      </c>
      <c r="D1181" s="8" t="s">
        <v>3583</v>
      </c>
      <c r="E1181" s="7" t="s">
        <v>3584</v>
      </c>
      <c r="F1181" s="8"/>
      <c r="G1181" s="8" t="s">
        <v>190</v>
      </c>
      <c r="H1181" s="9" t="s">
        <v>190</v>
      </c>
      <c r="I1181" s="9"/>
      <c r="J1181" s="9"/>
      <c r="K1181" s="9" t="s">
        <v>191</v>
      </c>
      <c r="L1181" s="8"/>
      <c r="M1181" s="8"/>
      <c r="N1181" s="8"/>
      <c r="O1181" s="8" t="s">
        <v>3585</v>
      </c>
      <c r="P1181" s="10" t="n">
        <f aca="false">IF($H1181="숙박",0,IF($H1181=MID(P$1,3,20),IF($I1181="",1,0.6),IF($I1181=MID(P$1,3,20),0.4,0)))</f>
        <v>1</v>
      </c>
      <c r="Q1181" s="10" t="n">
        <f aca="false">IF($H1181="숙박",0,IF($H1181=MID(Q$1,3,20),IF($I1181="",1,0.6),IF($I1181=MID(Q$1,3,20),0.4,0)))</f>
        <v>0</v>
      </c>
      <c r="R1181" s="10" t="n">
        <f aca="false">IF($H1181="숙박",0,IF($H1181=MID(R$1,3,20),IF($I1181="",1,0.6),IF($I1181=MID(R$1,3,20),0.4,0)))</f>
        <v>0</v>
      </c>
      <c r="S1181" s="10" t="n">
        <f aca="false">IF($H1181="숙박",0,IF($H1181=MID(S$1,3,20),IF($I1181="",1,0.6),IF($I1181=MID(S$1,3,20),0.4,0)))</f>
        <v>0</v>
      </c>
      <c r="T1181" s="10" t="n">
        <f aca="false">IF($H1181="숙박",0,IF($H1181=MID(T$1,3,20),IF($I1181="",1,0.6),IF($I1181=MID(T$1,3,20),0.4,0)))</f>
        <v>0</v>
      </c>
      <c r="U1181" s="10" t="n">
        <f aca="false">IF($H1181="숙박",0,IF(ISNUMBER(SEARCH("야경",$J1181)),1,0))</f>
        <v>0</v>
      </c>
      <c r="V1181" s="10" t="n">
        <f aca="false">IF($H1181="숙박",0,1)</f>
        <v>1</v>
      </c>
    </row>
    <row r="1182" customFormat="false" ht="15" hidden="false" customHeight="false" outlineLevel="0" collapsed="false">
      <c r="A1182" s="8" t="n">
        <v>1181</v>
      </c>
      <c r="B1182" s="8" t="s">
        <v>45</v>
      </c>
      <c r="C1182" s="8" t="s">
        <v>1636</v>
      </c>
      <c r="D1182" s="8" t="s">
        <v>3586</v>
      </c>
      <c r="E1182" s="7" t="s">
        <v>3587</v>
      </c>
      <c r="F1182" s="8"/>
      <c r="G1182" s="8" t="s">
        <v>190</v>
      </c>
      <c r="H1182" s="9" t="s">
        <v>190</v>
      </c>
      <c r="I1182" s="9"/>
      <c r="J1182" s="9"/>
      <c r="K1182" s="9" t="s">
        <v>191</v>
      </c>
      <c r="L1182" s="8"/>
      <c r="M1182" s="8"/>
      <c r="N1182" s="8"/>
      <c r="O1182" s="8" t="s">
        <v>3588</v>
      </c>
      <c r="P1182" s="10" t="n">
        <f aca="false">IF($H1182="숙박",0,IF($H1182=MID(P$1,3,20),IF($I1182="",1,0.6),IF($I1182=MID(P$1,3,20),0.4,0)))</f>
        <v>1</v>
      </c>
      <c r="Q1182" s="10" t="n">
        <f aca="false">IF($H1182="숙박",0,IF($H1182=MID(Q$1,3,20),IF($I1182="",1,0.6),IF($I1182=MID(Q$1,3,20),0.4,0)))</f>
        <v>0</v>
      </c>
      <c r="R1182" s="10" t="n">
        <f aca="false">IF($H1182="숙박",0,IF($H1182=MID(R$1,3,20),IF($I1182="",1,0.6),IF($I1182=MID(R$1,3,20),0.4,0)))</f>
        <v>0</v>
      </c>
      <c r="S1182" s="10" t="n">
        <f aca="false">IF($H1182="숙박",0,IF($H1182=MID(S$1,3,20),IF($I1182="",1,0.6),IF($I1182=MID(S$1,3,20),0.4,0)))</f>
        <v>0</v>
      </c>
      <c r="T1182" s="10" t="n">
        <f aca="false">IF($H1182="숙박",0,IF($H1182=MID(T$1,3,20),IF($I1182="",1,0.6),IF($I1182=MID(T$1,3,20),0.4,0)))</f>
        <v>0</v>
      </c>
      <c r="U1182" s="10" t="n">
        <f aca="false">IF($H1182="숙박",0,IF(ISNUMBER(SEARCH("야경",$J1182)),1,0))</f>
        <v>0</v>
      </c>
      <c r="V1182" s="10" t="n">
        <f aca="false">IF($H1182="숙박",0,1)</f>
        <v>1</v>
      </c>
    </row>
    <row r="1183" customFormat="false" ht="15" hidden="false" customHeight="false" outlineLevel="0" collapsed="false">
      <c r="A1183" s="8" t="n">
        <v>1182</v>
      </c>
      <c r="B1183" s="8" t="s">
        <v>45</v>
      </c>
      <c r="C1183" s="8" t="s">
        <v>579</v>
      </c>
      <c r="D1183" s="8" t="s">
        <v>3589</v>
      </c>
      <c r="E1183" s="7" t="s">
        <v>3590</v>
      </c>
      <c r="F1183" s="8"/>
      <c r="G1183" s="8" t="s">
        <v>216</v>
      </c>
      <c r="H1183" s="9" t="s">
        <v>216</v>
      </c>
      <c r="I1183" s="9"/>
      <c r="J1183" s="9"/>
      <c r="K1183" s="9" t="s">
        <v>191</v>
      </c>
      <c r="L1183" s="8"/>
      <c r="M1183" s="8"/>
      <c r="N1183" s="8"/>
      <c r="O1183" s="8" t="s">
        <v>3591</v>
      </c>
      <c r="P1183" s="10" t="n">
        <f aca="false">IF($H1183="숙박",0,IF($H1183=MID(P$1,3,20),IF($I1183="",1,0.6),IF($I1183=MID(P$1,3,20),0.4,0)))</f>
        <v>0</v>
      </c>
      <c r="Q1183" s="10" t="n">
        <f aca="false">IF($H1183="숙박",0,IF($H1183=MID(Q$1,3,20),IF($I1183="",1,0.6),IF($I1183=MID(Q$1,3,20),0.4,0)))</f>
        <v>0</v>
      </c>
      <c r="R1183" s="10" t="n">
        <f aca="false">IF($H1183="숙박",0,IF($H1183=MID(R$1,3,20),IF($I1183="",1,0.6),IF($I1183=MID(R$1,3,20),0.4,0)))</f>
        <v>0</v>
      </c>
      <c r="S1183" s="10" t="n">
        <f aca="false">IF($H1183="숙박",0,IF($H1183=MID(S$1,3,20),IF($I1183="",1,0.6),IF($I1183=MID(S$1,3,20),0.4,0)))</f>
        <v>1</v>
      </c>
      <c r="T1183" s="10" t="n">
        <f aca="false">IF($H1183="숙박",0,IF($H1183=MID(T$1,3,20),IF($I1183="",1,0.6),IF($I1183=MID(T$1,3,20),0.4,0)))</f>
        <v>0</v>
      </c>
      <c r="U1183" s="10" t="n">
        <f aca="false">IF($H1183="숙박",0,IF(ISNUMBER(SEARCH("야경",$J1183)),1,0))</f>
        <v>0</v>
      </c>
      <c r="V1183" s="10" t="n">
        <f aca="false">IF($H1183="숙박",0,1)</f>
        <v>1</v>
      </c>
    </row>
    <row r="1184" customFormat="false" ht="15" hidden="false" customHeight="false" outlineLevel="0" collapsed="false">
      <c r="A1184" s="8" t="n">
        <v>1183</v>
      </c>
      <c r="B1184" s="8" t="s">
        <v>45</v>
      </c>
      <c r="C1184" s="8" t="s">
        <v>1531</v>
      </c>
      <c r="D1184" s="8" t="s">
        <v>3592</v>
      </c>
      <c r="E1184" s="7" t="s">
        <v>3593</v>
      </c>
      <c r="F1184" s="8"/>
      <c r="G1184" s="8" t="s">
        <v>49</v>
      </c>
      <c r="H1184" s="9" t="s">
        <v>49</v>
      </c>
      <c r="I1184" s="9"/>
      <c r="J1184" s="9"/>
      <c r="K1184" s="9" t="s">
        <v>52</v>
      </c>
      <c r="L1184" s="8"/>
      <c r="M1184" s="8"/>
      <c r="N1184" s="8"/>
      <c r="O1184" s="8" t="s">
        <v>3594</v>
      </c>
      <c r="P1184" s="10" t="n">
        <f aca="false">IF($H1184="숙박",0,IF($H1184=MID(P$1,3,20),IF($I1184="",1,0.6),IF($I1184=MID(P$1,3,20),0.4,0)))</f>
        <v>0</v>
      </c>
      <c r="Q1184" s="10" t="n">
        <f aca="false">IF($H1184="숙박",0,IF($H1184=MID(Q$1,3,20),IF($I1184="",1,0.6),IF($I1184=MID(Q$1,3,20),0.4,0)))</f>
        <v>1</v>
      </c>
      <c r="R1184" s="10" t="n">
        <f aca="false">IF($H1184="숙박",0,IF($H1184=MID(R$1,3,20),IF($I1184="",1,0.6),IF($I1184=MID(R$1,3,20),0.4,0)))</f>
        <v>0</v>
      </c>
      <c r="S1184" s="10" t="n">
        <f aca="false">IF($H1184="숙박",0,IF($H1184=MID(S$1,3,20),IF($I1184="",1,0.6),IF($I1184=MID(S$1,3,20),0.4,0)))</f>
        <v>0</v>
      </c>
      <c r="T1184" s="10" t="n">
        <f aca="false">IF($H1184="숙박",0,IF($H1184=MID(T$1,3,20),IF($I1184="",1,0.6),IF($I1184=MID(T$1,3,20),0.4,0)))</f>
        <v>0</v>
      </c>
      <c r="U1184" s="10" t="n">
        <f aca="false">IF($H1184="숙박",0,IF(ISNUMBER(SEARCH("야경",$J1184)),1,0))</f>
        <v>0</v>
      </c>
      <c r="V1184" s="10" t="n">
        <f aca="false">IF($H1184="숙박",0,1)</f>
        <v>1</v>
      </c>
    </row>
    <row r="1185" customFormat="false" ht="15" hidden="false" customHeight="false" outlineLevel="0" collapsed="false">
      <c r="A1185" s="8" t="n">
        <v>1184</v>
      </c>
      <c r="B1185" s="8" t="s">
        <v>45</v>
      </c>
      <c r="C1185" s="8" t="s">
        <v>1330</v>
      </c>
      <c r="D1185" s="8" t="s">
        <v>3595</v>
      </c>
      <c r="E1185" s="7" t="s">
        <v>3596</v>
      </c>
      <c r="F1185" s="8"/>
      <c r="G1185" s="8" t="s">
        <v>184</v>
      </c>
      <c r="H1185" s="9" t="s">
        <v>184</v>
      </c>
      <c r="I1185" s="9" t="s">
        <v>190</v>
      </c>
      <c r="J1185" s="9"/>
      <c r="K1185" s="9" t="s">
        <v>52</v>
      </c>
      <c r="L1185" s="8"/>
      <c r="M1185" s="8"/>
      <c r="N1185" s="8" t="s">
        <v>483</v>
      </c>
      <c r="O1185" s="8" t="s">
        <v>3597</v>
      </c>
      <c r="P1185" s="10" t="n">
        <f aca="false">IF($H1185="숙박",0,IF($H1185=MID(P$1,3,20),IF($I1185="",1,0.6),IF($I1185=MID(P$1,3,20),0.4,0)))</f>
        <v>0.4</v>
      </c>
      <c r="Q1185" s="10" t="n">
        <f aca="false">IF($H1185="숙박",0,IF($H1185=MID(Q$1,3,20),IF($I1185="",1,0.6),IF($I1185=MID(Q$1,3,20),0.4,0)))</f>
        <v>0</v>
      </c>
      <c r="R1185" s="10" t="n">
        <f aca="false">IF($H1185="숙박",0,IF($H1185=MID(R$1,3,20),IF($I1185="",1,0.6),IF($I1185=MID(R$1,3,20),0.4,0)))</f>
        <v>0.6</v>
      </c>
      <c r="S1185" s="10" t="n">
        <f aca="false">IF($H1185="숙박",0,IF($H1185=MID(S$1,3,20),IF($I1185="",1,0.6),IF($I1185=MID(S$1,3,20),0.4,0)))</f>
        <v>0</v>
      </c>
      <c r="T1185" s="10" t="n">
        <f aca="false">IF($H1185="숙박",0,IF($H1185=MID(T$1,3,20),IF($I1185="",1,0.6),IF($I1185=MID(T$1,3,20),0.4,0)))</f>
        <v>0</v>
      </c>
      <c r="U1185" s="10" t="n">
        <f aca="false">IF($H1185="숙박",0,IF(ISNUMBER(SEARCH("야경",$J1185)),1,0))</f>
        <v>0</v>
      </c>
      <c r="V1185" s="10" t="n">
        <f aca="false">IF($H1185="숙박",0,1)</f>
        <v>1</v>
      </c>
    </row>
    <row r="1186" customFormat="false" ht="15" hidden="false" customHeight="false" outlineLevel="0" collapsed="false">
      <c r="A1186" s="8" t="n">
        <v>1185</v>
      </c>
      <c r="B1186" s="8" t="s">
        <v>45</v>
      </c>
      <c r="C1186" s="8" t="s">
        <v>1652</v>
      </c>
      <c r="D1186" s="8" t="s">
        <v>3598</v>
      </c>
      <c r="E1186" s="7" t="s">
        <v>3599</v>
      </c>
      <c r="F1186" s="8"/>
      <c r="G1186" s="8" t="s">
        <v>49</v>
      </c>
      <c r="H1186" s="9" t="s">
        <v>49</v>
      </c>
      <c r="I1186" s="9" t="s">
        <v>184</v>
      </c>
      <c r="J1186" s="9"/>
      <c r="K1186" s="9" t="s">
        <v>52</v>
      </c>
      <c r="L1186" s="8"/>
      <c r="M1186" s="8"/>
      <c r="N1186" s="8" t="s">
        <v>483</v>
      </c>
      <c r="O1186" s="8" t="s">
        <v>3600</v>
      </c>
      <c r="P1186" s="10" t="n">
        <f aca="false">IF($H1186="숙박",0,IF($H1186=MID(P$1,3,20),IF($I1186="",1,0.6),IF($I1186=MID(P$1,3,20),0.4,0)))</f>
        <v>0</v>
      </c>
      <c r="Q1186" s="10" t="n">
        <f aca="false">IF($H1186="숙박",0,IF($H1186=MID(Q$1,3,20),IF($I1186="",1,0.6),IF($I1186=MID(Q$1,3,20),0.4,0)))</f>
        <v>0.6</v>
      </c>
      <c r="R1186" s="10" t="n">
        <f aca="false">IF($H1186="숙박",0,IF($H1186=MID(R$1,3,20),IF($I1186="",1,0.6),IF($I1186=MID(R$1,3,20),0.4,0)))</f>
        <v>0.4</v>
      </c>
      <c r="S1186" s="10" t="n">
        <f aca="false">IF($H1186="숙박",0,IF($H1186=MID(S$1,3,20),IF($I1186="",1,0.6),IF($I1186=MID(S$1,3,20),0.4,0)))</f>
        <v>0</v>
      </c>
      <c r="T1186" s="10" t="n">
        <f aca="false">IF($H1186="숙박",0,IF($H1186=MID(T$1,3,20),IF($I1186="",1,0.6),IF($I1186=MID(T$1,3,20),0.4,0)))</f>
        <v>0</v>
      </c>
      <c r="U1186" s="10" t="n">
        <f aca="false">IF($H1186="숙박",0,IF(ISNUMBER(SEARCH("야경",$J1186)),1,0))</f>
        <v>0</v>
      </c>
      <c r="V1186" s="10" t="n">
        <f aca="false">IF($H1186="숙박",0,1)</f>
        <v>1</v>
      </c>
    </row>
    <row r="1187" customFormat="false" ht="15" hidden="false" customHeight="false" outlineLevel="0" collapsed="false">
      <c r="A1187" s="8" t="n">
        <v>1186</v>
      </c>
      <c r="B1187" s="8" t="s">
        <v>45</v>
      </c>
      <c r="C1187" s="8" t="s">
        <v>349</v>
      </c>
      <c r="D1187" s="8" t="s">
        <v>3601</v>
      </c>
      <c r="E1187" s="7" t="s">
        <v>3602</v>
      </c>
      <c r="F1187" s="8"/>
      <c r="G1187" s="8" t="s">
        <v>184</v>
      </c>
      <c r="H1187" s="9" t="s">
        <v>184</v>
      </c>
      <c r="I1187" s="9" t="s">
        <v>50</v>
      </c>
      <c r="J1187" s="9" t="s">
        <v>168</v>
      </c>
      <c r="K1187" s="9" t="s">
        <v>191</v>
      </c>
      <c r="L1187" s="8"/>
      <c r="M1187" s="8"/>
      <c r="N1187" s="8" t="s">
        <v>185</v>
      </c>
      <c r="O1187" s="8" t="s">
        <v>3603</v>
      </c>
      <c r="P1187" s="10" t="n">
        <f aca="false">IF($H1187="숙박",0,IF($H1187=MID(P$1,3,20),IF($I1187="",1,0.6),IF($I1187=MID(P$1,3,20),0.4,0)))</f>
        <v>0</v>
      </c>
      <c r="Q1187" s="10" t="n">
        <f aca="false">IF($H1187="숙박",0,IF($H1187=MID(Q$1,3,20),IF($I1187="",1,0.6),IF($I1187=MID(Q$1,3,20),0.4,0)))</f>
        <v>0</v>
      </c>
      <c r="R1187" s="10" t="n">
        <f aca="false">IF($H1187="숙박",0,IF($H1187=MID(R$1,3,20),IF($I1187="",1,0.6),IF($I1187=MID(R$1,3,20),0.4,0)))</f>
        <v>0.6</v>
      </c>
      <c r="S1187" s="10" t="n">
        <f aca="false">IF($H1187="숙박",0,IF($H1187=MID(S$1,3,20),IF($I1187="",1,0.6),IF($I1187=MID(S$1,3,20),0.4,0)))</f>
        <v>0</v>
      </c>
      <c r="T1187" s="10" t="n">
        <f aca="false">IF($H1187="숙박",0,IF($H1187=MID(T$1,3,20),IF($I1187="",1,0.6),IF($I1187=MID(T$1,3,20),0.4,0)))</f>
        <v>0.4</v>
      </c>
      <c r="U1187" s="10" t="n">
        <f aca="false">IF($H1187="숙박",0,IF(ISNUMBER(SEARCH("야경",$J1187)),1,0))</f>
        <v>0</v>
      </c>
      <c r="V1187" s="10" t="n">
        <f aca="false">IF($H1187="숙박",0,1)</f>
        <v>1</v>
      </c>
    </row>
    <row r="1188" customFormat="false" ht="15" hidden="false" customHeight="false" outlineLevel="0" collapsed="false">
      <c r="A1188" s="8" t="n">
        <v>1187</v>
      </c>
      <c r="B1188" s="8" t="s">
        <v>45</v>
      </c>
      <c r="C1188" s="8"/>
      <c r="D1188" s="8" t="s">
        <v>3604</v>
      </c>
      <c r="E1188" s="7" t="s">
        <v>3605</v>
      </c>
      <c r="F1188" s="8"/>
      <c r="G1188" s="8"/>
      <c r="H1188" s="9" t="s">
        <v>594</v>
      </c>
      <c r="I1188" s="9"/>
      <c r="J1188" s="9"/>
      <c r="K1188" s="9"/>
      <c r="L1188" s="8"/>
      <c r="M1188" s="8"/>
      <c r="N1188" s="8" t="s">
        <v>595</v>
      </c>
      <c r="O1188" s="8"/>
      <c r="P1188" s="10" t="n">
        <f aca="false">IF($H1188="숙박",0,IF($H1188=MID(P$1,3,20),IF($I1188="",1,0.6),IF($I1188=MID(P$1,3,20),0.4,0)))</f>
        <v>0</v>
      </c>
      <c r="Q1188" s="10" t="n">
        <f aca="false">IF($H1188="숙박",0,IF($H1188=MID(Q$1,3,20),IF($I1188="",1,0.6),IF($I1188=MID(Q$1,3,20),0.4,0)))</f>
        <v>0</v>
      </c>
      <c r="R1188" s="10" t="n">
        <f aca="false">IF($H1188="숙박",0,IF($H1188=MID(R$1,3,20),IF($I1188="",1,0.6),IF($I1188=MID(R$1,3,20),0.4,0)))</f>
        <v>0</v>
      </c>
      <c r="S1188" s="10" t="n">
        <f aca="false">IF($H1188="숙박",0,IF($H1188=MID(S$1,3,20),IF($I1188="",1,0.6),IF($I1188=MID(S$1,3,20),0.4,0)))</f>
        <v>0</v>
      </c>
      <c r="T1188" s="10" t="n">
        <f aca="false">IF($H1188="숙박",0,IF($H1188=MID(T$1,3,20),IF($I1188="",1,0.6),IF($I1188=MID(T$1,3,20),0.4,0)))</f>
        <v>0</v>
      </c>
      <c r="U1188" s="10" t="n">
        <f aca="false">IF($H1188="숙박",0,IF(ISNUMBER(SEARCH("야경",$J1188)),1,0))</f>
        <v>0</v>
      </c>
      <c r="V1188" s="10" t="n">
        <f aca="false">IF($H1188="숙박",0,1)</f>
        <v>0</v>
      </c>
    </row>
    <row r="1189" customFormat="false" ht="15" hidden="false" customHeight="false" outlineLevel="0" collapsed="false">
      <c r="A1189" s="8" t="n">
        <v>1188</v>
      </c>
      <c r="B1189" s="8" t="s">
        <v>45</v>
      </c>
      <c r="C1189" s="8" t="s">
        <v>1652</v>
      </c>
      <c r="D1189" s="8" t="s">
        <v>3606</v>
      </c>
      <c r="E1189" s="7" t="s">
        <v>3607</v>
      </c>
      <c r="F1189" s="8"/>
      <c r="G1189" s="8" t="s">
        <v>184</v>
      </c>
      <c r="H1189" s="9" t="s">
        <v>184</v>
      </c>
      <c r="I1189" s="9" t="s">
        <v>49</v>
      </c>
      <c r="J1189" s="9"/>
      <c r="K1189" s="9" t="s">
        <v>52</v>
      </c>
      <c r="L1189" s="8"/>
      <c r="M1189" s="8"/>
      <c r="N1189" s="8" t="s">
        <v>483</v>
      </c>
      <c r="O1189" s="8" t="s">
        <v>3608</v>
      </c>
      <c r="P1189" s="10" t="n">
        <f aca="false">IF($H1189="숙박",0,IF($H1189=MID(P$1,3,20),IF($I1189="",1,0.6),IF($I1189=MID(P$1,3,20),0.4,0)))</f>
        <v>0</v>
      </c>
      <c r="Q1189" s="10" t="n">
        <f aca="false">IF($H1189="숙박",0,IF($H1189=MID(Q$1,3,20),IF($I1189="",1,0.6),IF($I1189=MID(Q$1,3,20),0.4,0)))</f>
        <v>0.4</v>
      </c>
      <c r="R1189" s="10" t="n">
        <f aca="false">IF($H1189="숙박",0,IF($H1189=MID(R$1,3,20),IF($I1189="",1,0.6),IF($I1189=MID(R$1,3,20),0.4,0)))</f>
        <v>0.6</v>
      </c>
      <c r="S1189" s="10" t="n">
        <f aca="false">IF($H1189="숙박",0,IF($H1189=MID(S$1,3,20),IF($I1189="",1,0.6),IF($I1189=MID(S$1,3,20),0.4,0)))</f>
        <v>0</v>
      </c>
      <c r="T1189" s="10" t="n">
        <f aca="false">IF($H1189="숙박",0,IF($H1189=MID(T$1,3,20),IF($I1189="",1,0.6),IF($I1189=MID(T$1,3,20),0.4,0)))</f>
        <v>0</v>
      </c>
      <c r="U1189" s="10" t="n">
        <f aca="false">IF($H1189="숙박",0,IF(ISNUMBER(SEARCH("야경",$J1189)),1,0))</f>
        <v>0</v>
      </c>
      <c r="V1189" s="10" t="n">
        <f aca="false">IF($H1189="숙박",0,1)</f>
        <v>1</v>
      </c>
    </row>
    <row r="1190" customFormat="false" ht="15" hidden="false" customHeight="false" outlineLevel="0" collapsed="false">
      <c r="A1190" s="8" t="n">
        <v>1189</v>
      </c>
      <c r="B1190" s="8" t="s">
        <v>45</v>
      </c>
      <c r="C1190" s="8" t="s">
        <v>310</v>
      </c>
      <c r="D1190" s="8" t="s">
        <v>3609</v>
      </c>
      <c r="E1190" s="7" t="s">
        <v>3610</v>
      </c>
      <c r="F1190" s="8"/>
      <c r="G1190" s="8" t="s">
        <v>184</v>
      </c>
      <c r="H1190" s="9" t="s">
        <v>184</v>
      </c>
      <c r="I1190" s="9" t="s">
        <v>50</v>
      </c>
      <c r="J1190" s="9" t="s">
        <v>168</v>
      </c>
      <c r="K1190" s="9" t="s">
        <v>52</v>
      </c>
      <c r="L1190" s="8"/>
      <c r="M1190" s="8"/>
      <c r="N1190" s="8" t="s">
        <v>185</v>
      </c>
      <c r="O1190" s="8" t="s">
        <v>3611</v>
      </c>
      <c r="P1190" s="10" t="n">
        <f aca="false">IF($H1190="숙박",0,IF($H1190=MID(P$1,3,20),IF($I1190="",1,0.6),IF($I1190=MID(P$1,3,20),0.4,0)))</f>
        <v>0</v>
      </c>
      <c r="Q1190" s="10" t="n">
        <f aca="false">IF($H1190="숙박",0,IF($H1190=MID(Q$1,3,20),IF($I1190="",1,0.6),IF($I1190=MID(Q$1,3,20),0.4,0)))</f>
        <v>0</v>
      </c>
      <c r="R1190" s="10" t="n">
        <f aca="false">IF($H1190="숙박",0,IF($H1190=MID(R$1,3,20),IF($I1190="",1,0.6),IF($I1190=MID(R$1,3,20),0.4,0)))</f>
        <v>0.6</v>
      </c>
      <c r="S1190" s="10" t="n">
        <f aca="false">IF($H1190="숙박",0,IF($H1190=MID(S$1,3,20),IF($I1190="",1,0.6),IF($I1190=MID(S$1,3,20),0.4,0)))</f>
        <v>0</v>
      </c>
      <c r="T1190" s="10" t="n">
        <f aca="false">IF($H1190="숙박",0,IF($H1190=MID(T$1,3,20),IF($I1190="",1,0.6),IF($I1190=MID(T$1,3,20),0.4,0)))</f>
        <v>0.4</v>
      </c>
      <c r="U1190" s="10" t="n">
        <f aca="false">IF($H1190="숙박",0,IF(ISNUMBER(SEARCH("야경",$J1190)),1,0))</f>
        <v>0</v>
      </c>
      <c r="V1190" s="10" t="n">
        <f aca="false">IF($H1190="숙박",0,1)</f>
        <v>1</v>
      </c>
    </row>
    <row r="1191" customFormat="false" ht="15" hidden="false" customHeight="false" outlineLevel="0" collapsed="false">
      <c r="A1191" s="8" t="n">
        <v>1190</v>
      </c>
      <c r="B1191" s="8" t="s">
        <v>45</v>
      </c>
      <c r="C1191" s="8"/>
      <c r="D1191" s="8" t="s">
        <v>3612</v>
      </c>
      <c r="E1191" s="7" t="s">
        <v>3613</v>
      </c>
      <c r="F1191" s="8"/>
      <c r="G1191" s="8"/>
      <c r="H1191" s="9" t="s">
        <v>594</v>
      </c>
      <c r="I1191" s="9"/>
      <c r="J1191" s="9"/>
      <c r="K1191" s="9"/>
      <c r="L1191" s="8"/>
      <c r="M1191" s="8"/>
      <c r="N1191" s="8" t="s">
        <v>595</v>
      </c>
      <c r="O1191" s="8"/>
      <c r="P1191" s="10" t="n">
        <f aca="false">IF($H1191="숙박",0,IF($H1191=MID(P$1,3,20),IF($I1191="",1,0.6),IF($I1191=MID(P$1,3,20),0.4,0)))</f>
        <v>0</v>
      </c>
      <c r="Q1191" s="10" t="n">
        <f aca="false">IF($H1191="숙박",0,IF($H1191=MID(Q$1,3,20),IF($I1191="",1,0.6),IF($I1191=MID(Q$1,3,20),0.4,0)))</f>
        <v>0</v>
      </c>
      <c r="R1191" s="10" t="n">
        <f aca="false">IF($H1191="숙박",0,IF($H1191=MID(R$1,3,20),IF($I1191="",1,0.6),IF($I1191=MID(R$1,3,20),0.4,0)))</f>
        <v>0</v>
      </c>
      <c r="S1191" s="10" t="n">
        <f aca="false">IF($H1191="숙박",0,IF($H1191=MID(S$1,3,20),IF($I1191="",1,0.6),IF($I1191=MID(S$1,3,20),0.4,0)))</f>
        <v>0</v>
      </c>
      <c r="T1191" s="10" t="n">
        <f aca="false">IF($H1191="숙박",0,IF($H1191=MID(T$1,3,20),IF($I1191="",1,0.6),IF($I1191=MID(T$1,3,20),0.4,0)))</f>
        <v>0</v>
      </c>
      <c r="U1191" s="10" t="n">
        <f aca="false">IF($H1191="숙박",0,IF(ISNUMBER(SEARCH("야경",$J1191)),1,0))</f>
        <v>0</v>
      </c>
      <c r="V1191" s="10" t="n">
        <f aca="false">IF($H1191="숙박",0,1)</f>
        <v>0</v>
      </c>
    </row>
    <row r="1192" customFormat="false" ht="15" hidden="false" customHeight="false" outlineLevel="0" collapsed="false">
      <c r="A1192" s="8" t="n">
        <v>1191</v>
      </c>
      <c r="B1192" s="8" t="s">
        <v>45</v>
      </c>
      <c r="C1192" s="8" t="s">
        <v>310</v>
      </c>
      <c r="D1192" s="8" t="s">
        <v>3614</v>
      </c>
      <c r="E1192" s="7" t="s">
        <v>3615</v>
      </c>
      <c r="F1192" s="8"/>
      <c r="G1192" s="8" t="s">
        <v>184</v>
      </c>
      <c r="H1192" s="9" t="s">
        <v>184</v>
      </c>
      <c r="I1192" s="9"/>
      <c r="J1192" s="9"/>
      <c r="K1192" s="9" t="s">
        <v>191</v>
      </c>
      <c r="L1192" s="8"/>
      <c r="M1192" s="8"/>
      <c r="N1192" s="8"/>
      <c r="O1192" s="8" t="s">
        <v>3616</v>
      </c>
      <c r="P1192" s="10" t="n">
        <f aca="false">IF($H1192="숙박",0,IF($H1192=MID(P$1,3,20),IF($I1192="",1,0.6),IF($I1192=MID(P$1,3,20),0.4,0)))</f>
        <v>0</v>
      </c>
      <c r="Q1192" s="10" t="n">
        <f aca="false">IF($H1192="숙박",0,IF($H1192=MID(Q$1,3,20),IF($I1192="",1,0.6),IF($I1192=MID(Q$1,3,20),0.4,0)))</f>
        <v>0</v>
      </c>
      <c r="R1192" s="10" t="n">
        <f aca="false">IF($H1192="숙박",0,IF($H1192=MID(R$1,3,20),IF($I1192="",1,0.6),IF($I1192=MID(R$1,3,20),0.4,0)))</f>
        <v>1</v>
      </c>
      <c r="S1192" s="10" t="n">
        <f aca="false">IF($H1192="숙박",0,IF($H1192=MID(S$1,3,20),IF($I1192="",1,0.6),IF($I1192=MID(S$1,3,20),0.4,0)))</f>
        <v>0</v>
      </c>
      <c r="T1192" s="10" t="n">
        <f aca="false">IF($H1192="숙박",0,IF($H1192=MID(T$1,3,20),IF($I1192="",1,0.6),IF($I1192=MID(T$1,3,20),0.4,0)))</f>
        <v>0</v>
      </c>
      <c r="U1192" s="10" t="n">
        <f aca="false">IF($H1192="숙박",0,IF(ISNUMBER(SEARCH("야경",$J1192)),1,0))</f>
        <v>0</v>
      </c>
      <c r="V1192" s="10" t="n">
        <f aca="false">IF($H1192="숙박",0,1)</f>
        <v>1</v>
      </c>
    </row>
    <row r="1193" customFormat="false" ht="15" hidden="false" customHeight="false" outlineLevel="0" collapsed="false">
      <c r="A1193" s="8" t="n">
        <v>1192</v>
      </c>
      <c r="B1193" s="8" t="s">
        <v>45</v>
      </c>
      <c r="C1193" s="8" t="s">
        <v>411</v>
      </c>
      <c r="D1193" s="8" t="s">
        <v>3617</v>
      </c>
      <c r="E1193" s="7" t="s">
        <v>3618</v>
      </c>
      <c r="F1193" s="8"/>
      <c r="G1193" s="8" t="s">
        <v>190</v>
      </c>
      <c r="H1193" s="9" t="s">
        <v>190</v>
      </c>
      <c r="I1193" s="9"/>
      <c r="J1193" s="9"/>
      <c r="K1193" s="9" t="s">
        <v>191</v>
      </c>
      <c r="L1193" s="8"/>
      <c r="M1193" s="8"/>
      <c r="N1193" s="8"/>
      <c r="O1193" s="8" t="s">
        <v>3619</v>
      </c>
      <c r="P1193" s="10" t="n">
        <f aca="false">IF($H1193="숙박",0,IF($H1193=MID(P$1,3,20),IF($I1193="",1,0.6),IF($I1193=MID(P$1,3,20),0.4,0)))</f>
        <v>1</v>
      </c>
      <c r="Q1193" s="10" t="n">
        <f aca="false">IF($H1193="숙박",0,IF($H1193=MID(Q$1,3,20),IF($I1193="",1,0.6),IF($I1193=MID(Q$1,3,20),0.4,0)))</f>
        <v>0</v>
      </c>
      <c r="R1193" s="10" t="n">
        <f aca="false">IF($H1193="숙박",0,IF($H1193=MID(R$1,3,20),IF($I1193="",1,0.6),IF($I1193=MID(R$1,3,20),0.4,0)))</f>
        <v>0</v>
      </c>
      <c r="S1193" s="10" t="n">
        <f aca="false">IF($H1193="숙박",0,IF($H1193=MID(S$1,3,20),IF($I1193="",1,0.6),IF($I1193=MID(S$1,3,20),0.4,0)))</f>
        <v>0</v>
      </c>
      <c r="T1193" s="10" t="n">
        <f aca="false">IF($H1193="숙박",0,IF($H1193=MID(T$1,3,20),IF($I1193="",1,0.6),IF($I1193=MID(T$1,3,20),0.4,0)))</f>
        <v>0</v>
      </c>
      <c r="U1193" s="10" t="n">
        <f aca="false">IF($H1193="숙박",0,IF(ISNUMBER(SEARCH("야경",$J1193)),1,0))</f>
        <v>0</v>
      </c>
      <c r="V1193" s="10" t="n">
        <f aca="false">IF($H1193="숙박",0,1)</f>
        <v>1</v>
      </c>
    </row>
    <row r="1194" customFormat="false" ht="15" hidden="false" customHeight="false" outlineLevel="0" collapsed="false">
      <c r="A1194" s="8" t="n">
        <v>1193</v>
      </c>
      <c r="B1194" s="8" t="s">
        <v>45</v>
      </c>
      <c r="C1194" s="8" t="s">
        <v>1822</v>
      </c>
      <c r="D1194" s="8" t="s">
        <v>3620</v>
      </c>
      <c r="E1194" s="7" t="s">
        <v>3621</v>
      </c>
      <c r="F1194" s="8"/>
      <c r="G1194" s="8" t="s">
        <v>184</v>
      </c>
      <c r="H1194" s="9" t="s">
        <v>184</v>
      </c>
      <c r="I1194" s="9" t="s">
        <v>49</v>
      </c>
      <c r="J1194" s="9"/>
      <c r="K1194" s="9" t="s">
        <v>191</v>
      </c>
      <c r="L1194" s="8"/>
      <c r="M1194" s="8"/>
      <c r="N1194" s="8" t="s">
        <v>483</v>
      </c>
      <c r="O1194" s="8" t="s">
        <v>3622</v>
      </c>
      <c r="P1194" s="10" t="n">
        <f aca="false">IF($H1194="숙박",0,IF($H1194=MID(P$1,3,20),IF($I1194="",1,0.6),IF($I1194=MID(P$1,3,20),0.4,0)))</f>
        <v>0</v>
      </c>
      <c r="Q1194" s="10" t="n">
        <f aca="false">IF($H1194="숙박",0,IF($H1194=MID(Q$1,3,20),IF($I1194="",1,0.6),IF($I1194=MID(Q$1,3,20),0.4,0)))</f>
        <v>0.4</v>
      </c>
      <c r="R1194" s="10" t="n">
        <f aca="false">IF($H1194="숙박",0,IF($H1194=MID(R$1,3,20),IF($I1194="",1,0.6),IF($I1194=MID(R$1,3,20),0.4,0)))</f>
        <v>0.6</v>
      </c>
      <c r="S1194" s="10" t="n">
        <f aca="false">IF($H1194="숙박",0,IF($H1194=MID(S$1,3,20),IF($I1194="",1,0.6),IF($I1194=MID(S$1,3,20),0.4,0)))</f>
        <v>0</v>
      </c>
      <c r="T1194" s="10" t="n">
        <f aca="false">IF($H1194="숙박",0,IF($H1194=MID(T$1,3,20),IF($I1194="",1,0.6),IF($I1194=MID(T$1,3,20),0.4,0)))</f>
        <v>0</v>
      </c>
      <c r="U1194" s="10" t="n">
        <f aca="false">IF($H1194="숙박",0,IF(ISNUMBER(SEARCH("야경",$J1194)),1,0))</f>
        <v>0</v>
      </c>
      <c r="V1194" s="10" t="n">
        <f aca="false">IF($H1194="숙박",0,1)</f>
        <v>1</v>
      </c>
    </row>
    <row r="1195" customFormat="false" ht="15" hidden="false" customHeight="false" outlineLevel="0" collapsed="false">
      <c r="A1195" s="8" t="n">
        <v>1194</v>
      </c>
      <c r="B1195" s="8" t="s">
        <v>45</v>
      </c>
      <c r="C1195" s="8" t="s">
        <v>2203</v>
      </c>
      <c r="D1195" s="8" t="s">
        <v>3623</v>
      </c>
      <c r="E1195" s="7" t="s">
        <v>3624</v>
      </c>
      <c r="F1195" s="8"/>
      <c r="G1195" s="8" t="s">
        <v>190</v>
      </c>
      <c r="H1195" s="9" t="s">
        <v>190</v>
      </c>
      <c r="I1195" s="9"/>
      <c r="J1195" s="9"/>
      <c r="K1195" s="9" t="s">
        <v>191</v>
      </c>
      <c r="L1195" s="8"/>
      <c r="M1195" s="8"/>
      <c r="N1195" s="8"/>
      <c r="O1195" s="8" t="s">
        <v>3625</v>
      </c>
      <c r="P1195" s="10" t="n">
        <f aca="false">IF($H1195="숙박",0,IF($H1195=MID(P$1,3,20),IF($I1195="",1,0.6),IF($I1195=MID(P$1,3,20),0.4,0)))</f>
        <v>1</v>
      </c>
      <c r="Q1195" s="10" t="n">
        <f aca="false">IF($H1195="숙박",0,IF($H1195=MID(Q$1,3,20),IF($I1195="",1,0.6),IF($I1195=MID(Q$1,3,20),0.4,0)))</f>
        <v>0</v>
      </c>
      <c r="R1195" s="10" t="n">
        <f aca="false">IF($H1195="숙박",0,IF($H1195=MID(R$1,3,20),IF($I1195="",1,0.6),IF($I1195=MID(R$1,3,20),0.4,0)))</f>
        <v>0</v>
      </c>
      <c r="S1195" s="10" t="n">
        <f aca="false">IF($H1195="숙박",0,IF($H1195=MID(S$1,3,20),IF($I1195="",1,0.6),IF($I1195=MID(S$1,3,20),0.4,0)))</f>
        <v>0</v>
      </c>
      <c r="T1195" s="10" t="n">
        <f aca="false">IF($H1195="숙박",0,IF($H1195=MID(T$1,3,20),IF($I1195="",1,0.6),IF($I1195=MID(T$1,3,20),0.4,0)))</f>
        <v>0</v>
      </c>
      <c r="U1195" s="10" t="n">
        <f aca="false">IF($H1195="숙박",0,IF(ISNUMBER(SEARCH("야경",$J1195)),1,0))</f>
        <v>0</v>
      </c>
      <c r="V1195" s="10" t="n">
        <f aca="false">IF($H1195="숙박",0,1)</f>
        <v>1</v>
      </c>
    </row>
    <row r="1196" customFormat="false" ht="15" hidden="false" customHeight="false" outlineLevel="0" collapsed="false">
      <c r="A1196" s="8" t="n">
        <v>1195</v>
      </c>
      <c r="B1196" s="8" t="s">
        <v>45</v>
      </c>
      <c r="C1196" s="8" t="s">
        <v>321</v>
      </c>
      <c r="D1196" s="8" t="s">
        <v>3626</v>
      </c>
      <c r="E1196" s="7" t="s">
        <v>3627</v>
      </c>
      <c r="F1196" s="8"/>
      <c r="G1196" s="8" t="s">
        <v>49</v>
      </c>
      <c r="H1196" s="9" t="s">
        <v>49</v>
      </c>
      <c r="I1196" s="9"/>
      <c r="J1196" s="9"/>
      <c r="K1196" s="9" t="s">
        <v>52</v>
      </c>
      <c r="L1196" s="8"/>
      <c r="M1196" s="8"/>
      <c r="N1196" s="8"/>
      <c r="O1196" s="8" t="s">
        <v>3628</v>
      </c>
      <c r="P1196" s="10" t="n">
        <f aca="false">IF($H1196="숙박",0,IF($H1196=MID(P$1,3,20),IF($I1196="",1,0.6),IF($I1196=MID(P$1,3,20),0.4,0)))</f>
        <v>0</v>
      </c>
      <c r="Q1196" s="10" t="n">
        <f aca="false">IF($H1196="숙박",0,IF($H1196=MID(Q$1,3,20),IF($I1196="",1,0.6),IF($I1196=MID(Q$1,3,20),0.4,0)))</f>
        <v>1</v>
      </c>
      <c r="R1196" s="10" t="n">
        <f aca="false">IF($H1196="숙박",0,IF($H1196=MID(R$1,3,20),IF($I1196="",1,0.6),IF($I1196=MID(R$1,3,20),0.4,0)))</f>
        <v>0</v>
      </c>
      <c r="S1196" s="10" t="n">
        <f aca="false">IF($H1196="숙박",0,IF($H1196=MID(S$1,3,20),IF($I1196="",1,0.6),IF($I1196=MID(S$1,3,20),0.4,0)))</f>
        <v>0</v>
      </c>
      <c r="T1196" s="10" t="n">
        <f aca="false">IF($H1196="숙박",0,IF($H1196=MID(T$1,3,20),IF($I1196="",1,0.6),IF($I1196=MID(T$1,3,20),0.4,0)))</f>
        <v>0</v>
      </c>
      <c r="U1196" s="10" t="n">
        <f aca="false">IF($H1196="숙박",0,IF(ISNUMBER(SEARCH("야경",$J1196)),1,0))</f>
        <v>0</v>
      </c>
      <c r="V1196" s="10" t="n">
        <f aca="false">IF($H1196="숙박",0,1)</f>
        <v>1</v>
      </c>
    </row>
    <row r="1197" customFormat="false" ht="15" hidden="false" customHeight="false" outlineLevel="0" collapsed="false">
      <c r="A1197" s="8" t="n">
        <v>1196</v>
      </c>
      <c r="B1197" s="8" t="s">
        <v>45</v>
      </c>
      <c r="C1197" s="8" t="s">
        <v>321</v>
      </c>
      <c r="D1197" s="8" t="s">
        <v>3629</v>
      </c>
      <c r="E1197" s="7" t="s">
        <v>3630</v>
      </c>
      <c r="F1197" s="8"/>
      <c r="G1197" s="8" t="s">
        <v>49</v>
      </c>
      <c r="H1197" s="9" t="s">
        <v>49</v>
      </c>
      <c r="I1197" s="9"/>
      <c r="J1197" s="9"/>
      <c r="K1197" s="9" t="s">
        <v>52</v>
      </c>
      <c r="L1197" s="8"/>
      <c r="M1197" s="8"/>
      <c r="N1197" s="8"/>
      <c r="O1197" s="8" t="s">
        <v>3631</v>
      </c>
      <c r="P1197" s="10" t="n">
        <f aca="false">IF($H1197="숙박",0,IF($H1197=MID(P$1,3,20),IF($I1197="",1,0.6),IF($I1197=MID(P$1,3,20),0.4,0)))</f>
        <v>0</v>
      </c>
      <c r="Q1197" s="10" t="n">
        <f aca="false">IF($H1197="숙박",0,IF($H1197=MID(Q$1,3,20),IF($I1197="",1,0.6),IF($I1197=MID(Q$1,3,20),0.4,0)))</f>
        <v>1</v>
      </c>
      <c r="R1197" s="10" t="n">
        <f aca="false">IF($H1197="숙박",0,IF($H1197=MID(R$1,3,20),IF($I1197="",1,0.6),IF($I1197=MID(R$1,3,20),0.4,0)))</f>
        <v>0</v>
      </c>
      <c r="S1197" s="10" t="n">
        <f aca="false">IF($H1197="숙박",0,IF($H1197=MID(S$1,3,20),IF($I1197="",1,0.6),IF($I1197=MID(S$1,3,20),0.4,0)))</f>
        <v>0</v>
      </c>
      <c r="T1197" s="10" t="n">
        <f aca="false">IF($H1197="숙박",0,IF($H1197=MID(T$1,3,20),IF($I1197="",1,0.6),IF($I1197=MID(T$1,3,20),0.4,0)))</f>
        <v>0</v>
      </c>
      <c r="U1197" s="10" t="n">
        <f aca="false">IF($H1197="숙박",0,IF(ISNUMBER(SEARCH("야경",$J1197)),1,0))</f>
        <v>0</v>
      </c>
      <c r="V1197" s="10" t="n">
        <f aca="false">IF($H1197="숙박",0,1)</f>
        <v>1</v>
      </c>
    </row>
    <row r="1198" customFormat="false" ht="15" hidden="false" customHeight="false" outlineLevel="0" collapsed="false">
      <c r="A1198" s="8" t="n">
        <v>1197</v>
      </c>
      <c r="B1198" s="8" t="s">
        <v>45</v>
      </c>
      <c r="C1198" s="8"/>
      <c r="D1198" s="8" t="s">
        <v>3632</v>
      </c>
      <c r="E1198" s="7" t="s">
        <v>3633</v>
      </c>
      <c r="F1198" s="8"/>
      <c r="G1198" s="8"/>
      <c r="H1198" s="9" t="s">
        <v>594</v>
      </c>
      <c r="I1198" s="9"/>
      <c r="J1198" s="9"/>
      <c r="K1198" s="9"/>
      <c r="L1198" s="8"/>
      <c r="M1198" s="8"/>
      <c r="N1198" s="8" t="s">
        <v>595</v>
      </c>
      <c r="O1198" s="8"/>
      <c r="P1198" s="10" t="n">
        <f aca="false">IF($H1198="숙박",0,IF($H1198=MID(P$1,3,20),IF($I1198="",1,0.6),IF($I1198=MID(P$1,3,20),0.4,0)))</f>
        <v>0</v>
      </c>
      <c r="Q1198" s="10" t="n">
        <f aca="false">IF($H1198="숙박",0,IF($H1198=MID(Q$1,3,20),IF($I1198="",1,0.6),IF($I1198=MID(Q$1,3,20),0.4,0)))</f>
        <v>0</v>
      </c>
      <c r="R1198" s="10" t="n">
        <f aca="false">IF($H1198="숙박",0,IF($H1198=MID(R$1,3,20),IF($I1198="",1,0.6),IF($I1198=MID(R$1,3,20),0.4,0)))</f>
        <v>0</v>
      </c>
      <c r="S1198" s="10" t="n">
        <f aca="false">IF($H1198="숙박",0,IF($H1198=MID(S$1,3,20),IF($I1198="",1,0.6),IF($I1198=MID(S$1,3,20),0.4,0)))</f>
        <v>0</v>
      </c>
      <c r="T1198" s="10" t="n">
        <f aca="false">IF($H1198="숙박",0,IF($H1198=MID(T$1,3,20),IF($I1198="",1,0.6),IF($I1198=MID(T$1,3,20),0.4,0)))</f>
        <v>0</v>
      </c>
      <c r="U1198" s="10" t="n">
        <f aca="false">IF($H1198="숙박",0,IF(ISNUMBER(SEARCH("야경",$J1198)),1,0))</f>
        <v>0</v>
      </c>
      <c r="V1198" s="10" t="n">
        <f aca="false">IF($H1198="숙박",0,1)</f>
        <v>0</v>
      </c>
    </row>
    <row r="1199" customFormat="false" ht="15" hidden="false" customHeight="false" outlineLevel="0" collapsed="false">
      <c r="A1199" s="8" t="n">
        <v>1198</v>
      </c>
      <c r="B1199" s="8" t="s">
        <v>45</v>
      </c>
      <c r="C1199" s="8" t="s">
        <v>1736</v>
      </c>
      <c r="D1199" s="8" t="s">
        <v>3634</v>
      </c>
      <c r="E1199" s="7" t="s">
        <v>3635</v>
      </c>
      <c r="F1199" s="8"/>
      <c r="G1199" s="8" t="s">
        <v>50</v>
      </c>
      <c r="H1199" s="9" t="s">
        <v>50</v>
      </c>
      <c r="I1199" s="9"/>
      <c r="J1199" s="9" t="s">
        <v>168</v>
      </c>
      <c r="K1199" s="9" t="s">
        <v>52</v>
      </c>
      <c r="L1199" s="8"/>
      <c r="M1199" s="8"/>
      <c r="N1199" s="8"/>
      <c r="O1199" s="8" t="s">
        <v>3636</v>
      </c>
      <c r="P1199" s="10" t="n">
        <f aca="false">IF($H1199="숙박",0,IF($H1199=MID(P$1,3,20),IF($I1199="",1,0.6),IF($I1199=MID(P$1,3,20),0.4,0)))</f>
        <v>0</v>
      </c>
      <c r="Q1199" s="10" t="n">
        <f aca="false">IF($H1199="숙박",0,IF($H1199=MID(Q$1,3,20),IF($I1199="",1,0.6),IF($I1199=MID(Q$1,3,20),0.4,0)))</f>
        <v>0</v>
      </c>
      <c r="R1199" s="10" t="n">
        <f aca="false">IF($H1199="숙박",0,IF($H1199=MID(R$1,3,20),IF($I1199="",1,0.6),IF($I1199=MID(R$1,3,20),0.4,0)))</f>
        <v>0</v>
      </c>
      <c r="S1199" s="10" t="n">
        <f aca="false">IF($H1199="숙박",0,IF($H1199=MID(S$1,3,20),IF($I1199="",1,0.6),IF($I1199=MID(S$1,3,20),0.4,0)))</f>
        <v>0</v>
      </c>
      <c r="T1199" s="10" t="n">
        <f aca="false">IF($H1199="숙박",0,IF($H1199=MID(T$1,3,20),IF($I1199="",1,0.6),IF($I1199=MID(T$1,3,20),0.4,0)))</f>
        <v>1</v>
      </c>
      <c r="U1199" s="10" t="n">
        <f aca="false">IF($H1199="숙박",0,IF(ISNUMBER(SEARCH("야경",$J1199)),1,0))</f>
        <v>0</v>
      </c>
      <c r="V1199" s="10" t="n">
        <f aca="false">IF($H1199="숙박",0,1)</f>
        <v>1</v>
      </c>
    </row>
    <row r="1200" customFormat="false" ht="15" hidden="false" customHeight="false" outlineLevel="0" collapsed="false">
      <c r="A1200" s="8" t="n">
        <v>1199</v>
      </c>
      <c r="B1200" s="8" t="s">
        <v>45</v>
      </c>
      <c r="C1200" s="8" t="s">
        <v>317</v>
      </c>
      <c r="D1200" s="8" t="s">
        <v>3637</v>
      </c>
      <c r="E1200" s="7" t="s">
        <v>3638</v>
      </c>
      <c r="F1200" s="8"/>
      <c r="G1200" s="8" t="s">
        <v>50</v>
      </c>
      <c r="H1200" s="9" t="s">
        <v>50</v>
      </c>
      <c r="I1200" s="9" t="s">
        <v>49</v>
      </c>
      <c r="J1200" s="9" t="s">
        <v>168</v>
      </c>
      <c r="K1200" s="9" t="s">
        <v>52</v>
      </c>
      <c r="L1200" s="8"/>
      <c r="M1200" s="8"/>
      <c r="N1200" s="8" t="s">
        <v>483</v>
      </c>
      <c r="O1200" s="8" t="s">
        <v>3639</v>
      </c>
      <c r="P1200" s="10" t="n">
        <f aca="false">IF($H1200="숙박",0,IF($H1200=MID(P$1,3,20),IF($I1200="",1,0.6),IF($I1200=MID(P$1,3,20),0.4,0)))</f>
        <v>0</v>
      </c>
      <c r="Q1200" s="10" t="n">
        <f aca="false">IF($H1200="숙박",0,IF($H1200=MID(Q$1,3,20),IF($I1200="",1,0.6),IF($I1200=MID(Q$1,3,20),0.4,0)))</f>
        <v>0.4</v>
      </c>
      <c r="R1200" s="10" t="n">
        <f aca="false">IF($H1200="숙박",0,IF($H1200=MID(R$1,3,20),IF($I1200="",1,0.6),IF($I1200=MID(R$1,3,20),0.4,0)))</f>
        <v>0</v>
      </c>
      <c r="S1200" s="10" t="n">
        <f aca="false">IF($H1200="숙박",0,IF($H1200=MID(S$1,3,20),IF($I1200="",1,0.6),IF($I1200=MID(S$1,3,20),0.4,0)))</f>
        <v>0</v>
      </c>
      <c r="T1200" s="10" t="n">
        <f aca="false">IF($H1200="숙박",0,IF($H1200=MID(T$1,3,20),IF($I1200="",1,0.6),IF($I1200=MID(T$1,3,20),0.4,0)))</f>
        <v>0.6</v>
      </c>
      <c r="U1200" s="10" t="n">
        <f aca="false">IF($H1200="숙박",0,IF(ISNUMBER(SEARCH("야경",$J1200)),1,0))</f>
        <v>0</v>
      </c>
      <c r="V1200" s="10" t="n">
        <f aca="false">IF($H1200="숙박",0,1)</f>
        <v>1</v>
      </c>
    </row>
    <row r="1201" customFormat="false" ht="15" hidden="false" customHeight="false" outlineLevel="0" collapsed="false">
      <c r="A1201" s="8" t="n">
        <v>1200</v>
      </c>
      <c r="B1201" s="8" t="s">
        <v>45</v>
      </c>
      <c r="C1201" s="8"/>
      <c r="D1201" s="8" t="s">
        <v>3640</v>
      </c>
      <c r="E1201" s="7" t="s">
        <v>3641</v>
      </c>
      <c r="F1201" s="8"/>
      <c r="G1201" s="8"/>
      <c r="H1201" s="9" t="s">
        <v>594</v>
      </c>
      <c r="I1201" s="9"/>
      <c r="J1201" s="9"/>
      <c r="K1201" s="9"/>
      <c r="L1201" s="8"/>
      <c r="M1201" s="8"/>
      <c r="N1201" s="8" t="s">
        <v>595</v>
      </c>
      <c r="O1201" s="8"/>
      <c r="P1201" s="10" t="n">
        <f aca="false">IF($H1201="숙박",0,IF($H1201=MID(P$1,3,20),IF($I1201="",1,0.6),IF($I1201=MID(P$1,3,20),0.4,0)))</f>
        <v>0</v>
      </c>
      <c r="Q1201" s="10" t="n">
        <f aca="false">IF($H1201="숙박",0,IF($H1201=MID(Q$1,3,20),IF($I1201="",1,0.6),IF($I1201=MID(Q$1,3,20),0.4,0)))</f>
        <v>0</v>
      </c>
      <c r="R1201" s="10" t="n">
        <f aca="false">IF($H1201="숙박",0,IF($H1201=MID(R$1,3,20),IF($I1201="",1,0.6),IF($I1201=MID(R$1,3,20),0.4,0)))</f>
        <v>0</v>
      </c>
      <c r="S1201" s="10" t="n">
        <f aca="false">IF($H1201="숙박",0,IF($H1201=MID(S$1,3,20),IF($I1201="",1,0.6),IF($I1201=MID(S$1,3,20),0.4,0)))</f>
        <v>0</v>
      </c>
      <c r="T1201" s="10" t="n">
        <f aca="false">IF($H1201="숙박",0,IF($H1201=MID(T$1,3,20),IF($I1201="",1,0.6),IF($I1201=MID(T$1,3,20),0.4,0)))</f>
        <v>0</v>
      </c>
      <c r="U1201" s="10" t="n">
        <f aca="false">IF($H1201="숙박",0,IF(ISNUMBER(SEARCH("야경",$J1201)),1,0))</f>
        <v>0</v>
      </c>
      <c r="V1201" s="10" t="n">
        <f aca="false">IF($H1201="숙박",0,1)</f>
        <v>0</v>
      </c>
    </row>
    <row r="1202" customFormat="false" ht="15" hidden="false" customHeight="false" outlineLevel="0" collapsed="false">
      <c r="A1202" s="8" t="n">
        <v>1201</v>
      </c>
      <c r="B1202" s="8" t="s">
        <v>45</v>
      </c>
      <c r="C1202" s="8" t="s">
        <v>1489</v>
      </c>
      <c r="D1202" s="8" t="s">
        <v>3642</v>
      </c>
      <c r="E1202" s="7" t="s">
        <v>3643</v>
      </c>
      <c r="F1202" s="8"/>
      <c r="G1202" s="8" t="s">
        <v>190</v>
      </c>
      <c r="H1202" s="9" t="s">
        <v>190</v>
      </c>
      <c r="I1202" s="9"/>
      <c r="J1202" s="9" t="s">
        <v>1361</v>
      </c>
      <c r="K1202" s="9" t="s">
        <v>191</v>
      </c>
      <c r="L1202" s="8"/>
      <c r="M1202" s="8"/>
      <c r="N1202" s="8"/>
      <c r="O1202" s="8" t="s">
        <v>3644</v>
      </c>
      <c r="P1202" s="10" t="n">
        <f aca="false">IF($H1202="숙박",0,IF($H1202=MID(P$1,3,20),IF($I1202="",1,0.6),IF($I1202=MID(P$1,3,20),0.4,0)))</f>
        <v>1</v>
      </c>
      <c r="Q1202" s="10" t="n">
        <f aca="false">IF($H1202="숙박",0,IF($H1202=MID(Q$1,3,20),IF($I1202="",1,0.6),IF($I1202=MID(Q$1,3,20),0.4,0)))</f>
        <v>0</v>
      </c>
      <c r="R1202" s="10" t="n">
        <f aca="false">IF($H1202="숙박",0,IF($H1202=MID(R$1,3,20),IF($I1202="",1,0.6),IF($I1202=MID(R$1,3,20),0.4,0)))</f>
        <v>0</v>
      </c>
      <c r="S1202" s="10" t="n">
        <f aca="false">IF($H1202="숙박",0,IF($H1202=MID(S$1,3,20),IF($I1202="",1,0.6),IF($I1202=MID(S$1,3,20),0.4,0)))</f>
        <v>0</v>
      </c>
      <c r="T1202" s="10" t="n">
        <f aca="false">IF($H1202="숙박",0,IF($H1202=MID(T$1,3,20),IF($I1202="",1,0.6),IF($I1202=MID(T$1,3,20),0.4,0)))</f>
        <v>0</v>
      </c>
      <c r="U1202" s="10" t="n">
        <f aca="false">IF($H1202="숙박",0,IF(ISNUMBER(SEARCH("야경",$J1202)),1,0))</f>
        <v>0</v>
      </c>
      <c r="V1202" s="10" t="n">
        <f aca="false">IF($H1202="숙박",0,1)</f>
        <v>1</v>
      </c>
    </row>
    <row r="1203" customFormat="false" ht="15" hidden="false" customHeight="false" outlineLevel="0" collapsed="false">
      <c r="A1203" s="8" t="n">
        <v>1202</v>
      </c>
      <c r="B1203" s="8" t="s">
        <v>45</v>
      </c>
      <c r="C1203" s="8"/>
      <c r="D1203" s="8" t="s">
        <v>3645</v>
      </c>
      <c r="E1203" s="7" t="s">
        <v>3646</v>
      </c>
      <c r="F1203" s="8"/>
      <c r="G1203" s="8"/>
      <c r="H1203" s="9" t="s">
        <v>594</v>
      </c>
      <c r="I1203" s="9"/>
      <c r="J1203" s="9"/>
      <c r="K1203" s="9"/>
      <c r="L1203" s="8"/>
      <c r="M1203" s="8"/>
      <c r="N1203" s="8" t="s">
        <v>595</v>
      </c>
      <c r="O1203" s="8"/>
      <c r="P1203" s="10" t="n">
        <f aca="false">IF($H1203="숙박",0,IF($H1203=MID(P$1,3,20),IF($I1203="",1,0.6),IF($I1203=MID(P$1,3,20),0.4,0)))</f>
        <v>0</v>
      </c>
      <c r="Q1203" s="10" t="n">
        <f aca="false">IF($H1203="숙박",0,IF($H1203=MID(Q$1,3,20),IF($I1203="",1,0.6),IF($I1203=MID(Q$1,3,20),0.4,0)))</f>
        <v>0</v>
      </c>
      <c r="R1203" s="10" t="n">
        <f aca="false">IF($H1203="숙박",0,IF($H1203=MID(R$1,3,20),IF($I1203="",1,0.6),IF($I1203=MID(R$1,3,20),0.4,0)))</f>
        <v>0</v>
      </c>
      <c r="S1203" s="10" t="n">
        <f aca="false">IF($H1203="숙박",0,IF($H1203=MID(S$1,3,20),IF($I1203="",1,0.6),IF($I1203=MID(S$1,3,20),0.4,0)))</f>
        <v>0</v>
      </c>
      <c r="T1203" s="10" t="n">
        <f aca="false">IF($H1203="숙박",0,IF($H1203=MID(T$1,3,20),IF($I1203="",1,0.6),IF($I1203=MID(T$1,3,20),0.4,0)))</f>
        <v>0</v>
      </c>
      <c r="U1203" s="10" t="n">
        <f aca="false">IF($H1203="숙박",0,IF(ISNUMBER(SEARCH("야경",$J1203)),1,0))</f>
        <v>0</v>
      </c>
      <c r="V1203" s="10" t="n">
        <f aca="false">IF($H1203="숙박",0,1)</f>
        <v>0</v>
      </c>
    </row>
    <row r="1204" customFormat="false" ht="15" hidden="false" customHeight="false" outlineLevel="0" collapsed="false">
      <c r="A1204" s="8" t="n">
        <v>1203</v>
      </c>
      <c r="B1204" s="8" t="s">
        <v>45</v>
      </c>
      <c r="C1204" s="8" t="s">
        <v>1516</v>
      </c>
      <c r="D1204" s="8" t="s">
        <v>3647</v>
      </c>
      <c r="E1204" s="7" t="s">
        <v>3648</v>
      </c>
      <c r="F1204" s="8"/>
      <c r="G1204" s="8" t="s">
        <v>49</v>
      </c>
      <c r="H1204" s="9" t="s">
        <v>49</v>
      </c>
      <c r="I1204" s="9"/>
      <c r="J1204" s="9"/>
      <c r="K1204" s="9" t="s">
        <v>52</v>
      </c>
      <c r="L1204" s="8"/>
      <c r="M1204" s="8"/>
      <c r="N1204" s="8"/>
      <c r="O1204" s="8" t="s">
        <v>3649</v>
      </c>
      <c r="P1204" s="10" t="n">
        <f aca="false">IF($H1204="숙박",0,IF($H1204=MID(P$1,3,20),IF($I1204="",1,0.6),IF($I1204=MID(P$1,3,20),0.4,0)))</f>
        <v>0</v>
      </c>
      <c r="Q1204" s="10" t="n">
        <f aca="false">IF($H1204="숙박",0,IF($H1204=MID(Q$1,3,20),IF($I1204="",1,0.6),IF($I1204=MID(Q$1,3,20),0.4,0)))</f>
        <v>1</v>
      </c>
      <c r="R1204" s="10" t="n">
        <f aca="false">IF($H1204="숙박",0,IF($H1204=MID(R$1,3,20),IF($I1204="",1,0.6),IF($I1204=MID(R$1,3,20),0.4,0)))</f>
        <v>0</v>
      </c>
      <c r="S1204" s="10" t="n">
        <f aca="false">IF($H1204="숙박",0,IF($H1204=MID(S$1,3,20),IF($I1204="",1,0.6),IF($I1204=MID(S$1,3,20),0.4,0)))</f>
        <v>0</v>
      </c>
      <c r="T1204" s="10" t="n">
        <f aca="false">IF($H1204="숙박",0,IF($H1204=MID(T$1,3,20),IF($I1204="",1,0.6),IF($I1204=MID(T$1,3,20),0.4,0)))</f>
        <v>0</v>
      </c>
      <c r="U1204" s="10" t="n">
        <f aca="false">IF($H1204="숙박",0,IF(ISNUMBER(SEARCH("야경",$J1204)),1,0))</f>
        <v>0</v>
      </c>
      <c r="V1204" s="10" t="n">
        <f aca="false">IF($H1204="숙박",0,1)</f>
        <v>1</v>
      </c>
    </row>
    <row r="1205" customFormat="false" ht="15" hidden="false" customHeight="false" outlineLevel="0" collapsed="false">
      <c r="A1205" s="8" t="n">
        <v>1204</v>
      </c>
      <c r="B1205" s="8" t="s">
        <v>45</v>
      </c>
      <c r="C1205" s="8" t="s">
        <v>1489</v>
      </c>
      <c r="D1205" s="8" t="s">
        <v>3650</v>
      </c>
      <c r="E1205" s="7" t="s">
        <v>3651</v>
      </c>
      <c r="F1205" s="8"/>
      <c r="G1205" s="8" t="s">
        <v>190</v>
      </c>
      <c r="H1205" s="9" t="s">
        <v>190</v>
      </c>
      <c r="I1205" s="9"/>
      <c r="J1205" s="9" t="s">
        <v>1361</v>
      </c>
      <c r="K1205" s="9" t="s">
        <v>191</v>
      </c>
      <c r="L1205" s="8"/>
      <c r="M1205" s="8"/>
      <c r="N1205" s="8"/>
      <c r="O1205" s="8" t="s">
        <v>3652</v>
      </c>
      <c r="P1205" s="10" t="n">
        <f aca="false">IF($H1205="숙박",0,IF($H1205=MID(P$1,3,20),IF($I1205="",1,0.6),IF($I1205=MID(P$1,3,20),0.4,0)))</f>
        <v>1</v>
      </c>
      <c r="Q1205" s="10" t="n">
        <f aca="false">IF($H1205="숙박",0,IF($H1205=MID(Q$1,3,20),IF($I1205="",1,0.6),IF($I1205=MID(Q$1,3,20),0.4,0)))</f>
        <v>0</v>
      </c>
      <c r="R1205" s="10" t="n">
        <f aca="false">IF($H1205="숙박",0,IF($H1205=MID(R$1,3,20),IF($I1205="",1,0.6),IF($I1205=MID(R$1,3,20),0.4,0)))</f>
        <v>0</v>
      </c>
      <c r="S1205" s="10" t="n">
        <f aca="false">IF($H1205="숙박",0,IF($H1205=MID(S$1,3,20),IF($I1205="",1,0.6),IF($I1205=MID(S$1,3,20),0.4,0)))</f>
        <v>0</v>
      </c>
      <c r="T1205" s="10" t="n">
        <f aca="false">IF($H1205="숙박",0,IF($H1205=MID(T$1,3,20),IF($I1205="",1,0.6),IF($I1205=MID(T$1,3,20),0.4,0)))</f>
        <v>0</v>
      </c>
      <c r="U1205" s="10" t="n">
        <f aca="false">IF($H1205="숙박",0,IF(ISNUMBER(SEARCH("야경",$J1205)),1,0))</f>
        <v>0</v>
      </c>
      <c r="V1205" s="10" t="n">
        <f aca="false">IF($H1205="숙박",0,1)</f>
        <v>1</v>
      </c>
    </row>
    <row r="1206" customFormat="false" ht="15" hidden="false" customHeight="false" outlineLevel="0" collapsed="false">
      <c r="A1206" s="8" t="n">
        <v>1205</v>
      </c>
      <c r="B1206" s="8" t="s">
        <v>45</v>
      </c>
      <c r="C1206" s="8" t="s">
        <v>1440</v>
      </c>
      <c r="D1206" s="8" t="s">
        <v>3653</v>
      </c>
      <c r="E1206" s="7" t="s">
        <v>3654</v>
      </c>
      <c r="F1206" s="8"/>
      <c r="G1206" s="8" t="s">
        <v>190</v>
      </c>
      <c r="H1206" s="9" t="s">
        <v>190</v>
      </c>
      <c r="I1206" s="9"/>
      <c r="J1206" s="9"/>
      <c r="K1206" s="9" t="s">
        <v>52</v>
      </c>
      <c r="L1206" s="8"/>
      <c r="M1206" s="8"/>
      <c r="N1206" s="8"/>
      <c r="O1206" s="8" t="s">
        <v>3655</v>
      </c>
      <c r="P1206" s="10" t="n">
        <f aca="false">IF($H1206="숙박",0,IF($H1206=MID(P$1,3,20),IF($I1206="",1,0.6),IF($I1206=MID(P$1,3,20),0.4,0)))</f>
        <v>1</v>
      </c>
      <c r="Q1206" s="10" t="n">
        <f aca="false">IF($H1206="숙박",0,IF($H1206=MID(Q$1,3,20),IF($I1206="",1,0.6),IF($I1206=MID(Q$1,3,20),0.4,0)))</f>
        <v>0</v>
      </c>
      <c r="R1206" s="10" t="n">
        <f aca="false">IF($H1206="숙박",0,IF($H1206=MID(R$1,3,20),IF($I1206="",1,0.6),IF($I1206=MID(R$1,3,20),0.4,0)))</f>
        <v>0</v>
      </c>
      <c r="S1206" s="10" t="n">
        <f aca="false">IF($H1206="숙박",0,IF($H1206=MID(S$1,3,20),IF($I1206="",1,0.6),IF($I1206=MID(S$1,3,20),0.4,0)))</f>
        <v>0</v>
      </c>
      <c r="T1206" s="10" t="n">
        <f aca="false">IF($H1206="숙박",0,IF($H1206=MID(T$1,3,20),IF($I1206="",1,0.6),IF($I1206=MID(T$1,3,20),0.4,0)))</f>
        <v>0</v>
      </c>
      <c r="U1206" s="10" t="n">
        <f aca="false">IF($H1206="숙박",0,IF(ISNUMBER(SEARCH("야경",$J1206)),1,0))</f>
        <v>0</v>
      </c>
      <c r="V1206" s="10" t="n">
        <f aca="false">IF($H1206="숙박",0,1)</f>
        <v>1</v>
      </c>
    </row>
    <row r="1207" customFormat="false" ht="15" hidden="false" customHeight="false" outlineLevel="0" collapsed="false">
      <c r="A1207" s="8" t="n">
        <v>1206</v>
      </c>
      <c r="B1207" s="8" t="s">
        <v>45</v>
      </c>
      <c r="C1207" s="8"/>
      <c r="D1207" s="8" t="s">
        <v>3656</v>
      </c>
      <c r="E1207" s="7" t="s">
        <v>3657</v>
      </c>
      <c r="F1207" s="8"/>
      <c r="G1207" s="8" t="s">
        <v>49</v>
      </c>
      <c r="H1207" s="9" t="s">
        <v>49</v>
      </c>
      <c r="I1207" s="9" t="s">
        <v>190</v>
      </c>
      <c r="J1207" s="9"/>
      <c r="K1207" s="9" t="s">
        <v>52</v>
      </c>
      <c r="L1207" s="8"/>
      <c r="M1207" s="8"/>
      <c r="N1207" s="8" t="s">
        <v>483</v>
      </c>
      <c r="O1207" s="8" t="s">
        <v>3658</v>
      </c>
      <c r="P1207" s="10" t="n">
        <f aca="false">IF($H1207="숙박",0,IF($H1207=MID(P$1,3,20),IF($I1207="",1,0.6),IF($I1207=MID(P$1,3,20),0.4,0)))</f>
        <v>0.4</v>
      </c>
      <c r="Q1207" s="10" t="n">
        <f aca="false">IF($H1207="숙박",0,IF($H1207=MID(Q$1,3,20),IF($I1207="",1,0.6),IF($I1207=MID(Q$1,3,20),0.4,0)))</f>
        <v>0.6</v>
      </c>
      <c r="R1207" s="10" t="n">
        <f aca="false">IF($H1207="숙박",0,IF($H1207=MID(R$1,3,20),IF($I1207="",1,0.6),IF($I1207=MID(R$1,3,20),0.4,0)))</f>
        <v>0</v>
      </c>
      <c r="S1207" s="10" t="n">
        <f aca="false">IF($H1207="숙박",0,IF($H1207=MID(S$1,3,20),IF($I1207="",1,0.6),IF($I1207=MID(S$1,3,20),0.4,0)))</f>
        <v>0</v>
      </c>
      <c r="T1207" s="10" t="n">
        <f aca="false">IF($H1207="숙박",0,IF($H1207=MID(T$1,3,20),IF($I1207="",1,0.6),IF($I1207=MID(T$1,3,20),0.4,0)))</f>
        <v>0</v>
      </c>
      <c r="U1207" s="10" t="n">
        <f aca="false">IF($H1207="숙박",0,IF(ISNUMBER(SEARCH("야경",$J1207)),1,0))</f>
        <v>0</v>
      </c>
      <c r="V1207" s="10" t="n">
        <f aca="false">IF($H1207="숙박",0,1)</f>
        <v>1</v>
      </c>
    </row>
    <row r="1208" customFormat="false" ht="15" hidden="false" customHeight="false" outlineLevel="0" collapsed="false">
      <c r="A1208" s="8" t="n">
        <v>1207</v>
      </c>
      <c r="B1208" s="8" t="s">
        <v>45</v>
      </c>
      <c r="C1208" s="8" t="s">
        <v>178</v>
      </c>
      <c r="D1208" s="8" t="s">
        <v>3659</v>
      </c>
      <c r="E1208" s="7" t="s">
        <v>3660</v>
      </c>
      <c r="F1208" s="8"/>
      <c r="G1208" s="8" t="s">
        <v>184</v>
      </c>
      <c r="H1208" s="9" t="s">
        <v>184</v>
      </c>
      <c r="I1208" s="9"/>
      <c r="J1208" s="9"/>
      <c r="K1208" s="9" t="s">
        <v>191</v>
      </c>
      <c r="L1208" s="8"/>
      <c r="M1208" s="8"/>
      <c r="N1208" s="8"/>
      <c r="O1208" s="8" t="s">
        <v>3661</v>
      </c>
      <c r="P1208" s="10" t="n">
        <f aca="false">IF($H1208="숙박",0,IF($H1208=MID(P$1,3,20),IF($I1208="",1,0.6),IF($I1208=MID(P$1,3,20),0.4,0)))</f>
        <v>0</v>
      </c>
      <c r="Q1208" s="10" t="n">
        <f aca="false">IF($H1208="숙박",0,IF($H1208=MID(Q$1,3,20),IF($I1208="",1,0.6),IF($I1208=MID(Q$1,3,20),0.4,0)))</f>
        <v>0</v>
      </c>
      <c r="R1208" s="10" t="n">
        <f aca="false">IF($H1208="숙박",0,IF($H1208=MID(R$1,3,20),IF($I1208="",1,0.6),IF($I1208=MID(R$1,3,20),0.4,0)))</f>
        <v>1</v>
      </c>
      <c r="S1208" s="10" t="n">
        <f aca="false">IF($H1208="숙박",0,IF($H1208=MID(S$1,3,20),IF($I1208="",1,0.6),IF($I1208=MID(S$1,3,20),0.4,0)))</f>
        <v>0</v>
      </c>
      <c r="T1208" s="10" t="n">
        <f aca="false">IF($H1208="숙박",0,IF($H1208=MID(T$1,3,20),IF($I1208="",1,0.6),IF($I1208=MID(T$1,3,20),0.4,0)))</f>
        <v>0</v>
      </c>
      <c r="U1208" s="10" t="n">
        <f aca="false">IF($H1208="숙박",0,IF(ISNUMBER(SEARCH("야경",$J1208)),1,0))</f>
        <v>0</v>
      </c>
      <c r="V1208" s="10" t="n">
        <f aca="false">IF($H1208="숙박",0,1)</f>
        <v>1</v>
      </c>
    </row>
    <row r="1209" customFormat="false" ht="15" hidden="false" customHeight="false" outlineLevel="0" collapsed="false">
      <c r="A1209" s="8" t="n">
        <v>1208</v>
      </c>
      <c r="B1209" s="8" t="s">
        <v>45</v>
      </c>
      <c r="C1209" s="8"/>
      <c r="D1209" s="8" t="s">
        <v>3662</v>
      </c>
      <c r="E1209" s="7" t="s">
        <v>3663</v>
      </c>
      <c r="F1209" s="8"/>
      <c r="G1209" s="8"/>
      <c r="H1209" s="9" t="s">
        <v>594</v>
      </c>
      <c r="I1209" s="9"/>
      <c r="J1209" s="9"/>
      <c r="K1209" s="9"/>
      <c r="L1209" s="8"/>
      <c r="M1209" s="8"/>
      <c r="N1209" s="8" t="s">
        <v>595</v>
      </c>
      <c r="O1209" s="8"/>
      <c r="P1209" s="10" t="n">
        <f aca="false">IF($H1209="숙박",0,IF($H1209=MID(P$1,3,20),IF($I1209="",1,0.6),IF($I1209=MID(P$1,3,20),0.4,0)))</f>
        <v>0</v>
      </c>
      <c r="Q1209" s="10" t="n">
        <f aca="false">IF($H1209="숙박",0,IF($H1209=MID(Q$1,3,20),IF($I1209="",1,0.6),IF($I1209=MID(Q$1,3,20),0.4,0)))</f>
        <v>0</v>
      </c>
      <c r="R1209" s="10" t="n">
        <f aca="false">IF($H1209="숙박",0,IF($H1209=MID(R$1,3,20),IF($I1209="",1,0.6),IF($I1209=MID(R$1,3,20),0.4,0)))</f>
        <v>0</v>
      </c>
      <c r="S1209" s="10" t="n">
        <f aca="false">IF($H1209="숙박",0,IF($H1209=MID(S$1,3,20),IF($I1209="",1,0.6),IF($I1209=MID(S$1,3,20),0.4,0)))</f>
        <v>0</v>
      </c>
      <c r="T1209" s="10" t="n">
        <f aca="false">IF($H1209="숙박",0,IF($H1209=MID(T$1,3,20),IF($I1209="",1,0.6),IF($I1209=MID(T$1,3,20),0.4,0)))</f>
        <v>0</v>
      </c>
      <c r="U1209" s="10" t="n">
        <f aca="false">IF($H1209="숙박",0,IF(ISNUMBER(SEARCH("야경",$J1209)),1,0))</f>
        <v>0</v>
      </c>
      <c r="V1209" s="10" t="n">
        <f aca="false">IF($H1209="숙박",0,1)</f>
        <v>0</v>
      </c>
    </row>
    <row r="1210" customFormat="false" ht="15" hidden="false" customHeight="false" outlineLevel="0" collapsed="false">
      <c r="A1210" s="8" t="n">
        <v>1209</v>
      </c>
      <c r="B1210" s="8" t="s">
        <v>45</v>
      </c>
      <c r="C1210" s="8" t="s">
        <v>178</v>
      </c>
      <c r="D1210" s="8" t="s">
        <v>3664</v>
      </c>
      <c r="E1210" s="7" t="s">
        <v>3665</v>
      </c>
      <c r="F1210" s="8"/>
      <c r="G1210" s="8" t="s">
        <v>190</v>
      </c>
      <c r="H1210" s="9" t="s">
        <v>190</v>
      </c>
      <c r="I1210" s="9"/>
      <c r="J1210" s="9"/>
      <c r="K1210" s="9" t="s">
        <v>191</v>
      </c>
      <c r="L1210" s="8"/>
      <c r="M1210" s="8"/>
      <c r="N1210" s="8"/>
      <c r="O1210" s="8" t="s">
        <v>3666</v>
      </c>
      <c r="P1210" s="10" t="n">
        <f aca="false">IF($H1210="숙박",0,IF($H1210=MID(P$1,3,20),IF($I1210="",1,0.6),IF($I1210=MID(P$1,3,20),0.4,0)))</f>
        <v>1</v>
      </c>
      <c r="Q1210" s="10" t="n">
        <f aca="false">IF($H1210="숙박",0,IF($H1210=MID(Q$1,3,20),IF($I1210="",1,0.6),IF($I1210=MID(Q$1,3,20),0.4,0)))</f>
        <v>0</v>
      </c>
      <c r="R1210" s="10" t="n">
        <f aca="false">IF($H1210="숙박",0,IF($H1210=MID(R$1,3,20),IF($I1210="",1,0.6),IF($I1210=MID(R$1,3,20),0.4,0)))</f>
        <v>0</v>
      </c>
      <c r="S1210" s="10" t="n">
        <f aca="false">IF($H1210="숙박",0,IF($H1210=MID(S$1,3,20),IF($I1210="",1,0.6),IF($I1210=MID(S$1,3,20),0.4,0)))</f>
        <v>0</v>
      </c>
      <c r="T1210" s="10" t="n">
        <f aca="false">IF($H1210="숙박",0,IF($H1210=MID(T$1,3,20),IF($I1210="",1,0.6),IF($I1210=MID(T$1,3,20),0.4,0)))</f>
        <v>0</v>
      </c>
      <c r="U1210" s="10" t="n">
        <f aca="false">IF($H1210="숙박",0,IF(ISNUMBER(SEARCH("야경",$J1210)),1,0))</f>
        <v>0</v>
      </c>
      <c r="V1210" s="10" t="n">
        <f aca="false">IF($H1210="숙박",0,1)</f>
        <v>1</v>
      </c>
    </row>
    <row r="1211" customFormat="false" ht="15" hidden="false" customHeight="false" outlineLevel="0" collapsed="false">
      <c r="A1211" s="8" t="n">
        <v>1210</v>
      </c>
      <c r="B1211" s="8" t="s">
        <v>45</v>
      </c>
      <c r="C1211" s="8"/>
      <c r="D1211" s="8" t="s">
        <v>3667</v>
      </c>
      <c r="E1211" s="7" t="s">
        <v>3668</v>
      </c>
      <c r="F1211" s="8"/>
      <c r="G1211" s="8"/>
      <c r="H1211" s="9" t="s">
        <v>594</v>
      </c>
      <c r="I1211" s="9"/>
      <c r="J1211" s="9"/>
      <c r="K1211" s="9"/>
      <c r="L1211" s="8"/>
      <c r="M1211" s="8"/>
      <c r="N1211" s="8" t="s">
        <v>595</v>
      </c>
      <c r="O1211" s="8"/>
      <c r="P1211" s="10" t="n">
        <f aca="false">IF($H1211="숙박",0,IF($H1211=MID(P$1,3,20),IF($I1211="",1,0.6),IF($I1211=MID(P$1,3,20),0.4,0)))</f>
        <v>0</v>
      </c>
      <c r="Q1211" s="10" t="n">
        <f aca="false">IF($H1211="숙박",0,IF($H1211=MID(Q$1,3,20),IF($I1211="",1,0.6),IF($I1211=MID(Q$1,3,20),0.4,0)))</f>
        <v>0</v>
      </c>
      <c r="R1211" s="10" t="n">
        <f aca="false">IF($H1211="숙박",0,IF($H1211=MID(R$1,3,20),IF($I1211="",1,0.6),IF($I1211=MID(R$1,3,20),0.4,0)))</f>
        <v>0</v>
      </c>
      <c r="S1211" s="10" t="n">
        <f aca="false">IF($H1211="숙박",0,IF($H1211=MID(S$1,3,20),IF($I1211="",1,0.6),IF($I1211=MID(S$1,3,20),0.4,0)))</f>
        <v>0</v>
      </c>
      <c r="T1211" s="10" t="n">
        <f aca="false">IF($H1211="숙박",0,IF($H1211=MID(T$1,3,20),IF($I1211="",1,0.6),IF($I1211=MID(T$1,3,20),0.4,0)))</f>
        <v>0</v>
      </c>
      <c r="U1211" s="10" t="n">
        <f aca="false">IF($H1211="숙박",0,IF(ISNUMBER(SEARCH("야경",$J1211)),1,0))</f>
        <v>0</v>
      </c>
      <c r="V1211" s="10" t="n">
        <f aca="false">IF($H1211="숙박",0,1)</f>
        <v>0</v>
      </c>
    </row>
    <row r="1212" customFormat="false" ht="15" hidden="false" customHeight="false" outlineLevel="0" collapsed="false">
      <c r="A1212" s="8" t="n">
        <v>1211</v>
      </c>
      <c r="B1212" s="8" t="s">
        <v>45</v>
      </c>
      <c r="C1212" s="8"/>
      <c r="D1212" s="8" t="s">
        <v>3669</v>
      </c>
      <c r="E1212" s="7" t="s">
        <v>3670</v>
      </c>
      <c r="F1212" s="8"/>
      <c r="G1212" s="8"/>
      <c r="H1212" s="9" t="s">
        <v>594</v>
      </c>
      <c r="I1212" s="9"/>
      <c r="J1212" s="9"/>
      <c r="K1212" s="9"/>
      <c r="L1212" s="8"/>
      <c r="M1212" s="8"/>
      <c r="N1212" s="8" t="s">
        <v>595</v>
      </c>
      <c r="O1212" s="8"/>
      <c r="P1212" s="10" t="n">
        <f aca="false">IF($H1212="숙박",0,IF($H1212=MID(P$1,3,20),IF($I1212="",1,0.6),IF($I1212=MID(P$1,3,20),0.4,0)))</f>
        <v>0</v>
      </c>
      <c r="Q1212" s="10" t="n">
        <f aca="false">IF($H1212="숙박",0,IF($H1212=MID(Q$1,3,20),IF($I1212="",1,0.6),IF($I1212=MID(Q$1,3,20),0.4,0)))</f>
        <v>0</v>
      </c>
      <c r="R1212" s="10" t="n">
        <f aca="false">IF($H1212="숙박",0,IF($H1212=MID(R$1,3,20),IF($I1212="",1,0.6),IF($I1212=MID(R$1,3,20),0.4,0)))</f>
        <v>0</v>
      </c>
      <c r="S1212" s="10" t="n">
        <f aca="false">IF($H1212="숙박",0,IF($H1212=MID(S$1,3,20),IF($I1212="",1,0.6),IF($I1212=MID(S$1,3,20),0.4,0)))</f>
        <v>0</v>
      </c>
      <c r="T1212" s="10" t="n">
        <f aca="false">IF($H1212="숙박",0,IF($H1212=MID(T$1,3,20),IF($I1212="",1,0.6),IF($I1212=MID(T$1,3,20),0.4,0)))</f>
        <v>0</v>
      </c>
      <c r="U1212" s="10" t="n">
        <f aca="false">IF($H1212="숙박",0,IF(ISNUMBER(SEARCH("야경",$J1212)),1,0))</f>
        <v>0</v>
      </c>
      <c r="V1212" s="10" t="n">
        <f aca="false">IF($H1212="숙박",0,1)</f>
        <v>0</v>
      </c>
    </row>
    <row r="1213" customFormat="false" ht="15" hidden="false" customHeight="false" outlineLevel="0" collapsed="false">
      <c r="A1213" s="8" t="n">
        <v>1212</v>
      </c>
      <c r="B1213" s="8" t="s">
        <v>45</v>
      </c>
      <c r="C1213" s="8" t="s">
        <v>1493</v>
      </c>
      <c r="D1213" s="8" t="s">
        <v>3671</v>
      </c>
      <c r="E1213" s="7" t="s">
        <v>3672</v>
      </c>
      <c r="F1213" s="8"/>
      <c r="G1213" s="8" t="s">
        <v>184</v>
      </c>
      <c r="H1213" s="9" t="s">
        <v>184</v>
      </c>
      <c r="I1213" s="9"/>
      <c r="J1213" s="9"/>
      <c r="K1213" s="9" t="s">
        <v>52</v>
      </c>
      <c r="L1213" s="8"/>
      <c r="M1213" s="8"/>
      <c r="N1213" s="8"/>
      <c r="O1213" s="8" t="s">
        <v>3673</v>
      </c>
      <c r="P1213" s="10" t="n">
        <f aca="false">IF($H1213="숙박",0,IF($H1213=MID(P$1,3,20),IF($I1213="",1,0.6),IF($I1213=MID(P$1,3,20),0.4,0)))</f>
        <v>0</v>
      </c>
      <c r="Q1213" s="10" t="n">
        <f aca="false">IF($H1213="숙박",0,IF($H1213=MID(Q$1,3,20),IF($I1213="",1,0.6),IF($I1213=MID(Q$1,3,20),0.4,0)))</f>
        <v>0</v>
      </c>
      <c r="R1213" s="10" t="n">
        <f aca="false">IF($H1213="숙박",0,IF($H1213=MID(R$1,3,20),IF($I1213="",1,0.6),IF($I1213=MID(R$1,3,20),0.4,0)))</f>
        <v>1</v>
      </c>
      <c r="S1213" s="10" t="n">
        <f aca="false">IF($H1213="숙박",0,IF($H1213=MID(S$1,3,20),IF($I1213="",1,0.6),IF($I1213=MID(S$1,3,20),0.4,0)))</f>
        <v>0</v>
      </c>
      <c r="T1213" s="10" t="n">
        <f aca="false">IF($H1213="숙박",0,IF($H1213=MID(T$1,3,20),IF($I1213="",1,0.6),IF($I1213=MID(T$1,3,20),0.4,0)))</f>
        <v>0</v>
      </c>
      <c r="U1213" s="10" t="n">
        <f aca="false">IF($H1213="숙박",0,IF(ISNUMBER(SEARCH("야경",$J1213)),1,0))</f>
        <v>0</v>
      </c>
      <c r="V1213" s="10" t="n">
        <f aca="false">IF($H1213="숙박",0,1)</f>
        <v>1</v>
      </c>
    </row>
    <row r="1214" customFormat="false" ht="15" hidden="false" customHeight="false" outlineLevel="0" collapsed="false">
      <c r="A1214" s="8" t="n">
        <v>1213</v>
      </c>
      <c r="B1214" s="8" t="s">
        <v>45</v>
      </c>
      <c r="C1214" s="8" t="s">
        <v>1493</v>
      </c>
      <c r="D1214" s="8" t="s">
        <v>3674</v>
      </c>
      <c r="E1214" s="7" t="s">
        <v>3675</v>
      </c>
      <c r="F1214" s="8"/>
      <c r="G1214" s="8" t="s">
        <v>184</v>
      </c>
      <c r="H1214" s="9" t="s">
        <v>184</v>
      </c>
      <c r="I1214" s="9"/>
      <c r="J1214" s="9"/>
      <c r="K1214" s="9" t="s">
        <v>191</v>
      </c>
      <c r="L1214" s="8"/>
      <c r="M1214" s="8"/>
      <c r="N1214" s="8"/>
      <c r="O1214" s="8" t="s">
        <v>3676</v>
      </c>
      <c r="P1214" s="10" t="n">
        <f aca="false">IF($H1214="숙박",0,IF($H1214=MID(P$1,3,20),IF($I1214="",1,0.6),IF($I1214=MID(P$1,3,20),0.4,0)))</f>
        <v>0</v>
      </c>
      <c r="Q1214" s="10" t="n">
        <f aca="false">IF($H1214="숙박",0,IF($H1214=MID(Q$1,3,20),IF($I1214="",1,0.6),IF($I1214=MID(Q$1,3,20),0.4,0)))</f>
        <v>0</v>
      </c>
      <c r="R1214" s="10" t="n">
        <f aca="false">IF($H1214="숙박",0,IF($H1214=MID(R$1,3,20),IF($I1214="",1,0.6),IF($I1214=MID(R$1,3,20),0.4,0)))</f>
        <v>1</v>
      </c>
      <c r="S1214" s="10" t="n">
        <f aca="false">IF($H1214="숙박",0,IF($H1214=MID(S$1,3,20),IF($I1214="",1,0.6),IF($I1214=MID(S$1,3,20),0.4,0)))</f>
        <v>0</v>
      </c>
      <c r="T1214" s="10" t="n">
        <f aca="false">IF($H1214="숙박",0,IF($H1214=MID(T$1,3,20),IF($I1214="",1,0.6),IF($I1214=MID(T$1,3,20),0.4,0)))</f>
        <v>0</v>
      </c>
      <c r="U1214" s="10" t="n">
        <f aca="false">IF($H1214="숙박",0,IF(ISNUMBER(SEARCH("야경",$J1214)),1,0))</f>
        <v>0</v>
      </c>
      <c r="V1214" s="10" t="n">
        <f aca="false">IF($H1214="숙박",0,1)</f>
        <v>1</v>
      </c>
    </row>
    <row r="1215" customFormat="false" ht="15" hidden="false" customHeight="false" outlineLevel="0" collapsed="false">
      <c r="A1215" s="8" t="n">
        <v>1214</v>
      </c>
      <c r="B1215" s="8" t="s">
        <v>45</v>
      </c>
      <c r="C1215" s="8" t="s">
        <v>1493</v>
      </c>
      <c r="D1215" s="8" t="s">
        <v>3677</v>
      </c>
      <c r="E1215" s="7" t="s">
        <v>3678</v>
      </c>
      <c r="F1215" s="8"/>
      <c r="G1215" s="8" t="s">
        <v>49</v>
      </c>
      <c r="H1215" s="9" t="s">
        <v>49</v>
      </c>
      <c r="I1215" s="9"/>
      <c r="J1215" s="9"/>
      <c r="K1215" s="9" t="s">
        <v>52</v>
      </c>
      <c r="L1215" s="8"/>
      <c r="M1215" s="8"/>
      <c r="N1215" s="8"/>
      <c r="O1215" s="8" t="s">
        <v>3679</v>
      </c>
      <c r="P1215" s="10" t="n">
        <f aca="false">IF($H1215="숙박",0,IF($H1215=MID(P$1,3,20),IF($I1215="",1,0.6),IF($I1215=MID(P$1,3,20),0.4,0)))</f>
        <v>0</v>
      </c>
      <c r="Q1215" s="10" t="n">
        <f aca="false">IF($H1215="숙박",0,IF($H1215=MID(Q$1,3,20),IF($I1215="",1,0.6),IF($I1215=MID(Q$1,3,20),0.4,0)))</f>
        <v>1</v>
      </c>
      <c r="R1215" s="10" t="n">
        <f aca="false">IF($H1215="숙박",0,IF($H1215=MID(R$1,3,20),IF($I1215="",1,0.6),IF($I1215=MID(R$1,3,20),0.4,0)))</f>
        <v>0</v>
      </c>
      <c r="S1215" s="10" t="n">
        <f aca="false">IF($H1215="숙박",0,IF($H1215=MID(S$1,3,20),IF($I1215="",1,0.6),IF($I1215=MID(S$1,3,20),0.4,0)))</f>
        <v>0</v>
      </c>
      <c r="T1215" s="10" t="n">
        <f aca="false">IF($H1215="숙박",0,IF($H1215=MID(T$1,3,20),IF($I1215="",1,0.6),IF($I1215=MID(T$1,3,20),0.4,0)))</f>
        <v>0</v>
      </c>
      <c r="U1215" s="10" t="n">
        <f aca="false">IF($H1215="숙박",0,IF(ISNUMBER(SEARCH("야경",$J1215)),1,0))</f>
        <v>0</v>
      </c>
      <c r="V1215" s="10" t="n">
        <f aca="false">IF($H1215="숙박",0,1)</f>
        <v>1</v>
      </c>
    </row>
    <row r="1216" customFormat="false" ht="15" hidden="false" customHeight="false" outlineLevel="0" collapsed="false">
      <c r="A1216" s="8" t="n">
        <v>1215</v>
      </c>
      <c r="B1216" s="8" t="s">
        <v>45</v>
      </c>
      <c r="C1216" s="8" t="s">
        <v>1652</v>
      </c>
      <c r="D1216" s="8" t="s">
        <v>3680</v>
      </c>
      <c r="E1216" s="7" t="s">
        <v>3675</v>
      </c>
      <c r="F1216" s="8"/>
      <c r="G1216" s="8" t="s">
        <v>184</v>
      </c>
      <c r="H1216" s="9" t="s">
        <v>184</v>
      </c>
      <c r="I1216" s="9"/>
      <c r="J1216" s="9"/>
      <c r="K1216" s="9" t="s">
        <v>191</v>
      </c>
      <c r="L1216" s="8"/>
      <c r="M1216" s="8"/>
      <c r="N1216" s="8"/>
      <c r="O1216" s="8" t="s">
        <v>3681</v>
      </c>
      <c r="P1216" s="10" t="n">
        <f aca="false">IF($H1216="숙박",0,IF($H1216=MID(P$1,3,20),IF($I1216="",1,0.6),IF($I1216=MID(P$1,3,20),0.4,0)))</f>
        <v>0</v>
      </c>
      <c r="Q1216" s="10" t="n">
        <f aca="false">IF($H1216="숙박",0,IF($H1216=MID(Q$1,3,20),IF($I1216="",1,0.6),IF($I1216=MID(Q$1,3,20),0.4,0)))</f>
        <v>0</v>
      </c>
      <c r="R1216" s="10" t="n">
        <f aca="false">IF($H1216="숙박",0,IF($H1216=MID(R$1,3,20),IF($I1216="",1,0.6),IF($I1216=MID(R$1,3,20),0.4,0)))</f>
        <v>1</v>
      </c>
      <c r="S1216" s="10" t="n">
        <f aca="false">IF($H1216="숙박",0,IF($H1216=MID(S$1,3,20),IF($I1216="",1,0.6),IF($I1216=MID(S$1,3,20),0.4,0)))</f>
        <v>0</v>
      </c>
      <c r="T1216" s="10" t="n">
        <f aca="false">IF($H1216="숙박",0,IF($H1216=MID(T$1,3,20),IF($I1216="",1,0.6),IF($I1216=MID(T$1,3,20),0.4,0)))</f>
        <v>0</v>
      </c>
      <c r="U1216" s="10" t="n">
        <f aca="false">IF($H1216="숙박",0,IF(ISNUMBER(SEARCH("야경",$J1216)),1,0))</f>
        <v>0</v>
      </c>
      <c r="V1216" s="10" t="n">
        <f aca="false">IF($H1216="숙박",0,1)</f>
        <v>1</v>
      </c>
    </row>
    <row r="1217" customFormat="false" ht="15" hidden="false" customHeight="false" outlineLevel="0" collapsed="false">
      <c r="A1217" s="8" t="n">
        <v>1216</v>
      </c>
      <c r="B1217" s="8" t="s">
        <v>45</v>
      </c>
      <c r="C1217" s="8"/>
      <c r="D1217" s="8" t="s">
        <v>3682</v>
      </c>
      <c r="E1217" s="7" t="s">
        <v>3683</v>
      </c>
      <c r="F1217" s="8"/>
      <c r="G1217" s="8"/>
      <c r="H1217" s="9" t="s">
        <v>594</v>
      </c>
      <c r="I1217" s="9"/>
      <c r="J1217" s="9"/>
      <c r="K1217" s="9"/>
      <c r="L1217" s="8"/>
      <c r="M1217" s="8"/>
      <c r="N1217" s="8" t="s">
        <v>595</v>
      </c>
      <c r="O1217" s="8"/>
      <c r="P1217" s="10" t="n">
        <f aca="false">IF($H1217="숙박",0,IF($H1217=MID(P$1,3,20),IF($I1217="",1,0.6),IF($I1217=MID(P$1,3,20),0.4,0)))</f>
        <v>0</v>
      </c>
      <c r="Q1217" s="10" t="n">
        <f aca="false">IF($H1217="숙박",0,IF($H1217=MID(Q$1,3,20),IF($I1217="",1,0.6),IF($I1217=MID(Q$1,3,20),0.4,0)))</f>
        <v>0</v>
      </c>
      <c r="R1217" s="10" t="n">
        <f aca="false">IF($H1217="숙박",0,IF($H1217=MID(R$1,3,20),IF($I1217="",1,0.6),IF($I1217=MID(R$1,3,20),0.4,0)))</f>
        <v>0</v>
      </c>
      <c r="S1217" s="10" t="n">
        <f aca="false">IF($H1217="숙박",0,IF($H1217=MID(S$1,3,20),IF($I1217="",1,0.6),IF($I1217=MID(S$1,3,20),0.4,0)))</f>
        <v>0</v>
      </c>
      <c r="T1217" s="10" t="n">
        <f aca="false">IF($H1217="숙박",0,IF($H1217=MID(T$1,3,20),IF($I1217="",1,0.6),IF($I1217=MID(T$1,3,20),0.4,0)))</f>
        <v>0</v>
      </c>
      <c r="U1217" s="10" t="n">
        <f aca="false">IF($H1217="숙박",0,IF(ISNUMBER(SEARCH("야경",$J1217)),1,0))</f>
        <v>0</v>
      </c>
      <c r="V1217" s="10" t="n">
        <f aca="false">IF($H1217="숙박",0,1)</f>
        <v>0</v>
      </c>
    </row>
    <row r="1218" customFormat="false" ht="15" hidden="false" customHeight="false" outlineLevel="0" collapsed="false">
      <c r="A1218" s="8" t="n">
        <v>1217</v>
      </c>
      <c r="B1218" s="8" t="s">
        <v>45</v>
      </c>
      <c r="C1218" s="8" t="s">
        <v>2041</v>
      </c>
      <c r="D1218" s="8" t="s">
        <v>3684</v>
      </c>
      <c r="E1218" s="7" t="s">
        <v>3685</v>
      </c>
      <c r="F1218" s="8"/>
      <c r="G1218" s="8" t="s">
        <v>190</v>
      </c>
      <c r="H1218" s="9" t="s">
        <v>190</v>
      </c>
      <c r="I1218" s="9"/>
      <c r="J1218" s="9" t="s">
        <v>1361</v>
      </c>
      <c r="K1218" s="9" t="s">
        <v>191</v>
      </c>
      <c r="L1218" s="8"/>
      <c r="M1218" s="8"/>
      <c r="N1218" s="8"/>
      <c r="O1218" s="8" t="s">
        <v>3686</v>
      </c>
      <c r="P1218" s="10" t="n">
        <f aca="false">IF($H1218="숙박",0,IF($H1218=MID(P$1,3,20),IF($I1218="",1,0.6),IF($I1218=MID(P$1,3,20),0.4,0)))</f>
        <v>1</v>
      </c>
      <c r="Q1218" s="10" t="n">
        <f aca="false">IF($H1218="숙박",0,IF($H1218=MID(Q$1,3,20),IF($I1218="",1,0.6),IF($I1218=MID(Q$1,3,20),0.4,0)))</f>
        <v>0</v>
      </c>
      <c r="R1218" s="10" t="n">
        <f aca="false">IF($H1218="숙박",0,IF($H1218=MID(R$1,3,20),IF($I1218="",1,0.6),IF($I1218=MID(R$1,3,20),0.4,0)))</f>
        <v>0</v>
      </c>
      <c r="S1218" s="10" t="n">
        <f aca="false">IF($H1218="숙박",0,IF($H1218=MID(S$1,3,20),IF($I1218="",1,0.6),IF($I1218=MID(S$1,3,20),0.4,0)))</f>
        <v>0</v>
      </c>
      <c r="T1218" s="10" t="n">
        <f aca="false">IF($H1218="숙박",0,IF($H1218=MID(T$1,3,20),IF($I1218="",1,0.6),IF($I1218=MID(T$1,3,20),0.4,0)))</f>
        <v>0</v>
      </c>
      <c r="U1218" s="10" t="n">
        <f aca="false">IF($H1218="숙박",0,IF(ISNUMBER(SEARCH("야경",$J1218)),1,0))</f>
        <v>0</v>
      </c>
      <c r="V1218" s="10" t="n">
        <f aca="false">IF($H1218="숙박",0,1)</f>
        <v>1</v>
      </c>
    </row>
    <row r="1219" customFormat="false" ht="15" hidden="false" customHeight="false" outlineLevel="0" collapsed="false">
      <c r="A1219" s="8" t="n">
        <v>1218</v>
      </c>
      <c r="B1219" s="8" t="s">
        <v>45</v>
      </c>
      <c r="C1219" s="8"/>
      <c r="D1219" s="8" t="s">
        <v>3687</v>
      </c>
      <c r="E1219" s="7" t="s">
        <v>3688</v>
      </c>
      <c r="F1219" s="8"/>
      <c r="G1219" s="8"/>
      <c r="H1219" s="9" t="s">
        <v>594</v>
      </c>
      <c r="I1219" s="9"/>
      <c r="J1219" s="9"/>
      <c r="K1219" s="9"/>
      <c r="L1219" s="8"/>
      <c r="M1219" s="8"/>
      <c r="N1219" s="8" t="s">
        <v>595</v>
      </c>
      <c r="O1219" s="8"/>
      <c r="P1219" s="10" t="n">
        <f aca="false">IF($H1219="숙박",0,IF($H1219=MID(P$1,3,20),IF($I1219="",1,0.6),IF($I1219=MID(P$1,3,20),0.4,0)))</f>
        <v>0</v>
      </c>
      <c r="Q1219" s="10" t="n">
        <f aca="false">IF($H1219="숙박",0,IF($H1219=MID(Q$1,3,20),IF($I1219="",1,0.6),IF($I1219=MID(Q$1,3,20),0.4,0)))</f>
        <v>0</v>
      </c>
      <c r="R1219" s="10" t="n">
        <f aca="false">IF($H1219="숙박",0,IF($H1219=MID(R$1,3,20),IF($I1219="",1,0.6),IF($I1219=MID(R$1,3,20),0.4,0)))</f>
        <v>0</v>
      </c>
      <c r="S1219" s="10" t="n">
        <f aca="false">IF($H1219="숙박",0,IF($H1219=MID(S$1,3,20),IF($I1219="",1,0.6),IF($I1219=MID(S$1,3,20),0.4,0)))</f>
        <v>0</v>
      </c>
      <c r="T1219" s="10" t="n">
        <f aca="false">IF($H1219="숙박",0,IF($H1219=MID(T$1,3,20),IF($I1219="",1,0.6),IF($I1219=MID(T$1,3,20),0.4,0)))</f>
        <v>0</v>
      </c>
      <c r="U1219" s="10" t="n">
        <f aca="false">IF($H1219="숙박",0,IF(ISNUMBER(SEARCH("야경",$J1219)),1,0))</f>
        <v>0</v>
      </c>
      <c r="V1219" s="10" t="n">
        <f aca="false">IF($H1219="숙박",0,1)</f>
        <v>0</v>
      </c>
    </row>
    <row r="1220" customFormat="false" ht="15" hidden="false" customHeight="false" outlineLevel="0" collapsed="false">
      <c r="A1220" s="8" t="n">
        <v>1219</v>
      </c>
      <c r="B1220" s="8" t="s">
        <v>45</v>
      </c>
      <c r="C1220" s="8" t="s">
        <v>1881</v>
      </c>
      <c r="D1220" s="8" t="s">
        <v>3689</v>
      </c>
      <c r="E1220" s="7" t="s">
        <v>3690</v>
      </c>
      <c r="F1220" s="8"/>
      <c r="G1220" s="8" t="s">
        <v>184</v>
      </c>
      <c r="H1220" s="9" t="s">
        <v>184</v>
      </c>
      <c r="I1220" s="9"/>
      <c r="J1220" s="9" t="s">
        <v>479</v>
      </c>
      <c r="K1220" s="9" t="s">
        <v>191</v>
      </c>
      <c r="L1220" s="8"/>
      <c r="M1220" s="8"/>
      <c r="N1220" s="8"/>
      <c r="O1220" s="8" t="s">
        <v>3691</v>
      </c>
      <c r="P1220" s="10" t="n">
        <f aca="false">IF($H1220="숙박",0,IF($H1220=MID(P$1,3,20),IF($I1220="",1,0.6),IF($I1220=MID(P$1,3,20),0.4,0)))</f>
        <v>0</v>
      </c>
      <c r="Q1220" s="10" t="n">
        <f aca="false">IF($H1220="숙박",0,IF($H1220=MID(Q$1,3,20),IF($I1220="",1,0.6),IF($I1220=MID(Q$1,3,20),0.4,0)))</f>
        <v>0</v>
      </c>
      <c r="R1220" s="10" t="n">
        <f aca="false">IF($H1220="숙박",0,IF($H1220=MID(R$1,3,20),IF($I1220="",1,0.6),IF($I1220=MID(R$1,3,20),0.4,0)))</f>
        <v>1</v>
      </c>
      <c r="S1220" s="10" t="n">
        <f aca="false">IF($H1220="숙박",0,IF($H1220=MID(S$1,3,20),IF($I1220="",1,0.6),IF($I1220=MID(S$1,3,20),0.4,0)))</f>
        <v>0</v>
      </c>
      <c r="T1220" s="10" t="n">
        <f aca="false">IF($H1220="숙박",0,IF($H1220=MID(T$1,3,20),IF($I1220="",1,0.6),IF($I1220=MID(T$1,3,20),0.4,0)))</f>
        <v>0</v>
      </c>
      <c r="U1220" s="10" t="n">
        <f aca="false">IF($H1220="숙박",0,IF(ISNUMBER(SEARCH("야경",$J1220)),1,0))</f>
        <v>0</v>
      </c>
      <c r="V1220" s="10" t="n">
        <f aca="false">IF($H1220="숙박",0,1)</f>
        <v>1</v>
      </c>
    </row>
    <row r="1221" customFormat="false" ht="15" hidden="false" customHeight="false" outlineLevel="0" collapsed="false">
      <c r="A1221" s="8" t="n">
        <v>1220</v>
      </c>
      <c r="B1221" s="8" t="s">
        <v>45</v>
      </c>
      <c r="C1221" s="8" t="s">
        <v>1881</v>
      </c>
      <c r="D1221" s="8" t="s">
        <v>3692</v>
      </c>
      <c r="E1221" s="7" t="s">
        <v>3693</v>
      </c>
      <c r="F1221" s="8"/>
      <c r="G1221" s="8" t="s">
        <v>49</v>
      </c>
      <c r="H1221" s="9" t="s">
        <v>49</v>
      </c>
      <c r="I1221" s="9"/>
      <c r="J1221" s="9"/>
      <c r="K1221" s="9" t="s">
        <v>52</v>
      </c>
      <c r="L1221" s="8"/>
      <c r="M1221" s="8"/>
      <c r="N1221" s="8"/>
      <c r="O1221" s="8" t="s">
        <v>3694</v>
      </c>
      <c r="P1221" s="10" t="n">
        <f aca="false">IF($H1221="숙박",0,IF($H1221=MID(P$1,3,20),IF($I1221="",1,0.6),IF($I1221=MID(P$1,3,20),0.4,0)))</f>
        <v>0</v>
      </c>
      <c r="Q1221" s="10" t="n">
        <f aca="false">IF($H1221="숙박",0,IF($H1221=MID(Q$1,3,20),IF($I1221="",1,0.6),IF($I1221=MID(Q$1,3,20),0.4,0)))</f>
        <v>1</v>
      </c>
      <c r="R1221" s="10" t="n">
        <f aca="false">IF($H1221="숙박",0,IF($H1221=MID(R$1,3,20),IF($I1221="",1,0.6),IF($I1221=MID(R$1,3,20),0.4,0)))</f>
        <v>0</v>
      </c>
      <c r="S1221" s="10" t="n">
        <f aca="false">IF($H1221="숙박",0,IF($H1221=MID(S$1,3,20),IF($I1221="",1,0.6),IF($I1221=MID(S$1,3,20),0.4,0)))</f>
        <v>0</v>
      </c>
      <c r="T1221" s="10" t="n">
        <f aca="false">IF($H1221="숙박",0,IF($H1221=MID(T$1,3,20),IF($I1221="",1,0.6),IF($I1221=MID(T$1,3,20),0.4,0)))</f>
        <v>0</v>
      </c>
      <c r="U1221" s="10" t="n">
        <f aca="false">IF($H1221="숙박",0,IF(ISNUMBER(SEARCH("야경",$J1221)),1,0))</f>
        <v>0</v>
      </c>
      <c r="V1221" s="10" t="n">
        <f aca="false">IF($H1221="숙박",0,1)</f>
        <v>1</v>
      </c>
    </row>
    <row r="1222" customFormat="false" ht="15" hidden="false" customHeight="false" outlineLevel="0" collapsed="false">
      <c r="A1222" s="8" t="n">
        <v>1221</v>
      </c>
      <c r="B1222" s="8" t="s">
        <v>45</v>
      </c>
      <c r="C1222" s="8" t="s">
        <v>1347</v>
      </c>
      <c r="D1222" s="8" t="s">
        <v>3695</v>
      </c>
      <c r="E1222" s="7" t="s">
        <v>3696</v>
      </c>
      <c r="F1222" s="8"/>
      <c r="G1222" s="8" t="s">
        <v>190</v>
      </c>
      <c r="H1222" s="9" t="s">
        <v>190</v>
      </c>
      <c r="I1222" s="9"/>
      <c r="J1222" s="9"/>
      <c r="K1222" s="9" t="s">
        <v>191</v>
      </c>
      <c r="L1222" s="8"/>
      <c r="M1222" s="8"/>
      <c r="N1222" s="8"/>
      <c r="O1222" s="8" t="s">
        <v>3697</v>
      </c>
      <c r="P1222" s="10" t="n">
        <f aca="false">IF($H1222="숙박",0,IF($H1222=MID(P$1,3,20),IF($I1222="",1,0.6),IF($I1222=MID(P$1,3,20),0.4,0)))</f>
        <v>1</v>
      </c>
      <c r="Q1222" s="10" t="n">
        <f aca="false">IF($H1222="숙박",0,IF($H1222=MID(Q$1,3,20),IF($I1222="",1,0.6),IF($I1222=MID(Q$1,3,20),0.4,0)))</f>
        <v>0</v>
      </c>
      <c r="R1222" s="10" t="n">
        <f aca="false">IF($H1222="숙박",0,IF($H1222=MID(R$1,3,20),IF($I1222="",1,0.6),IF($I1222=MID(R$1,3,20),0.4,0)))</f>
        <v>0</v>
      </c>
      <c r="S1222" s="10" t="n">
        <f aca="false">IF($H1222="숙박",0,IF($H1222=MID(S$1,3,20),IF($I1222="",1,0.6),IF($I1222=MID(S$1,3,20),0.4,0)))</f>
        <v>0</v>
      </c>
      <c r="T1222" s="10" t="n">
        <f aca="false">IF($H1222="숙박",0,IF($H1222=MID(T$1,3,20),IF($I1222="",1,0.6),IF($I1222=MID(T$1,3,20),0.4,0)))</f>
        <v>0</v>
      </c>
      <c r="U1222" s="10" t="n">
        <f aca="false">IF($H1222="숙박",0,IF(ISNUMBER(SEARCH("야경",$J1222)),1,0))</f>
        <v>0</v>
      </c>
      <c r="V1222" s="10" t="n">
        <f aca="false">IF($H1222="숙박",0,1)</f>
        <v>1</v>
      </c>
    </row>
    <row r="1223" customFormat="false" ht="15" hidden="false" customHeight="false" outlineLevel="0" collapsed="false">
      <c r="A1223" s="8" t="n">
        <v>1222</v>
      </c>
      <c r="B1223" s="8" t="s">
        <v>45</v>
      </c>
      <c r="C1223" s="8"/>
      <c r="D1223" s="8" t="s">
        <v>3698</v>
      </c>
      <c r="E1223" s="7" t="s">
        <v>3699</v>
      </c>
      <c r="F1223" s="8"/>
      <c r="G1223" s="8"/>
      <c r="H1223" s="9" t="s">
        <v>594</v>
      </c>
      <c r="I1223" s="9"/>
      <c r="J1223" s="9"/>
      <c r="K1223" s="9"/>
      <c r="L1223" s="8"/>
      <c r="M1223" s="8"/>
      <c r="N1223" s="8" t="s">
        <v>595</v>
      </c>
      <c r="O1223" s="8"/>
      <c r="P1223" s="10" t="n">
        <f aca="false">IF($H1223="숙박",0,IF($H1223=MID(P$1,3,20),IF($I1223="",1,0.6),IF($I1223=MID(P$1,3,20),0.4,0)))</f>
        <v>0</v>
      </c>
      <c r="Q1223" s="10" t="n">
        <f aca="false">IF($H1223="숙박",0,IF($H1223=MID(Q$1,3,20),IF($I1223="",1,0.6),IF($I1223=MID(Q$1,3,20),0.4,0)))</f>
        <v>0</v>
      </c>
      <c r="R1223" s="10" t="n">
        <f aca="false">IF($H1223="숙박",0,IF($H1223=MID(R$1,3,20),IF($I1223="",1,0.6),IF($I1223=MID(R$1,3,20),0.4,0)))</f>
        <v>0</v>
      </c>
      <c r="S1223" s="10" t="n">
        <f aca="false">IF($H1223="숙박",0,IF($H1223=MID(S$1,3,20),IF($I1223="",1,0.6),IF($I1223=MID(S$1,3,20),0.4,0)))</f>
        <v>0</v>
      </c>
      <c r="T1223" s="10" t="n">
        <f aca="false">IF($H1223="숙박",0,IF($H1223=MID(T$1,3,20),IF($I1223="",1,0.6),IF($I1223=MID(T$1,3,20),0.4,0)))</f>
        <v>0</v>
      </c>
      <c r="U1223" s="10" t="n">
        <f aca="false">IF($H1223="숙박",0,IF(ISNUMBER(SEARCH("야경",$J1223)),1,0))</f>
        <v>0</v>
      </c>
      <c r="V1223" s="10" t="n">
        <f aca="false">IF($H1223="숙박",0,1)</f>
        <v>0</v>
      </c>
    </row>
    <row r="1224" customFormat="false" ht="15" hidden="false" customHeight="false" outlineLevel="0" collapsed="false">
      <c r="A1224" s="8" t="n">
        <v>1223</v>
      </c>
      <c r="B1224" s="8" t="s">
        <v>45</v>
      </c>
      <c r="C1224" s="8" t="s">
        <v>376</v>
      </c>
      <c r="D1224" s="8" t="s">
        <v>3700</v>
      </c>
      <c r="E1224" s="7" t="s">
        <v>3701</v>
      </c>
      <c r="F1224" s="8"/>
      <c r="G1224" s="8" t="s">
        <v>50</v>
      </c>
      <c r="H1224" s="9" t="s">
        <v>50</v>
      </c>
      <c r="I1224" s="9" t="s">
        <v>49</v>
      </c>
      <c r="J1224" s="9" t="s">
        <v>168</v>
      </c>
      <c r="K1224" s="9" t="s">
        <v>52</v>
      </c>
      <c r="L1224" s="8"/>
      <c r="M1224" s="8"/>
      <c r="N1224" s="8" t="s">
        <v>483</v>
      </c>
      <c r="O1224" s="8" t="s">
        <v>3702</v>
      </c>
      <c r="P1224" s="10" t="n">
        <f aca="false">IF($H1224="숙박",0,IF($H1224=MID(P$1,3,20),IF($I1224="",1,0.6),IF($I1224=MID(P$1,3,20),0.4,0)))</f>
        <v>0</v>
      </c>
      <c r="Q1224" s="10" t="n">
        <f aca="false">IF($H1224="숙박",0,IF($H1224=MID(Q$1,3,20),IF($I1224="",1,0.6),IF($I1224=MID(Q$1,3,20),0.4,0)))</f>
        <v>0.4</v>
      </c>
      <c r="R1224" s="10" t="n">
        <f aca="false">IF($H1224="숙박",0,IF($H1224=MID(R$1,3,20),IF($I1224="",1,0.6),IF($I1224=MID(R$1,3,20),0.4,0)))</f>
        <v>0</v>
      </c>
      <c r="S1224" s="10" t="n">
        <f aca="false">IF($H1224="숙박",0,IF($H1224=MID(S$1,3,20),IF($I1224="",1,0.6),IF($I1224=MID(S$1,3,20),0.4,0)))</f>
        <v>0</v>
      </c>
      <c r="T1224" s="10" t="n">
        <f aca="false">IF($H1224="숙박",0,IF($H1224=MID(T$1,3,20),IF($I1224="",1,0.6),IF($I1224=MID(T$1,3,20),0.4,0)))</f>
        <v>0.6</v>
      </c>
      <c r="U1224" s="10" t="n">
        <f aca="false">IF($H1224="숙박",0,IF(ISNUMBER(SEARCH("야경",$J1224)),1,0))</f>
        <v>0</v>
      </c>
      <c r="V1224" s="10" t="n">
        <f aca="false">IF($H1224="숙박",0,1)</f>
        <v>1</v>
      </c>
    </row>
    <row r="1225" customFormat="false" ht="15" hidden="false" customHeight="false" outlineLevel="0" collapsed="false">
      <c r="A1225" s="8" t="n">
        <v>1224</v>
      </c>
      <c r="B1225" s="8" t="s">
        <v>45</v>
      </c>
      <c r="C1225" s="8"/>
      <c r="D1225" s="8" t="s">
        <v>3703</v>
      </c>
      <c r="E1225" s="7" t="s">
        <v>3704</v>
      </c>
      <c r="F1225" s="8"/>
      <c r="G1225" s="8"/>
      <c r="H1225" s="9" t="s">
        <v>594</v>
      </c>
      <c r="I1225" s="9"/>
      <c r="J1225" s="9"/>
      <c r="K1225" s="9"/>
      <c r="L1225" s="8"/>
      <c r="M1225" s="8"/>
      <c r="N1225" s="8" t="s">
        <v>595</v>
      </c>
      <c r="O1225" s="8"/>
      <c r="P1225" s="10" t="n">
        <f aca="false">IF($H1225="숙박",0,IF($H1225=MID(P$1,3,20),IF($I1225="",1,0.6),IF($I1225=MID(P$1,3,20),0.4,0)))</f>
        <v>0</v>
      </c>
      <c r="Q1225" s="10" t="n">
        <f aca="false">IF($H1225="숙박",0,IF($H1225=MID(Q$1,3,20),IF($I1225="",1,0.6),IF($I1225=MID(Q$1,3,20),0.4,0)))</f>
        <v>0</v>
      </c>
      <c r="R1225" s="10" t="n">
        <f aca="false">IF($H1225="숙박",0,IF($H1225=MID(R$1,3,20),IF($I1225="",1,0.6),IF($I1225=MID(R$1,3,20),0.4,0)))</f>
        <v>0</v>
      </c>
      <c r="S1225" s="10" t="n">
        <f aca="false">IF($H1225="숙박",0,IF($H1225=MID(S$1,3,20),IF($I1225="",1,0.6),IF($I1225=MID(S$1,3,20),0.4,0)))</f>
        <v>0</v>
      </c>
      <c r="T1225" s="10" t="n">
        <f aca="false">IF($H1225="숙박",0,IF($H1225=MID(T$1,3,20),IF($I1225="",1,0.6),IF($I1225=MID(T$1,3,20),0.4,0)))</f>
        <v>0</v>
      </c>
      <c r="U1225" s="10" t="n">
        <f aca="false">IF($H1225="숙박",0,IF(ISNUMBER(SEARCH("야경",$J1225)),1,0))</f>
        <v>0</v>
      </c>
      <c r="V1225" s="10" t="n">
        <f aca="false">IF($H1225="숙박",0,1)</f>
        <v>0</v>
      </c>
    </row>
    <row r="1226" customFormat="false" ht="15" hidden="false" customHeight="false" outlineLevel="0" collapsed="false">
      <c r="A1226" s="8" t="n">
        <v>1225</v>
      </c>
      <c r="B1226" s="8" t="s">
        <v>45</v>
      </c>
      <c r="C1226" s="8" t="s">
        <v>1881</v>
      </c>
      <c r="D1226" s="8" t="s">
        <v>3705</v>
      </c>
      <c r="E1226" s="7" t="s">
        <v>3706</v>
      </c>
      <c r="F1226" s="8"/>
      <c r="G1226" s="8" t="s">
        <v>190</v>
      </c>
      <c r="H1226" s="9" t="s">
        <v>190</v>
      </c>
      <c r="I1226" s="9"/>
      <c r="J1226" s="9"/>
      <c r="K1226" s="9" t="s">
        <v>191</v>
      </c>
      <c r="L1226" s="8"/>
      <c r="M1226" s="8"/>
      <c r="N1226" s="8"/>
      <c r="O1226" s="8" t="s">
        <v>3707</v>
      </c>
      <c r="P1226" s="10" t="n">
        <f aca="false">IF($H1226="숙박",0,IF($H1226=MID(P$1,3,20),IF($I1226="",1,0.6),IF($I1226=MID(P$1,3,20),0.4,0)))</f>
        <v>1</v>
      </c>
      <c r="Q1226" s="10" t="n">
        <f aca="false">IF($H1226="숙박",0,IF($H1226=MID(Q$1,3,20),IF($I1226="",1,0.6),IF($I1226=MID(Q$1,3,20),0.4,0)))</f>
        <v>0</v>
      </c>
      <c r="R1226" s="10" t="n">
        <f aca="false">IF($H1226="숙박",0,IF($H1226=MID(R$1,3,20),IF($I1226="",1,0.6),IF($I1226=MID(R$1,3,20),0.4,0)))</f>
        <v>0</v>
      </c>
      <c r="S1226" s="10" t="n">
        <f aca="false">IF($H1226="숙박",0,IF($H1226=MID(S$1,3,20),IF($I1226="",1,0.6),IF($I1226=MID(S$1,3,20),0.4,0)))</f>
        <v>0</v>
      </c>
      <c r="T1226" s="10" t="n">
        <f aca="false">IF($H1226="숙박",0,IF($H1226=MID(T$1,3,20),IF($I1226="",1,0.6),IF($I1226=MID(T$1,3,20),0.4,0)))</f>
        <v>0</v>
      </c>
      <c r="U1226" s="10" t="n">
        <f aca="false">IF($H1226="숙박",0,IF(ISNUMBER(SEARCH("야경",$J1226)),1,0))</f>
        <v>0</v>
      </c>
      <c r="V1226" s="10" t="n">
        <f aca="false">IF($H1226="숙박",0,1)</f>
        <v>1</v>
      </c>
    </row>
    <row r="1227" customFormat="false" ht="15" hidden="false" customHeight="false" outlineLevel="0" collapsed="false">
      <c r="A1227" s="8" t="n">
        <v>1226</v>
      </c>
      <c r="B1227" s="8" t="s">
        <v>45</v>
      </c>
      <c r="C1227" s="8"/>
      <c r="D1227" s="8" t="s">
        <v>3708</v>
      </c>
      <c r="E1227" s="7" t="s">
        <v>3709</v>
      </c>
      <c r="F1227" s="8"/>
      <c r="G1227" s="8"/>
      <c r="H1227" s="9" t="s">
        <v>594</v>
      </c>
      <c r="I1227" s="9"/>
      <c r="J1227" s="9"/>
      <c r="K1227" s="9"/>
      <c r="L1227" s="8"/>
      <c r="M1227" s="8"/>
      <c r="N1227" s="8" t="s">
        <v>595</v>
      </c>
      <c r="O1227" s="8"/>
      <c r="P1227" s="10" t="n">
        <f aca="false">IF($H1227="숙박",0,IF($H1227=MID(P$1,3,20),IF($I1227="",1,0.6),IF($I1227=MID(P$1,3,20),0.4,0)))</f>
        <v>0</v>
      </c>
      <c r="Q1227" s="10" t="n">
        <f aca="false">IF($H1227="숙박",0,IF($H1227=MID(Q$1,3,20),IF($I1227="",1,0.6),IF($I1227=MID(Q$1,3,20),0.4,0)))</f>
        <v>0</v>
      </c>
      <c r="R1227" s="10" t="n">
        <f aca="false">IF($H1227="숙박",0,IF($H1227=MID(R$1,3,20),IF($I1227="",1,0.6),IF($I1227=MID(R$1,3,20),0.4,0)))</f>
        <v>0</v>
      </c>
      <c r="S1227" s="10" t="n">
        <f aca="false">IF($H1227="숙박",0,IF($H1227=MID(S$1,3,20),IF($I1227="",1,0.6),IF($I1227=MID(S$1,3,20),0.4,0)))</f>
        <v>0</v>
      </c>
      <c r="T1227" s="10" t="n">
        <f aca="false">IF($H1227="숙박",0,IF($H1227=MID(T$1,3,20),IF($I1227="",1,0.6),IF($I1227=MID(T$1,3,20),0.4,0)))</f>
        <v>0</v>
      </c>
      <c r="U1227" s="10" t="n">
        <f aca="false">IF($H1227="숙박",0,IF(ISNUMBER(SEARCH("야경",$J1227)),1,0))</f>
        <v>0</v>
      </c>
      <c r="V1227" s="10" t="n">
        <f aca="false">IF($H1227="숙박",0,1)</f>
        <v>0</v>
      </c>
    </row>
    <row r="1228" customFormat="false" ht="15" hidden="false" customHeight="false" outlineLevel="0" collapsed="false">
      <c r="A1228" s="8" t="n">
        <v>1227</v>
      </c>
      <c r="B1228" s="8" t="s">
        <v>45</v>
      </c>
      <c r="C1228" s="8"/>
      <c r="D1228" s="8" t="s">
        <v>3710</v>
      </c>
      <c r="E1228" s="7" t="s">
        <v>3711</v>
      </c>
      <c r="F1228" s="8"/>
      <c r="G1228" s="8"/>
      <c r="H1228" s="9" t="s">
        <v>594</v>
      </c>
      <c r="I1228" s="9"/>
      <c r="J1228" s="9"/>
      <c r="K1228" s="9"/>
      <c r="L1228" s="8"/>
      <c r="M1228" s="8"/>
      <c r="N1228" s="8" t="s">
        <v>595</v>
      </c>
      <c r="O1228" s="8"/>
      <c r="P1228" s="10" t="n">
        <f aca="false">IF($H1228="숙박",0,IF($H1228=MID(P$1,3,20),IF($I1228="",1,0.6),IF($I1228=MID(P$1,3,20),0.4,0)))</f>
        <v>0</v>
      </c>
      <c r="Q1228" s="10" t="n">
        <f aca="false">IF($H1228="숙박",0,IF($H1228=MID(Q$1,3,20),IF($I1228="",1,0.6),IF($I1228=MID(Q$1,3,20),0.4,0)))</f>
        <v>0</v>
      </c>
      <c r="R1228" s="10" t="n">
        <f aca="false">IF($H1228="숙박",0,IF($H1228=MID(R$1,3,20),IF($I1228="",1,0.6),IF($I1228=MID(R$1,3,20),0.4,0)))</f>
        <v>0</v>
      </c>
      <c r="S1228" s="10" t="n">
        <f aca="false">IF($H1228="숙박",0,IF($H1228=MID(S$1,3,20),IF($I1228="",1,0.6),IF($I1228=MID(S$1,3,20),0.4,0)))</f>
        <v>0</v>
      </c>
      <c r="T1228" s="10" t="n">
        <f aca="false">IF($H1228="숙박",0,IF($H1228=MID(T$1,3,20),IF($I1228="",1,0.6),IF($I1228=MID(T$1,3,20),0.4,0)))</f>
        <v>0</v>
      </c>
      <c r="U1228" s="10" t="n">
        <f aca="false">IF($H1228="숙박",0,IF(ISNUMBER(SEARCH("야경",$J1228)),1,0))</f>
        <v>0</v>
      </c>
      <c r="V1228" s="10" t="n">
        <f aca="false">IF($H1228="숙박",0,1)</f>
        <v>0</v>
      </c>
    </row>
    <row r="1229" customFormat="false" ht="15" hidden="false" customHeight="false" outlineLevel="0" collapsed="false">
      <c r="A1229" s="8" t="n">
        <v>1228</v>
      </c>
      <c r="B1229" s="8" t="s">
        <v>45</v>
      </c>
      <c r="C1229" s="8"/>
      <c r="D1229" s="8" t="s">
        <v>3712</v>
      </c>
      <c r="E1229" s="7" t="s">
        <v>3713</v>
      </c>
      <c r="F1229" s="8"/>
      <c r="G1229" s="8"/>
      <c r="H1229" s="9" t="s">
        <v>594</v>
      </c>
      <c r="I1229" s="9"/>
      <c r="J1229" s="9"/>
      <c r="K1229" s="9"/>
      <c r="L1229" s="8"/>
      <c r="M1229" s="8"/>
      <c r="N1229" s="8" t="s">
        <v>595</v>
      </c>
      <c r="O1229" s="8"/>
      <c r="P1229" s="10" t="n">
        <f aca="false">IF($H1229="숙박",0,IF($H1229=MID(P$1,3,20),IF($I1229="",1,0.6),IF($I1229=MID(P$1,3,20),0.4,0)))</f>
        <v>0</v>
      </c>
      <c r="Q1229" s="10" t="n">
        <f aca="false">IF($H1229="숙박",0,IF($H1229=MID(Q$1,3,20),IF($I1229="",1,0.6),IF($I1229=MID(Q$1,3,20),0.4,0)))</f>
        <v>0</v>
      </c>
      <c r="R1229" s="10" t="n">
        <f aca="false">IF($H1229="숙박",0,IF($H1229=MID(R$1,3,20),IF($I1229="",1,0.6),IF($I1229=MID(R$1,3,20),0.4,0)))</f>
        <v>0</v>
      </c>
      <c r="S1229" s="10" t="n">
        <f aca="false">IF($H1229="숙박",0,IF($H1229=MID(S$1,3,20),IF($I1229="",1,0.6),IF($I1229=MID(S$1,3,20),0.4,0)))</f>
        <v>0</v>
      </c>
      <c r="T1229" s="10" t="n">
        <f aca="false">IF($H1229="숙박",0,IF($H1229=MID(T$1,3,20),IF($I1229="",1,0.6),IF($I1229=MID(T$1,3,20),0.4,0)))</f>
        <v>0</v>
      </c>
      <c r="U1229" s="10" t="n">
        <f aca="false">IF($H1229="숙박",0,IF(ISNUMBER(SEARCH("야경",$J1229)),1,0))</f>
        <v>0</v>
      </c>
      <c r="V1229" s="10" t="n">
        <f aca="false">IF($H1229="숙박",0,1)</f>
        <v>0</v>
      </c>
    </row>
    <row r="1230" customFormat="false" ht="15" hidden="false" customHeight="false" outlineLevel="0" collapsed="false">
      <c r="A1230" s="8" t="n">
        <v>1229</v>
      </c>
      <c r="B1230" s="8" t="s">
        <v>45</v>
      </c>
      <c r="C1230" s="8" t="s">
        <v>376</v>
      </c>
      <c r="D1230" s="8" t="s">
        <v>3714</v>
      </c>
      <c r="E1230" s="7" t="s">
        <v>3715</v>
      </c>
      <c r="F1230" s="8"/>
      <c r="G1230" s="8" t="s">
        <v>50</v>
      </c>
      <c r="H1230" s="9" t="s">
        <v>50</v>
      </c>
      <c r="I1230" s="9" t="s">
        <v>49</v>
      </c>
      <c r="J1230" s="9" t="s">
        <v>168</v>
      </c>
      <c r="K1230" s="9" t="s">
        <v>52</v>
      </c>
      <c r="L1230" s="8"/>
      <c r="M1230" s="8"/>
      <c r="N1230" s="8" t="s">
        <v>483</v>
      </c>
      <c r="O1230" s="8" t="s">
        <v>3716</v>
      </c>
      <c r="P1230" s="10" t="n">
        <f aca="false">IF($H1230="숙박",0,IF($H1230=MID(P$1,3,20),IF($I1230="",1,0.6),IF($I1230=MID(P$1,3,20),0.4,0)))</f>
        <v>0</v>
      </c>
      <c r="Q1230" s="10" t="n">
        <f aca="false">IF($H1230="숙박",0,IF($H1230=MID(Q$1,3,20),IF($I1230="",1,0.6),IF($I1230=MID(Q$1,3,20),0.4,0)))</f>
        <v>0.4</v>
      </c>
      <c r="R1230" s="10" t="n">
        <f aca="false">IF($H1230="숙박",0,IF($H1230=MID(R$1,3,20),IF($I1230="",1,0.6),IF($I1230=MID(R$1,3,20),0.4,0)))</f>
        <v>0</v>
      </c>
      <c r="S1230" s="10" t="n">
        <f aca="false">IF($H1230="숙박",0,IF($H1230=MID(S$1,3,20),IF($I1230="",1,0.6),IF($I1230=MID(S$1,3,20),0.4,0)))</f>
        <v>0</v>
      </c>
      <c r="T1230" s="10" t="n">
        <f aca="false">IF($H1230="숙박",0,IF($H1230=MID(T$1,3,20),IF($I1230="",1,0.6),IF($I1230=MID(T$1,3,20),0.4,0)))</f>
        <v>0.6</v>
      </c>
      <c r="U1230" s="10" t="n">
        <f aca="false">IF($H1230="숙박",0,IF(ISNUMBER(SEARCH("야경",$J1230)),1,0))</f>
        <v>0</v>
      </c>
      <c r="V1230" s="10" t="n">
        <f aca="false">IF($H1230="숙박",0,1)</f>
        <v>1</v>
      </c>
    </row>
    <row r="1231" customFormat="false" ht="15" hidden="false" customHeight="false" outlineLevel="0" collapsed="false">
      <c r="A1231" s="8" t="n">
        <v>1230</v>
      </c>
      <c r="B1231" s="8" t="s">
        <v>45</v>
      </c>
      <c r="C1231" s="8" t="s">
        <v>317</v>
      </c>
      <c r="D1231" s="8" t="s">
        <v>3717</v>
      </c>
      <c r="E1231" s="7" t="s">
        <v>3718</v>
      </c>
      <c r="F1231" s="8"/>
      <c r="G1231" s="8" t="s">
        <v>190</v>
      </c>
      <c r="H1231" s="9" t="s">
        <v>190</v>
      </c>
      <c r="I1231" s="9"/>
      <c r="J1231" s="9"/>
      <c r="K1231" s="9" t="s">
        <v>191</v>
      </c>
      <c r="L1231" s="8"/>
      <c r="M1231" s="8"/>
      <c r="N1231" s="8"/>
      <c r="O1231" s="8" t="s">
        <v>3719</v>
      </c>
      <c r="P1231" s="10" t="n">
        <f aca="false">IF($H1231="숙박",0,IF($H1231=MID(P$1,3,20),IF($I1231="",1,0.6),IF($I1231=MID(P$1,3,20),0.4,0)))</f>
        <v>1</v>
      </c>
      <c r="Q1231" s="10" t="n">
        <f aca="false">IF($H1231="숙박",0,IF($H1231=MID(Q$1,3,20),IF($I1231="",1,0.6),IF($I1231=MID(Q$1,3,20),0.4,0)))</f>
        <v>0</v>
      </c>
      <c r="R1231" s="10" t="n">
        <f aca="false">IF($H1231="숙박",0,IF($H1231=MID(R$1,3,20),IF($I1231="",1,0.6),IF($I1231=MID(R$1,3,20),0.4,0)))</f>
        <v>0</v>
      </c>
      <c r="S1231" s="10" t="n">
        <f aca="false">IF($H1231="숙박",0,IF($H1231=MID(S$1,3,20),IF($I1231="",1,0.6),IF($I1231=MID(S$1,3,20),0.4,0)))</f>
        <v>0</v>
      </c>
      <c r="T1231" s="10" t="n">
        <f aca="false">IF($H1231="숙박",0,IF($H1231=MID(T$1,3,20),IF($I1231="",1,0.6),IF($I1231=MID(T$1,3,20),0.4,0)))</f>
        <v>0</v>
      </c>
      <c r="U1231" s="10" t="n">
        <f aca="false">IF($H1231="숙박",0,IF(ISNUMBER(SEARCH("야경",$J1231)),1,0))</f>
        <v>0</v>
      </c>
      <c r="V1231" s="10" t="n">
        <f aca="false">IF($H1231="숙박",0,1)</f>
        <v>1</v>
      </c>
    </row>
    <row r="1232" customFormat="false" ht="15" hidden="false" customHeight="false" outlineLevel="0" collapsed="false">
      <c r="A1232" s="8" t="n">
        <v>1231</v>
      </c>
      <c r="B1232" s="8" t="s">
        <v>45</v>
      </c>
      <c r="C1232" s="8" t="s">
        <v>1855</v>
      </c>
      <c r="D1232" s="8" t="s">
        <v>3720</v>
      </c>
      <c r="E1232" s="7" t="s">
        <v>3721</v>
      </c>
      <c r="F1232" s="8"/>
      <c r="G1232" s="8" t="s">
        <v>49</v>
      </c>
      <c r="H1232" s="9" t="s">
        <v>49</v>
      </c>
      <c r="I1232" s="9"/>
      <c r="J1232" s="9"/>
      <c r="K1232" s="9" t="s">
        <v>52</v>
      </c>
      <c r="L1232" s="8"/>
      <c r="M1232" s="8"/>
      <c r="N1232" s="8"/>
      <c r="O1232" s="8" t="s">
        <v>3722</v>
      </c>
      <c r="P1232" s="10" t="n">
        <f aca="false">IF($H1232="숙박",0,IF($H1232=MID(P$1,3,20),IF($I1232="",1,0.6),IF($I1232=MID(P$1,3,20),0.4,0)))</f>
        <v>0</v>
      </c>
      <c r="Q1232" s="10" t="n">
        <f aca="false">IF($H1232="숙박",0,IF($H1232=MID(Q$1,3,20),IF($I1232="",1,0.6),IF($I1232=MID(Q$1,3,20),0.4,0)))</f>
        <v>1</v>
      </c>
      <c r="R1232" s="10" t="n">
        <f aca="false">IF($H1232="숙박",0,IF($H1232=MID(R$1,3,20),IF($I1232="",1,0.6),IF($I1232=MID(R$1,3,20),0.4,0)))</f>
        <v>0</v>
      </c>
      <c r="S1232" s="10" t="n">
        <f aca="false">IF($H1232="숙박",0,IF($H1232=MID(S$1,3,20),IF($I1232="",1,0.6),IF($I1232=MID(S$1,3,20),0.4,0)))</f>
        <v>0</v>
      </c>
      <c r="T1232" s="10" t="n">
        <f aca="false">IF($H1232="숙박",0,IF($H1232=MID(T$1,3,20),IF($I1232="",1,0.6),IF($I1232=MID(T$1,3,20),0.4,0)))</f>
        <v>0</v>
      </c>
      <c r="U1232" s="10" t="n">
        <f aca="false">IF($H1232="숙박",0,IF(ISNUMBER(SEARCH("야경",$J1232)),1,0))</f>
        <v>0</v>
      </c>
      <c r="V1232" s="10" t="n">
        <f aca="false">IF($H1232="숙박",0,1)</f>
        <v>1</v>
      </c>
    </row>
    <row r="1233" customFormat="false" ht="15" hidden="false" customHeight="false" outlineLevel="0" collapsed="false">
      <c r="A1233" s="8" t="n">
        <v>1232</v>
      </c>
      <c r="B1233" s="8" t="s">
        <v>45</v>
      </c>
      <c r="C1233" s="8" t="s">
        <v>1652</v>
      </c>
      <c r="D1233" s="8" t="s">
        <v>3723</v>
      </c>
      <c r="E1233" s="7" t="s">
        <v>3724</v>
      </c>
      <c r="F1233" s="8"/>
      <c r="G1233" s="8" t="s">
        <v>49</v>
      </c>
      <c r="H1233" s="9" t="s">
        <v>49</v>
      </c>
      <c r="I1233" s="9" t="s">
        <v>190</v>
      </c>
      <c r="J1233" s="9" t="s">
        <v>43</v>
      </c>
      <c r="K1233" s="9" t="s">
        <v>52</v>
      </c>
      <c r="L1233" s="8"/>
      <c r="M1233" s="8"/>
      <c r="N1233" s="8" t="s">
        <v>483</v>
      </c>
      <c r="O1233" s="8" t="s">
        <v>3725</v>
      </c>
      <c r="P1233" s="10" t="n">
        <f aca="false">IF($H1233="숙박",0,IF($H1233=MID(P$1,3,20),IF($I1233="",1,0.6),IF($I1233=MID(P$1,3,20),0.4,0)))</f>
        <v>0.4</v>
      </c>
      <c r="Q1233" s="10" t="n">
        <f aca="false">IF($H1233="숙박",0,IF($H1233=MID(Q$1,3,20),IF($I1233="",1,0.6),IF($I1233=MID(Q$1,3,20),0.4,0)))</f>
        <v>0.6</v>
      </c>
      <c r="R1233" s="10" t="n">
        <f aca="false">IF($H1233="숙박",0,IF($H1233=MID(R$1,3,20),IF($I1233="",1,0.6),IF($I1233=MID(R$1,3,20),0.4,0)))</f>
        <v>0</v>
      </c>
      <c r="S1233" s="10" t="n">
        <f aca="false">IF($H1233="숙박",0,IF($H1233=MID(S$1,3,20),IF($I1233="",1,0.6),IF($I1233=MID(S$1,3,20),0.4,0)))</f>
        <v>0</v>
      </c>
      <c r="T1233" s="10" t="n">
        <f aca="false">IF($H1233="숙박",0,IF($H1233=MID(T$1,3,20),IF($I1233="",1,0.6),IF($I1233=MID(T$1,3,20),0.4,0)))</f>
        <v>0</v>
      </c>
      <c r="U1233" s="10" t="n">
        <f aca="false">IF($H1233="숙박",0,IF(ISNUMBER(SEARCH("야경",$J1233)),1,0))</f>
        <v>1</v>
      </c>
      <c r="V1233" s="10" t="n">
        <f aca="false">IF($H1233="숙박",0,1)</f>
        <v>1</v>
      </c>
    </row>
    <row r="1234" customFormat="false" ht="15" hidden="false" customHeight="false" outlineLevel="0" collapsed="false">
      <c r="A1234" s="8" t="n">
        <v>1233</v>
      </c>
      <c r="B1234" s="8" t="s">
        <v>45</v>
      </c>
      <c r="C1234" s="8"/>
      <c r="D1234" s="8" t="s">
        <v>3726</v>
      </c>
      <c r="E1234" s="7" t="s">
        <v>3727</v>
      </c>
      <c r="F1234" s="8"/>
      <c r="G1234" s="8"/>
      <c r="H1234" s="9" t="s">
        <v>594</v>
      </c>
      <c r="I1234" s="9"/>
      <c r="J1234" s="9"/>
      <c r="K1234" s="9"/>
      <c r="L1234" s="8"/>
      <c r="M1234" s="8"/>
      <c r="N1234" s="8" t="s">
        <v>595</v>
      </c>
      <c r="O1234" s="8"/>
      <c r="P1234" s="10" t="n">
        <f aca="false">IF($H1234="숙박",0,IF($H1234=MID(P$1,3,20),IF($I1234="",1,0.6),IF($I1234=MID(P$1,3,20),0.4,0)))</f>
        <v>0</v>
      </c>
      <c r="Q1234" s="10" t="n">
        <f aca="false">IF($H1234="숙박",0,IF($H1234=MID(Q$1,3,20),IF($I1234="",1,0.6),IF($I1234=MID(Q$1,3,20),0.4,0)))</f>
        <v>0</v>
      </c>
      <c r="R1234" s="10" t="n">
        <f aca="false">IF($H1234="숙박",0,IF($H1234=MID(R$1,3,20),IF($I1234="",1,0.6),IF($I1234=MID(R$1,3,20),0.4,0)))</f>
        <v>0</v>
      </c>
      <c r="S1234" s="10" t="n">
        <f aca="false">IF($H1234="숙박",0,IF($H1234=MID(S$1,3,20),IF($I1234="",1,0.6),IF($I1234=MID(S$1,3,20),0.4,0)))</f>
        <v>0</v>
      </c>
      <c r="T1234" s="10" t="n">
        <f aca="false">IF($H1234="숙박",0,IF($H1234=MID(T$1,3,20),IF($I1234="",1,0.6),IF($I1234=MID(T$1,3,20),0.4,0)))</f>
        <v>0</v>
      </c>
      <c r="U1234" s="10" t="n">
        <f aca="false">IF($H1234="숙박",0,IF(ISNUMBER(SEARCH("야경",$J1234)),1,0))</f>
        <v>0</v>
      </c>
      <c r="V1234" s="10" t="n">
        <f aca="false">IF($H1234="숙박",0,1)</f>
        <v>0</v>
      </c>
    </row>
    <row r="1235" customFormat="false" ht="15" hidden="false" customHeight="false" outlineLevel="0" collapsed="false">
      <c r="A1235" s="8" t="n">
        <v>1234</v>
      </c>
      <c r="B1235" s="8" t="s">
        <v>45</v>
      </c>
      <c r="C1235" s="8" t="s">
        <v>1367</v>
      </c>
      <c r="D1235" s="8" t="s">
        <v>3728</v>
      </c>
      <c r="E1235" s="7" t="s">
        <v>3729</v>
      </c>
      <c r="F1235" s="8"/>
      <c r="G1235" s="8" t="s">
        <v>184</v>
      </c>
      <c r="H1235" s="9" t="s">
        <v>184</v>
      </c>
      <c r="I1235" s="9" t="s">
        <v>190</v>
      </c>
      <c r="J1235" s="9"/>
      <c r="K1235" s="9" t="s">
        <v>52</v>
      </c>
      <c r="L1235" s="8"/>
      <c r="M1235" s="8"/>
      <c r="N1235" s="8" t="s">
        <v>483</v>
      </c>
      <c r="O1235" s="8" t="s">
        <v>3730</v>
      </c>
      <c r="P1235" s="10" t="n">
        <f aca="false">IF($H1235="숙박",0,IF($H1235=MID(P$1,3,20),IF($I1235="",1,0.6),IF($I1235=MID(P$1,3,20),0.4,0)))</f>
        <v>0.4</v>
      </c>
      <c r="Q1235" s="10" t="n">
        <f aca="false">IF($H1235="숙박",0,IF($H1235=MID(Q$1,3,20),IF($I1235="",1,0.6),IF($I1235=MID(Q$1,3,20),0.4,0)))</f>
        <v>0</v>
      </c>
      <c r="R1235" s="10" t="n">
        <f aca="false">IF($H1235="숙박",0,IF($H1235=MID(R$1,3,20),IF($I1235="",1,0.6),IF($I1235=MID(R$1,3,20),0.4,0)))</f>
        <v>0.6</v>
      </c>
      <c r="S1235" s="10" t="n">
        <f aca="false">IF($H1235="숙박",0,IF($H1235=MID(S$1,3,20),IF($I1235="",1,0.6),IF($I1235=MID(S$1,3,20),0.4,0)))</f>
        <v>0</v>
      </c>
      <c r="T1235" s="10" t="n">
        <f aca="false">IF($H1235="숙박",0,IF($H1235=MID(T$1,3,20),IF($I1235="",1,0.6),IF($I1235=MID(T$1,3,20),0.4,0)))</f>
        <v>0</v>
      </c>
      <c r="U1235" s="10" t="n">
        <f aca="false">IF($H1235="숙박",0,IF(ISNUMBER(SEARCH("야경",$J1235)),1,0))</f>
        <v>0</v>
      </c>
      <c r="V1235" s="10" t="n">
        <f aca="false">IF($H1235="숙박",0,1)</f>
        <v>1</v>
      </c>
    </row>
    <row r="1236" customFormat="false" ht="15" hidden="false" customHeight="false" outlineLevel="0" collapsed="false">
      <c r="A1236" s="8" t="n">
        <v>1235</v>
      </c>
      <c r="B1236" s="8" t="s">
        <v>45</v>
      </c>
      <c r="C1236" s="8" t="s">
        <v>1546</v>
      </c>
      <c r="D1236" s="8" t="s">
        <v>3731</v>
      </c>
      <c r="E1236" s="7" t="s">
        <v>3732</v>
      </c>
      <c r="F1236" s="8"/>
      <c r="G1236" s="8" t="s">
        <v>190</v>
      </c>
      <c r="H1236" s="9" t="s">
        <v>190</v>
      </c>
      <c r="I1236" s="9"/>
      <c r="J1236" s="9"/>
      <c r="K1236" s="9" t="s">
        <v>191</v>
      </c>
      <c r="L1236" s="8"/>
      <c r="M1236" s="8"/>
      <c r="N1236" s="8"/>
      <c r="O1236" s="8" t="s">
        <v>3733</v>
      </c>
      <c r="P1236" s="10" t="n">
        <f aca="false">IF($H1236="숙박",0,IF($H1236=MID(P$1,3,20),IF($I1236="",1,0.6),IF($I1236=MID(P$1,3,20),0.4,0)))</f>
        <v>1</v>
      </c>
      <c r="Q1236" s="10" t="n">
        <f aca="false">IF($H1236="숙박",0,IF($H1236=MID(Q$1,3,20),IF($I1236="",1,0.6),IF($I1236=MID(Q$1,3,20),0.4,0)))</f>
        <v>0</v>
      </c>
      <c r="R1236" s="10" t="n">
        <f aca="false">IF($H1236="숙박",0,IF($H1236=MID(R$1,3,20),IF($I1236="",1,0.6),IF($I1236=MID(R$1,3,20),0.4,0)))</f>
        <v>0</v>
      </c>
      <c r="S1236" s="10" t="n">
        <f aca="false">IF($H1236="숙박",0,IF($H1236=MID(S$1,3,20),IF($I1236="",1,0.6),IF($I1236=MID(S$1,3,20),0.4,0)))</f>
        <v>0</v>
      </c>
      <c r="T1236" s="10" t="n">
        <f aca="false">IF($H1236="숙박",0,IF($H1236=MID(T$1,3,20),IF($I1236="",1,0.6),IF($I1236=MID(T$1,3,20),0.4,0)))</f>
        <v>0</v>
      </c>
      <c r="U1236" s="10" t="n">
        <f aca="false">IF($H1236="숙박",0,IF(ISNUMBER(SEARCH("야경",$J1236)),1,0))</f>
        <v>0</v>
      </c>
      <c r="V1236" s="10" t="n">
        <f aca="false">IF($H1236="숙박",0,1)</f>
        <v>1</v>
      </c>
    </row>
    <row r="1237" customFormat="false" ht="15" hidden="false" customHeight="false" outlineLevel="0" collapsed="false">
      <c r="A1237" s="8" t="n">
        <v>1236</v>
      </c>
      <c r="B1237" s="8" t="s">
        <v>45</v>
      </c>
      <c r="C1237" s="8" t="s">
        <v>376</v>
      </c>
      <c r="D1237" s="8" t="s">
        <v>3734</v>
      </c>
      <c r="E1237" s="7" t="s">
        <v>3735</v>
      </c>
      <c r="F1237" s="8"/>
      <c r="G1237" s="8" t="s">
        <v>50</v>
      </c>
      <c r="H1237" s="9" t="s">
        <v>50</v>
      </c>
      <c r="I1237" s="9"/>
      <c r="J1237" s="9" t="s">
        <v>168</v>
      </c>
      <c r="K1237" s="9" t="s">
        <v>52</v>
      </c>
      <c r="L1237" s="8"/>
      <c r="M1237" s="8"/>
      <c r="N1237" s="8"/>
      <c r="O1237" s="8" t="s">
        <v>3736</v>
      </c>
      <c r="P1237" s="10" t="n">
        <f aca="false">IF($H1237="숙박",0,IF($H1237=MID(P$1,3,20),IF($I1237="",1,0.6),IF($I1237=MID(P$1,3,20),0.4,0)))</f>
        <v>0</v>
      </c>
      <c r="Q1237" s="10" t="n">
        <f aca="false">IF($H1237="숙박",0,IF($H1237=MID(Q$1,3,20),IF($I1237="",1,0.6),IF($I1237=MID(Q$1,3,20),0.4,0)))</f>
        <v>0</v>
      </c>
      <c r="R1237" s="10" t="n">
        <f aca="false">IF($H1237="숙박",0,IF($H1237=MID(R$1,3,20),IF($I1237="",1,0.6),IF($I1237=MID(R$1,3,20),0.4,0)))</f>
        <v>0</v>
      </c>
      <c r="S1237" s="10" t="n">
        <f aca="false">IF($H1237="숙박",0,IF($H1237=MID(S$1,3,20),IF($I1237="",1,0.6),IF($I1237=MID(S$1,3,20),0.4,0)))</f>
        <v>0</v>
      </c>
      <c r="T1237" s="10" t="n">
        <f aca="false">IF($H1237="숙박",0,IF($H1237=MID(T$1,3,20),IF($I1237="",1,0.6),IF($I1237=MID(T$1,3,20),0.4,0)))</f>
        <v>1</v>
      </c>
      <c r="U1237" s="10" t="n">
        <f aca="false">IF($H1237="숙박",0,IF(ISNUMBER(SEARCH("야경",$J1237)),1,0))</f>
        <v>0</v>
      </c>
      <c r="V1237" s="10" t="n">
        <f aca="false">IF($H1237="숙박",0,1)</f>
        <v>1</v>
      </c>
    </row>
    <row r="1238" customFormat="false" ht="15" hidden="false" customHeight="false" outlineLevel="0" collapsed="false">
      <c r="A1238" s="8" t="n">
        <v>1237</v>
      </c>
      <c r="B1238" s="8" t="s">
        <v>45</v>
      </c>
      <c r="C1238" s="8" t="s">
        <v>421</v>
      </c>
      <c r="D1238" s="8" t="s">
        <v>3737</v>
      </c>
      <c r="E1238" s="7" t="s">
        <v>3738</v>
      </c>
      <c r="F1238" s="8"/>
      <c r="G1238" s="8" t="s">
        <v>49</v>
      </c>
      <c r="H1238" s="9" t="s">
        <v>49</v>
      </c>
      <c r="I1238" s="9" t="s">
        <v>184</v>
      </c>
      <c r="J1238" s="9"/>
      <c r="K1238" s="9" t="s">
        <v>52</v>
      </c>
      <c r="L1238" s="8"/>
      <c r="M1238" s="8"/>
      <c r="N1238" s="8" t="s">
        <v>483</v>
      </c>
      <c r="O1238" s="8" t="s">
        <v>3739</v>
      </c>
      <c r="P1238" s="10" t="n">
        <f aca="false">IF($H1238="숙박",0,IF($H1238=MID(P$1,3,20),IF($I1238="",1,0.6),IF($I1238=MID(P$1,3,20),0.4,0)))</f>
        <v>0</v>
      </c>
      <c r="Q1238" s="10" t="n">
        <f aca="false">IF($H1238="숙박",0,IF($H1238=MID(Q$1,3,20),IF($I1238="",1,0.6),IF($I1238=MID(Q$1,3,20),0.4,0)))</f>
        <v>0.6</v>
      </c>
      <c r="R1238" s="10" t="n">
        <f aca="false">IF($H1238="숙박",0,IF($H1238=MID(R$1,3,20),IF($I1238="",1,0.6),IF($I1238=MID(R$1,3,20),0.4,0)))</f>
        <v>0.4</v>
      </c>
      <c r="S1238" s="10" t="n">
        <f aca="false">IF($H1238="숙박",0,IF($H1238=MID(S$1,3,20),IF($I1238="",1,0.6),IF($I1238=MID(S$1,3,20),0.4,0)))</f>
        <v>0</v>
      </c>
      <c r="T1238" s="10" t="n">
        <f aca="false">IF($H1238="숙박",0,IF($H1238=MID(T$1,3,20),IF($I1238="",1,0.6),IF($I1238=MID(T$1,3,20),0.4,0)))</f>
        <v>0</v>
      </c>
      <c r="U1238" s="10" t="n">
        <f aca="false">IF($H1238="숙박",0,IF(ISNUMBER(SEARCH("야경",$J1238)),1,0))</f>
        <v>0</v>
      </c>
      <c r="V1238" s="10" t="n">
        <f aca="false">IF($H1238="숙박",0,1)</f>
        <v>1</v>
      </c>
    </row>
    <row r="1239" customFormat="false" ht="15" hidden="false" customHeight="false" outlineLevel="0" collapsed="false">
      <c r="A1239" s="8" t="n">
        <v>1238</v>
      </c>
      <c r="B1239" s="8" t="s">
        <v>45</v>
      </c>
      <c r="C1239" s="8" t="s">
        <v>310</v>
      </c>
      <c r="D1239" s="8" t="s">
        <v>3740</v>
      </c>
      <c r="E1239" s="7" t="s">
        <v>3741</v>
      </c>
      <c r="F1239" s="8"/>
      <c r="G1239" s="8" t="s">
        <v>50</v>
      </c>
      <c r="H1239" s="9" t="s">
        <v>50</v>
      </c>
      <c r="I1239" s="9"/>
      <c r="J1239" s="9" t="s">
        <v>168</v>
      </c>
      <c r="K1239" s="9" t="s">
        <v>52</v>
      </c>
      <c r="L1239" s="8"/>
      <c r="M1239" s="8"/>
      <c r="N1239" s="8"/>
      <c r="O1239" s="8" t="s">
        <v>3742</v>
      </c>
      <c r="P1239" s="10" t="n">
        <f aca="false">IF($H1239="숙박",0,IF($H1239=MID(P$1,3,20),IF($I1239="",1,0.6),IF($I1239=MID(P$1,3,20),0.4,0)))</f>
        <v>0</v>
      </c>
      <c r="Q1239" s="10" t="n">
        <f aca="false">IF($H1239="숙박",0,IF($H1239=MID(Q$1,3,20),IF($I1239="",1,0.6),IF($I1239=MID(Q$1,3,20),0.4,0)))</f>
        <v>0</v>
      </c>
      <c r="R1239" s="10" t="n">
        <f aca="false">IF($H1239="숙박",0,IF($H1239=MID(R$1,3,20),IF($I1239="",1,0.6),IF($I1239=MID(R$1,3,20),0.4,0)))</f>
        <v>0</v>
      </c>
      <c r="S1239" s="10" t="n">
        <f aca="false">IF($H1239="숙박",0,IF($H1239=MID(S$1,3,20),IF($I1239="",1,0.6),IF($I1239=MID(S$1,3,20),0.4,0)))</f>
        <v>0</v>
      </c>
      <c r="T1239" s="10" t="n">
        <f aca="false">IF($H1239="숙박",0,IF($H1239=MID(T$1,3,20),IF($I1239="",1,0.6),IF($I1239=MID(T$1,3,20),0.4,0)))</f>
        <v>1</v>
      </c>
      <c r="U1239" s="10" t="n">
        <f aca="false">IF($H1239="숙박",0,IF(ISNUMBER(SEARCH("야경",$J1239)),1,0))</f>
        <v>0</v>
      </c>
      <c r="V1239" s="10" t="n">
        <f aca="false">IF($H1239="숙박",0,1)</f>
        <v>1</v>
      </c>
    </row>
    <row r="1240" customFormat="false" ht="15" hidden="false" customHeight="false" outlineLevel="0" collapsed="false">
      <c r="A1240" s="8" t="n">
        <v>1239</v>
      </c>
      <c r="B1240" s="8" t="s">
        <v>45</v>
      </c>
      <c r="C1240" s="8" t="s">
        <v>310</v>
      </c>
      <c r="D1240" s="8" t="s">
        <v>3743</v>
      </c>
      <c r="E1240" s="7" t="s">
        <v>3744</v>
      </c>
      <c r="F1240" s="8"/>
      <c r="G1240" s="8" t="s">
        <v>50</v>
      </c>
      <c r="H1240" s="9" t="s">
        <v>50</v>
      </c>
      <c r="I1240" s="9" t="s">
        <v>49</v>
      </c>
      <c r="J1240" s="9" t="s">
        <v>168</v>
      </c>
      <c r="K1240" s="9" t="s">
        <v>209</v>
      </c>
      <c r="L1240" s="8"/>
      <c r="M1240" s="8"/>
      <c r="N1240" s="8" t="s">
        <v>483</v>
      </c>
      <c r="O1240" s="8" t="s">
        <v>3745</v>
      </c>
      <c r="P1240" s="10" t="n">
        <f aca="false">IF($H1240="숙박",0,IF($H1240=MID(P$1,3,20),IF($I1240="",1,0.6),IF($I1240=MID(P$1,3,20),0.4,0)))</f>
        <v>0</v>
      </c>
      <c r="Q1240" s="10" t="n">
        <f aca="false">IF($H1240="숙박",0,IF($H1240=MID(Q$1,3,20),IF($I1240="",1,0.6),IF($I1240=MID(Q$1,3,20),0.4,0)))</f>
        <v>0.4</v>
      </c>
      <c r="R1240" s="10" t="n">
        <f aca="false">IF($H1240="숙박",0,IF($H1240=MID(R$1,3,20),IF($I1240="",1,0.6),IF($I1240=MID(R$1,3,20),0.4,0)))</f>
        <v>0</v>
      </c>
      <c r="S1240" s="10" t="n">
        <f aca="false">IF($H1240="숙박",0,IF($H1240=MID(S$1,3,20),IF($I1240="",1,0.6),IF($I1240=MID(S$1,3,20),0.4,0)))</f>
        <v>0</v>
      </c>
      <c r="T1240" s="10" t="n">
        <f aca="false">IF($H1240="숙박",0,IF($H1240=MID(T$1,3,20),IF($I1240="",1,0.6),IF($I1240=MID(T$1,3,20),0.4,0)))</f>
        <v>0.6</v>
      </c>
      <c r="U1240" s="10" t="n">
        <f aca="false">IF($H1240="숙박",0,IF(ISNUMBER(SEARCH("야경",$J1240)),1,0))</f>
        <v>0</v>
      </c>
      <c r="V1240" s="10" t="n">
        <f aca="false">IF($H1240="숙박",0,1)</f>
        <v>1</v>
      </c>
    </row>
    <row r="1241" customFormat="false" ht="15" hidden="false" customHeight="false" outlineLevel="0" collapsed="false">
      <c r="A1241" s="8" t="n">
        <v>1240</v>
      </c>
      <c r="B1241" s="8" t="s">
        <v>45</v>
      </c>
      <c r="C1241" s="8" t="s">
        <v>411</v>
      </c>
      <c r="D1241" s="8" t="s">
        <v>3746</v>
      </c>
      <c r="E1241" s="7" t="s">
        <v>3747</v>
      </c>
      <c r="F1241" s="8"/>
      <c r="G1241" s="8" t="s">
        <v>49</v>
      </c>
      <c r="H1241" s="9" t="s">
        <v>49</v>
      </c>
      <c r="I1241" s="9"/>
      <c r="J1241" s="9"/>
      <c r="K1241" s="9" t="s">
        <v>52</v>
      </c>
      <c r="L1241" s="8"/>
      <c r="M1241" s="8"/>
      <c r="N1241" s="8"/>
      <c r="O1241" s="8" t="s">
        <v>3748</v>
      </c>
      <c r="P1241" s="10" t="n">
        <f aca="false">IF($H1241="숙박",0,IF($H1241=MID(P$1,3,20),IF($I1241="",1,0.6),IF($I1241=MID(P$1,3,20),0.4,0)))</f>
        <v>0</v>
      </c>
      <c r="Q1241" s="10" t="n">
        <f aca="false">IF($H1241="숙박",0,IF($H1241=MID(Q$1,3,20),IF($I1241="",1,0.6),IF($I1241=MID(Q$1,3,20),0.4,0)))</f>
        <v>1</v>
      </c>
      <c r="R1241" s="10" t="n">
        <f aca="false">IF($H1241="숙박",0,IF($H1241=MID(R$1,3,20),IF($I1241="",1,0.6),IF($I1241=MID(R$1,3,20),0.4,0)))</f>
        <v>0</v>
      </c>
      <c r="S1241" s="10" t="n">
        <f aca="false">IF($H1241="숙박",0,IF($H1241=MID(S$1,3,20),IF($I1241="",1,0.6),IF($I1241=MID(S$1,3,20),0.4,0)))</f>
        <v>0</v>
      </c>
      <c r="T1241" s="10" t="n">
        <f aca="false">IF($H1241="숙박",0,IF($H1241=MID(T$1,3,20),IF($I1241="",1,0.6),IF($I1241=MID(T$1,3,20),0.4,0)))</f>
        <v>0</v>
      </c>
      <c r="U1241" s="10" t="n">
        <f aca="false">IF($H1241="숙박",0,IF(ISNUMBER(SEARCH("야경",$J1241)),1,0))</f>
        <v>0</v>
      </c>
      <c r="V1241" s="10" t="n">
        <f aca="false">IF($H1241="숙박",0,1)</f>
        <v>1</v>
      </c>
    </row>
    <row r="1242" customFormat="false" ht="15" hidden="false" customHeight="false" outlineLevel="0" collapsed="false">
      <c r="A1242" s="8" t="n">
        <v>1241</v>
      </c>
      <c r="B1242" s="8" t="s">
        <v>45</v>
      </c>
      <c r="C1242" s="8" t="s">
        <v>1596</v>
      </c>
      <c r="D1242" s="8" t="s">
        <v>3749</v>
      </c>
      <c r="E1242" s="7" t="s">
        <v>3750</v>
      </c>
      <c r="F1242" s="8"/>
      <c r="G1242" s="8" t="s">
        <v>190</v>
      </c>
      <c r="H1242" s="9" t="s">
        <v>190</v>
      </c>
      <c r="I1242" s="9"/>
      <c r="J1242" s="9"/>
      <c r="K1242" s="9" t="s">
        <v>191</v>
      </c>
      <c r="L1242" s="8"/>
      <c r="M1242" s="8"/>
      <c r="N1242" s="8"/>
      <c r="O1242" s="8" t="s">
        <v>3751</v>
      </c>
      <c r="P1242" s="10" t="n">
        <f aca="false">IF($H1242="숙박",0,IF($H1242=MID(P$1,3,20),IF($I1242="",1,0.6),IF($I1242=MID(P$1,3,20),0.4,0)))</f>
        <v>1</v>
      </c>
      <c r="Q1242" s="10" t="n">
        <f aca="false">IF($H1242="숙박",0,IF($H1242=MID(Q$1,3,20),IF($I1242="",1,0.6),IF($I1242=MID(Q$1,3,20),0.4,0)))</f>
        <v>0</v>
      </c>
      <c r="R1242" s="10" t="n">
        <f aca="false">IF($H1242="숙박",0,IF($H1242=MID(R$1,3,20),IF($I1242="",1,0.6),IF($I1242=MID(R$1,3,20),0.4,0)))</f>
        <v>0</v>
      </c>
      <c r="S1242" s="10" t="n">
        <f aca="false">IF($H1242="숙박",0,IF($H1242=MID(S$1,3,20),IF($I1242="",1,0.6),IF($I1242=MID(S$1,3,20),0.4,0)))</f>
        <v>0</v>
      </c>
      <c r="T1242" s="10" t="n">
        <f aca="false">IF($H1242="숙박",0,IF($H1242=MID(T$1,3,20),IF($I1242="",1,0.6),IF($I1242=MID(T$1,3,20),0.4,0)))</f>
        <v>0</v>
      </c>
      <c r="U1242" s="10" t="n">
        <f aca="false">IF($H1242="숙박",0,IF(ISNUMBER(SEARCH("야경",$J1242)),1,0))</f>
        <v>0</v>
      </c>
      <c r="V1242" s="10" t="n">
        <f aca="false">IF($H1242="숙박",0,1)</f>
        <v>1</v>
      </c>
    </row>
    <row r="1243" customFormat="false" ht="15" hidden="false" customHeight="false" outlineLevel="0" collapsed="false">
      <c r="A1243" s="8" t="n">
        <v>1242</v>
      </c>
      <c r="B1243" s="8" t="s">
        <v>45</v>
      </c>
      <c r="C1243" s="8" t="s">
        <v>2177</v>
      </c>
      <c r="D1243" s="8" t="s">
        <v>3752</v>
      </c>
      <c r="E1243" s="7" t="s">
        <v>3753</v>
      </c>
      <c r="F1243" s="8"/>
      <c r="G1243" s="8" t="s">
        <v>49</v>
      </c>
      <c r="H1243" s="9" t="s">
        <v>49</v>
      </c>
      <c r="I1243" s="9"/>
      <c r="J1243" s="9"/>
      <c r="K1243" s="9" t="s">
        <v>52</v>
      </c>
      <c r="L1243" s="8"/>
      <c r="M1243" s="8"/>
      <c r="N1243" s="8"/>
      <c r="O1243" s="8" t="s">
        <v>3754</v>
      </c>
      <c r="P1243" s="10" t="n">
        <f aca="false">IF($H1243="숙박",0,IF($H1243=MID(P$1,3,20),IF($I1243="",1,0.6),IF($I1243=MID(P$1,3,20),0.4,0)))</f>
        <v>0</v>
      </c>
      <c r="Q1243" s="10" t="n">
        <f aca="false">IF($H1243="숙박",0,IF($H1243=MID(Q$1,3,20),IF($I1243="",1,0.6),IF($I1243=MID(Q$1,3,20),0.4,0)))</f>
        <v>1</v>
      </c>
      <c r="R1243" s="10" t="n">
        <f aca="false">IF($H1243="숙박",0,IF($H1243=MID(R$1,3,20),IF($I1243="",1,0.6),IF($I1243=MID(R$1,3,20),0.4,0)))</f>
        <v>0</v>
      </c>
      <c r="S1243" s="10" t="n">
        <f aca="false">IF($H1243="숙박",0,IF($H1243=MID(S$1,3,20),IF($I1243="",1,0.6),IF($I1243=MID(S$1,3,20),0.4,0)))</f>
        <v>0</v>
      </c>
      <c r="T1243" s="10" t="n">
        <f aca="false">IF($H1243="숙박",0,IF($H1243=MID(T$1,3,20),IF($I1243="",1,0.6),IF($I1243=MID(T$1,3,20),0.4,0)))</f>
        <v>0</v>
      </c>
      <c r="U1243" s="10" t="n">
        <f aca="false">IF($H1243="숙박",0,IF(ISNUMBER(SEARCH("야경",$J1243)),1,0))</f>
        <v>0</v>
      </c>
      <c r="V1243" s="10" t="n">
        <f aca="false">IF($H1243="숙박",0,1)</f>
        <v>1</v>
      </c>
    </row>
    <row r="1244" customFormat="false" ht="15" hidden="false" customHeight="false" outlineLevel="0" collapsed="false">
      <c r="A1244" s="8" t="n">
        <v>1243</v>
      </c>
      <c r="B1244" s="8" t="s">
        <v>45</v>
      </c>
      <c r="C1244" s="8" t="s">
        <v>1822</v>
      </c>
      <c r="D1244" s="8" t="s">
        <v>3755</v>
      </c>
      <c r="E1244" s="7" t="s">
        <v>3756</v>
      </c>
      <c r="F1244" s="8"/>
      <c r="G1244" s="8" t="s">
        <v>190</v>
      </c>
      <c r="H1244" s="9" t="s">
        <v>190</v>
      </c>
      <c r="I1244" s="9"/>
      <c r="J1244" s="9"/>
      <c r="K1244" s="9" t="s">
        <v>191</v>
      </c>
      <c r="L1244" s="8"/>
      <c r="M1244" s="8"/>
      <c r="N1244" s="8"/>
      <c r="O1244" s="8" t="s">
        <v>3757</v>
      </c>
      <c r="P1244" s="10" t="n">
        <f aca="false">IF($H1244="숙박",0,IF($H1244=MID(P$1,3,20),IF($I1244="",1,0.6),IF($I1244=MID(P$1,3,20),0.4,0)))</f>
        <v>1</v>
      </c>
      <c r="Q1244" s="10" t="n">
        <f aca="false">IF($H1244="숙박",0,IF($H1244=MID(Q$1,3,20),IF($I1244="",1,0.6),IF($I1244=MID(Q$1,3,20),0.4,0)))</f>
        <v>0</v>
      </c>
      <c r="R1244" s="10" t="n">
        <f aca="false">IF($H1244="숙박",0,IF($H1244=MID(R$1,3,20),IF($I1244="",1,0.6),IF($I1244=MID(R$1,3,20),0.4,0)))</f>
        <v>0</v>
      </c>
      <c r="S1244" s="10" t="n">
        <f aca="false">IF($H1244="숙박",0,IF($H1244=MID(S$1,3,20),IF($I1244="",1,0.6),IF($I1244=MID(S$1,3,20),0.4,0)))</f>
        <v>0</v>
      </c>
      <c r="T1244" s="10" t="n">
        <f aca="false">IF($H1244="숙박",0,IF($H1244=MID(T$1,3,20),IF($I1244="",1,0.6),IF($I1244=MID(T$1,3,20),0.4,0)))</f>
        <v>0</v>
      </c>
      <c r="U1244" s="10" t="n">
        <f aca="false">IF($H1244="숙박",0,IF(ISNUMBER(SEARCH("야경",$J1244)),1,0))</f>
        <v>0</v>
      </c>
      <c r="V1244" s="10" t="n">
        <f aca="false">IF($H1244="숙박",0,1)</f>
        <v>1</v>
      </c>
    </row>
    <row r="1245" customFormat="false" ht="15" hidden="false" customHeight="false" outlineLevel="0" collapsed="false">
      <c r="A1245" s="8" t="n">
        <v>1244</v>
      </c>
      <c r="B1245" s="8" t="s">
        <v>45</v>
      </c>
      <c r="C1245" s="8" t="s">
        <v>1750</v>
      </c>
      <c r="D1245" s="8" t="s">
        <v>3758</v>
      </c>
      <c r="E1245" s="7" t="s">
        <v>3759</v>
      </c>
      <c r="F1245" s="8"/>
      <c r="G1245" s="8" t="s">
        <v>190</v>
      </c>
      <c r="H1245" s="9" t="s">
        <v>190</v>
      </c>
      <c r="I1245" s="9"/>
      <c r="J1245" s="9"/>
      <c r="K1245" s="9" t="s">
        <v>191</v>
      </c>
      <c r="L1245" s="8"/>
      <c r="M1245" s="8"/>
      <c r="N1245" s="8"/>
      <c r="O1245" s="8" t="s">
        <v>3760</v>
      </c>
      <c r="P1245" s="10" t="n">
        <f aca="false">IF($H1245="숙박",0,IF($H1245=MID(P$1,3,20),IF($I1245="",1,0.6),IF($I1245=MID(P$1,3,20),0.4,0)))</f>
        <v>1</v>
      </c>
      <c r="Q1245" s="10" t="n">
        <f aca="false">IF($H1245="숙박",0,IF($H1245=MID(Q$1,3,20),IF($I1245="",1,0.6),IF($I1245=MID(Q$1,3,20),0.4,0)))</f>
        <v>0</v>
      </c>
      <c r="R1245" s="10" t="n">
        <f aca="false">IF($H1245="숙박",0,IF($H1245=MID(R$1,3,20),IF($I1245="",1,0.6),IF($I1245=MID(R$1,3,20),0.4,0)))</f>
        <v>0</v>
      </c>
      <c r="S1245" s="10" t="n">
        <f aca="false">IF($H1245="숙박",0,IF($H1245=MID(S$1,3,20),IF($I1245="",1,0.6),IF($I1245=MID(S$1,3,20),0.4,0)))</f>
        <v>0</v>
      </c>
      <c r="T1245" s="10" t="n">
        <f aca="false">IF($H1245="숙박",0,IF($H1245=MID(T$1,3,20),IF($I1245="",1,0.6),IF($I1245=MID(T$1,3,20),0.4,0)))</f>
        <v>0</v>
      </c>
      <c r="U1245" s="10" t="n">
        <f aca="false">IF($H1245="숙박",0,IF(ISNUMBER(SEARCH("야경",$J1245)),1,0))</f>
        <v>0</v>
      </c>
      <c r="V1245" s="10" t="n">
        <f aca="false">IF($H1245="숙박",0,1)</f>
        <v>1</v>
      </c>
    </row>
    <row r="1246" customFormat="false" ht="15" hidden="false" customHeight="false" outlineLevel="0" collapsed="false">
      <c r="A1246" s="8" t="n">
        <v>1245</v>
      </c>
      <c r="B1246" s="8" t="s">
        <v>45</v>
      </c>
      <c r="C1246" s="8" t="s">
        <v>1531</v>
      </c>
      <c r="D1246" s="8" t="s">
        <v>3761</v>
      </c>
      <c r="E1246" s="7" t="s">
        <v>3762</v>
      </c>
      <c r="F1246" s="8"/>
      <c r="G1246" s="8" t="s">
        <v>49</v>
      </c>
      <c r="H1246" s="9" t="s">
        <v>49</v>
      </c>
      <c r="I1246" s="9"/>
      <c r="J1246" s="9"/>
      <c r="K1246" s="9" t="s">
        <v>52</v>
      </c>
      <c r="L1246" s="8"/>
      <c r="M1246" s="8"/>
      <c r="N1246" s="8"/>
      <c r="O1246" s="8" t="s">
        <v>3763</v>
      </c>
      <c r="P1246" s="10" t="n">
        <f aca="false">IF($H1246="숙박",0,IF($H1246=MID(P$1,3,20),IF($I1246="",1,0.6),IF($I1246=MID(P$1,3,20),0.4,0)))</f>
        <v>0</v>
      </c>
      <c r="Q1246" s="10" t="n">
        <f aca="false">IF($H1246="숙박",0,IF($H1246=MID(Q$1,3,20),IF($I1246="",1,0.6),IF($I1246=MID(Q$1,3,20),0.4,0)))</f>
        <v>1</v>
      </c>
      <c r="R1246" s="10" t="n">
        <f aca="false">IF($H1246="숙박",0,IF($H1246=MID(R$1,3,20),IF($I1246="",1,0.6),IF($I1246=MID(R$1,3,20),0.4,0)))</f>
        <v>0</v>
      </c>
      <c r="S1246" s="10" t="n">
        <f aca="false">IF($H1246="숙박",0,IF($H1246=MID(S$1,3,20),IF($I1246="",1,0.6),IF($I1246=MID(S$1,3,20),0.4,0)))</f>
        <v>0</v>
      </c>
      <c r="T1246" s="10" t="n">
        <f aca="false">IF($H1246="숙박",0,IF($H1246=MID(T$1,3,20),IF($I1246="",1,0.6),IF($I1246=MID(T$1,3,20),0.4,0)))</f>
        <v>0</v>
      </c>
      <c r="U1246" s="10" t="n">
        <f aca="false">IF($H1246="숙박",0,IF(ISNUMBER(SEARCH("야경",$J1246)),1,0))</f>
        <v>0</v>
      </c>
      <c r="V1246" s="10" t="n">
        <f aca="false">IF($H1246="숙박",0,1)</f>
        <v>1</v>
      </c>
    </row>
    <row r="1247" customFormat="false" ht="15" hidden="false" customHeight="false" outlineLevel="0" collapsed="false">
      <c r="A1247" s="8" t="n">
        <v>1246</v>
      </c>
      <c r="B1247" s="8" t="s">
        <v>45</v>
      </c>
      <c r="C1247" s="8" t="s">
        <v>579</v>
      </c>
      <c r="D1247" s="8" t="s">
        <v>3764</v>
      </c>
      <c r="E1247" s="7" t="s">
        <v>3765</v>
      </c>
      <c r="F1247" s="8"/>
      <c r="G1247" s="8" t="s">
        <v>190</v>
      </c>
      <c r="H1247" s="9" t="s">
        <v>190</v>
      </c>
      <c r="I1247" s="9"/>
      <c r="J1247" s="9"/>
      <c r="K1247" s="9" t="s">
        <v>191</v>
      </c>
      <c r="L1247" s="8"/>
      <c r="M1247" s="8"/>
      <c r="N1247" s="8"/>
      <c r="O1247" s="8" t="s">
        <v>3766</v>
      </c>
      <c r="P1247" s="10" t="n">
        <f aca="false">IF($H1247="숙박",0,IF($H1247=MID(P$1,3,20),IF($I1247="",1,0.6),IF($I1247=MID(P$1,3,20),0.4,0)))</f>
        <v>1</v>
      </c>
      <c r="Q1247" s="10" t="n">
        <f aca="false">IF($H1247="숙박",0,IF($H1247=MID(Q$1,3,20),IF($I1247="",1,0.6),IF($I1247=MID(Q$1,3,20),0.4,0)))</f>
        <v>0</v>
      </c>
      <c r="R1247" s="10" t="n">
        <f aca="false">IF($H1247="숙박",0,IF($H1247=MID(R$1,3,20),IF($I1247="",1,0.6),IF($I1247=MID(R$1,3,20),0.4,0)))</f>
        <v>0</v>
      </c>
      <c r="S1247" s="10" t="n">
        <f aca="false">IF($H1247="숙박",0,IF($H1247=MID(S$1,3,20),IF($I1247="",1,0.6),IF($I1247=MID(S$1,3,20),0.4,0)))</f>
        <v>0</v>
      </c>
      <c r="T1247" s="10" t="n">
        <f aca="false">IF($H1247="숙박",0,IF($H1247=MID(T$1,3,20),IF($I1247="",1,0.6),IF($I1247=MID(T$1,3,20),0.4,0)))</f>
        <v>0</v>
      </c>
      <c r="U1247" s="10" t="n">
        <f aca="false">IF($H1247="숙박",0,IF(ISNUMBER(SEARCH("야경",$J1247)),1,0))</f>
        <v>0</v>
      </c>
      <c r="V1247" s="10" t="n">
        <f aca="false">IF($H1247="숙박",0,1)</f>
        <v>1</v>
      </c>
    </row>
    <row r="1248" customFormat="false" ht="15" hidden="false" customHeight="false" outlineLevel="0" collapsed="false">
      <c r="A1248" s="8" t="n">
        <v>1247</v>
      </c>
      <c r="B1248" s="8" t="s">
        <v>45</v>
      </c>
      <c r="C1248" s="8" t="s">
        <v>2507</v>
      </c>
      <c r="D1248" s="8" t="s">
        <v>3767</v>
      </c>
      <c r="E1248" s="7" t="s">
        <v>3768</v>
      </c>
      <c r="F1248" s="8"/>
      <c r="G1248" s="8" t="s">
        <v>190</v>
      </c>
      <c r="H1248" s="9" t="s">
        <v>190</v>
      </c>
      <c r="I1248" s="9" t="s">
        <v>49</v>
      </c>
      <c r="J1248" s="9"/>
      <c r="K1248" s="9" t="s">
        <v>191</v>
      </c>
      <c r="L1248" s="8"/>
      <c r="M1248" s="8"/>
      <c r="N1248" s="8" t="s">
        <v>483</v>
      </c>
      <c r="O1248" s="8" t="s">
        <v>3769</v>
      </c>
      <c r="P1248" s="10" t="n">
        <f aca="false">IF($H1248="숙박",0,IF($H1248=MID(P$1,3,20),IF($I1248="",1,0.6),IF($I1248=MID(P$1,3,20),0.4,0)))</f>
        <v>0.6</v>
      </c>
      <c r="Q1248" s="10" t="n">
        <f aca="false">IF($H1248="숙박",0,IF($H1248=MID(Q$1,3,20),IF($I1248="",1,0.6),IF($I1248=MID(Q$1,3,20),0.4,0)))</f>
        <v>0.4</v>
      </c>
      <c r="R1248" s="10" t="n">
        <f aca="false">IF($H1248="숙박",0,IF($H1248=MID(R$1,3,20),IF($I1248="",1,0.6),IF($I1248=MID(R$1,3,20),0.4,0)))</f>
        <v>0</v>
      </c>
      <c r="S1248" s="10" t="n">
        <f aca="false">IF($H1248="숙박",0,IF($H1248=MID(S$1,3,20),IF($I1248="",1,0.6),IF($I1248=MID(S$1,3,20),0.4,0)))</f>
        <v>0</v>
      </c>
      <c r="T1248" s="10" t="n">
        <f aca="false">IF($H1248="숙박",0,IF($H1248=MID(T$1,3,20),IF($I1248="",1,0.6),IF($I1248=MID(T$1,3,20),0.4,0)))</f>
        <v>0</v>
      </c>
      <c r="U1248" s="10" t="n">
        <f aca="false">IF($H1248="숙박",0,IF(ISNUMBER(SEARCH("야경",$J1248)),1,0))</f>
        <v>0</v>
      </c>
      <c r="V1248" s="10" t="n">
        <f aca="false">IF($H1248="숙박",0,1)</f>
        <v>1</v>
      </c>
    </row>
    <row r="1249" customFormat="false" ht="15" hidden="false" customHeight="false" outlineLevel="0" collapsed="false">
      <c r="A1249" s="8" t="n">
        <v>1248</v>
      </c>
      <c r="B1249" s="8" t="s">
        <v>45</v>
      </c>
      <c r="C1249" s="8"/>
      <c r="D1249" s="8" t="s">
        <v>3770</v>
      </c>
      <c r="E1249" s="7" t="s">
        <v>3771</v>
      </c>
      <c r="F1249" s="8"/>
      <c r="G1249" s="8"/>
      <c r="H1249" s="9" t="s">
        <v>594</v>
      </c>
      <c r="I1249" s="9"/>
      <c r="J1249" s="9"/>
      <c r="K1249" s="9"/>
      <c r="L1249" s="8"/>
      <c r="M1249" s="8"/>
      <c r="N1249" s="8" t="s">
        <v>595</v>
      </c>
      <c r="O1249" s="8"/>
      <c r="P1249" s="10" t="n">
        <f aca="false">IF($H1249="숙박",0,IF($H1249=MID(P$1,3,20),IF($I1249="",1,0.6),IF($I1249=MID(P$1,3,20),0.4,0)))</f>
        <v>0</v>
      </c>
      <c r="Q1249" s="10" t="n">
        <f aca="false">IF($H1249="숙박",0,IF($H1249=MID(Q$1,3,20),IF($I1249="",1,0.6),IF($I1249=MID(Q$1,3,20),0.4,0)))</f>
        <v>0</v>
      </c>
      <c r="R1249" s="10" t="n">
        <f aca="false">IF($H1249="숙박",0,IF($H1249=MID(R$1,3,20),IF($I1249="",1,0.6),IF($I1249=MID(R$1,3,20),0.4,0)))</f>
        <v>0</v>
      </c>
      <c r="S1249" s="10" t="n">
        <f aca="false">IF($H1249="숙박",0,IF($H1249=MID(S$1,3,20),IF($I1249="",1,0.6),IF($I1249=MID(S$1,3,20),0.4,0)))</f>
        <v>0</v>
      </c>
      <c r="T1249" s="10" t="n">
        <f aca="false">IF($H1249="숙박",0,IF($H1249=MID(T$1,3,20),IF($I1249="",1,0.6),IF($I1249=MID(T$1,3,20),0.4,0)))</f>
        <v>0</v>
      </c>
      <c r="U1249" s="10" t="n">
        <f aca="false">IF($H1249="숙박",0,IF(ISNUMBER(SEARCH("야경",$J1249)),1,0))</f>
        <v>0</v>
      </c>
      <c r="V1249" s="10" t="n">
        <f aca="false">IF($H1249="숙박",0,1)</f>
        <v>0</v>
      </c>
    </row>
    <row r="1250" customFormat="false" ht="15" hidden="false" customHeight="false" outlineLevel="0" collapsed="false">
      <c r="A1250" s="8" t="n">
        <v>1249</v>
      </c>
      <c r="B1250" s="8" t="s">
        <v>45</v>
      </c>
      <c r="C1250" s="8" t="s">
        <v>2507</v>
      </c>
      <c r="D1250" s="8" t="s">
        <v>3772</v>
      </c>
      <c r="E1250" s="7" t="s">
        <v>3773</v>
      </c>
      <c r="F1250" s="8"/>
      <c r="G1250" s="8" t="s">
        <v>49</v>
      </c>
      <c r="H1250" s="9" t="s">
        <v>49</v>
      </c>
      <c r="I1250" s="9"/>
      <c r="J1250" s="9"/>
      <c r="K1250" s="9" t="s">
        <v>52</v>
      </c>
      <c r="L1250" s="8"/>
      <c r="M1250" s="8"/>
      <c r="N1250" s="8"/>
      <c r="O1250" s="8" t="s">
        <v>3774</v>
      </c>
      <c r="P1250" s="10" t="n">
        <f aca="false">IF($H1250="숙박",0,IF($H1250=MID(P$1,3,20),IF($I1250="",1,0.6),IF($I1250=MID(P$1,3,20),0.4,0)))</f>
        <v>0</v>
      </c>
      <c r="Q1250" s="10" t="n">
        <f aca="false">IF($H1250="숙박",0,IF($H1250=MID(Q$1,3,20),IF($I1250="",1,0.6),IF($I1250=MID(Q$1,3,20),0.4,0)))</f>
        <v>1</v>
      </c>
      <c r="R1250" s="10" t="n">
        <f aca="false">IF($H1250="숙박",0,IF($H1250=MID(R$1,3,20),IF($I1250="",1,0.6),IF($I1250=MID(R$1,3,20),0.4,0)))</f>
        <v>0</v>
      </c>
      <c r="S1250" s="10" t="n">
        <f aca="false">IF($H1250="숙박",0,IF($H1250=MID(S$1,3,20),IF($I1250="",1,0.6),IF($I1250=MID(S$1,3,20),0.4,0)))</f>
        <v>0</v>
      </c>
      <c r="T1250" s="10" t="n">
        <f aca="false">IF($H1250="숙박",0,IF($H1250=MID(T$1,3,20),IF($I1250="",1,0.6),IF($I1250=MID(T$1,3,20),0.4,0)))</f>
        <v>0</v>
      </c>
      <c r="U1250" s="10" t="n">
        <f aca="false">IF($H1250="숙박",0,IF(ISNUMBER(SEARCH("야경",$J1250)),1,0))</f>
        <v>0</v>
      </c>
      <c r="V1250" s="10" t="n">
        <f aca="false">IF($H1250="숙박",0,1)</f>
        <v>1</v>
      </c>
    </row>
    <row r="1251" customFormat="false" ht="15" hidden="false" customHeight="false" outlineLevel="0" collapsed="false">
      <c r="A1251" s="8" t="n">
        <v>1250</v>
      </c>
      <c r="B1251" s="8" t="s">
        <v>45</v>
      </c>
      <c r="C1251" s="8" t="s">
        <v>788</v>
      </c>
      <c r="D1251" s="8" t="s">
        <v>3775</v>
      </c>
      <c r="E1251" s="7" t="s">
        <v>3776</v>
      </c>
      <c r="F1251" s="8"/>
      <c r="G1251" s="8" t="s">
        <v>49</v>
      </c>
      <c r="H1251" s="9" t="s">
        <v>49</v>
      </c>
      <c r="I1251" s="9"/>
      <c r="J1251" s="9"/>
      <c r="K1251" s="9" t="s">
        <v>52</v>
      </c>
      <c r="L1251" s="8"/>
      <c r="M1251" s="8"/>
      <c r="N1251" s="8"/>
      <c r="O1251" s="8" t="s">
        <v>3777</v>
      </c>
      <c r="P1251" s="10" t="n">
        <f aca="false">IF($H1251="숙박",0,IF($H1251=MID(P$1,3,20),IF($I1251="",1,0.6),IF($I1251=MID(P$1,3,20),0.4,0)))</f>
        <v>0</v>
      </c>
      <c r="Q1251" s="10" t="n">
        <f aca="false">IF($H1251="숙박",0,IF($H1251=MID(Q$1,3,20),IF($I1251="",1,0.6),IF($I1251=MID(Q$1,3,20),0.4,0)))</f>
        <v>1</v>
      </c>
      <c r="R1251" s="10" t="n">
        <f aca="false">IF($H1251="숙박",0,IF($H1251=MID(R$1,3,20),IF($I1251="",1,0.6),IF($I1251=MID(R$1,3,20),0.4,0)))</f>
        <v>0</v>
      </c>
      <c r="S1251" s="10" t="n">
        <f aca="false">IF($H1251="숙박",0,IF($H1251=MID(S$1,3,20),IF($I1251="",1,0.6),IF($I1251=MID(S$1,3,20),0.4,0)))</f>
        <v>0</v>
      </c>
      <c r="T1251" s="10" t="n">
        <f aca="false">IF($H1251="숙박",0,IF($H1251=MID(T$1,3,20),IF($I1251="",1,0.6),IF($I1251=MID(T$1,3,20),0.4,0)))</f>
        <v>0</v>
      </c>
      <c r="U1251" s="10" t="n">
        <f aca="false">IF($H1251="숙박",0,IF(ISNUMBER(SEARCH("야경",$J1251)),1,0))</f>
        <v>0</v>
      </c>
      <c r="V1251" s="10" t="n">
        <f aca="false">IF($H1251="숙박",0,1)</f>
        <v>1</v>
      </c>
    </row>
    <row r="1252" customFormat="false" ht="15" hidden="false" customHeight="false" outlineLevel="0" collapsed="false">
      <c r="A1252" s="8" t="n">
        <v>1251</v>
      </c>
      <c r="B1252" s="8" t="s">
        <v>45</v>
      </c>
      <c r="C1252" s="8" t="s">
        <v>1600</v>
      </c>
      <c r="D1252" s="8" t="s">
        <v>3778</v>
      </c>
      <c r="E1252" s="7" t="s">
        <v>3779</v>
      </c>
      <c r="F1252" s="8"/>
      <c r="G1252" s="8" t="s">
        <v>49</v>
      </c>
      <c r="H1252" s="9" t="s">
        <v>49</v>
      </c>
      <c r="I1252" s="9" t="s">
        <v>190</v>
      </c>
      <c r="J1252" s="9"/>
      <c r="K1252" s="9" t="s">
        <v>209</v>
      </c>
      <c r="L1252" s="8"/>
      <c r="M1252" s="8"/>
      <c r="N1252" s="8" t="s">
        <v>483</v>
      </c>
      <c r="O1252" s="8" t="s">
        <v>3780</v>
      </c>
      <c r="P1252" s="10" t="n">
        <f aca="false">IF($H1252="숙박",0,IF($H1252=MID(P$1,3,20),IF($I1252="",1,0.6),IF($I1252=MID(P$1,3,20),0.4,0)))</f>
        <v>0.4</v>
      </c>
      <c r="Q1252" s="10" t="n">
        <f aca="false">IF($H1252="숙박",0,IF($H1252=MID(Q$1,3,20),IF($I1252="",1,0.6),IF($I1252=MID(Q$1,3,20),0.4,0)))</f>
        <v>0.6</v>
      </c>
      <c r="R1252" s="10" t="n">
        <f aca="false">IF($H1252="숙박",0,IF($H1252=MID(R$1,3,20),IF($I1252="",1,0.6),IF($I1252=MID(R$1,3,20),0.4,0)))</f>
        <v>0</v>
      </c>
      <c r="S1252" s="10" t="n">
        <f aca="false">IF($H1252="숙박",0,IF($H1252=MID(S$1,3,20),IF($I1252="",1,0.6),IF($I1252=MID(S$1,3,20),0.4,0)))</f>
        <v>0</v>
      </c>
      <c r="T1252" s="10" t="n">
        <f aca="false">IF($H1252="숙박",0,IF($H1252=MID(T$1,3,20),IF($I1252="",1,0.6),IF($I1252=MID(T$1,3,20),0.4,0)))</f>
        <v>0</v>
      </c>
      <c r="U1252" s="10" t="n">
        <f aca="false">IF($H1252="숙박",0,IF(ISNUMBER(SEARCH("야경",$J1252)),1,0))</f>
        <v>0</v>
      </c>
      <c r="V1252" s="10" t="n">
        <f aca="false">IF($H1252="숙박",0,1)</f>
        <v>1</v>
      </c>
    </row>
    <row r="1253" customFormat="false" ht="15" hidden="false" customHeight="false" outlineLevel="0" collapsed="false">
      <c r="A1253" s="8" t="n">
        <v>1252</v>
      </c>
      <c r="B1253" s="8" t="s">
        <v>45</v>
      </c>
      <c r="C1253" s="8" t="s">
        <v>1497</v>
      </c>
      <c r="D1253" s="8" t="s">
        <v>3781</v>
      </c>
      <c r="E1253" s="7" t="s">
        <v>3782</v>
      </c>
      <c r="F1253" s="8"/>
      <c r="G1253" s="8" t="s">
        <v>50</v>
      </c>
      <c r="H1253" s="9" t="s">
        <v>50</v>
      </c>
      <c r="I1253" s="9"/>
      <c r="J1253" s="9" t="s">
        <v>168</v>
      </c>
      <c r="K1253" s="9" t="s">
        <v>52</v>
      </c>
      <c r="L1253" s="8"/>
      <c r="M1253" s="8"/>
      <c r="N1253" s="8"/>
      <c r="O1253" s="8" t="s">
        <v>3783</v>
      </c>
      <c r="P1253" s="10" t="n">
        <f aca="false">IF($H1253="숙박",0,IF($H1253=MID(P$1,3,20),IF($I1253="",1,0.6),IF($I1253=MID(P$1,3,20),0.4,0)))</f>
        <v>0</v>
      </c>
      <c r="Q1253" s="10" t="n">
        <f aca="false">IF($H1253="숙박",0,IF($H1253=MID(Q$1,3,20),IF($I1253="",1,0.6),IF($I1253=MID(Q$1,3,20),0.4,0)))</f>
        <v>0</v>
      </c>
      <c r="R1253" s="10" t="n">
        <f aca="false">IF($H1253="숙박",0,IF($H1253=MID(R$1,3,20),IF($I1253="",1,0.6),IF($I1253=MID(R$1,3,20),0.4,0)))</f>
        <v>0</v>
      </c>
      <c r="S1253" s="10" t="n">
        <f aca="false">IF($H1253="숙박",0,IF($H1253=MID(S$1,3,20),IF($I1253="",1,0.6),IF($I1253=MID(S$1,3,20),0.4,0)))</f>
        <v>0</v>
      </c>
      <c r="T1253" s="10" t="n">
        <f aca="false">IF($H1253="숙박",0,IF($H1253=MID(T$1,3,20),IF($I1253="",1,0.6),IF($I1253=MID(T$1,3,20),0.4,0)))</f>
        <v>1</v>
      </c>
      <c r="U1253" s="10" t="n">
        <f aca="false">IF($H1253="숙박",0,IF(ISNUMBER(SEARCH("야경",$J1253)),1,0))</f>
        <v>0</v>
      </c>
      <c r="V1253" s="10" t="n">
        <f aca="false">IF($H1253="숙박",0,1)</f>
        <v>1</v>
      </c>
    </row>
    <row r="1254" customFormat="false" ht="15" hidden="false" customHeight="false" outlineLevel="0" collapsed="false">
      <c r="A1254" s="8" t="n">
        <v>1253</v>
      </c>
      <c r="B1254" s="8" t="s">
        <v>45</v>
      </c>
      <c r="C1254" s="8"/>
      <c r="D1254" s="8" t="s">
        <v>3784</v>
      </c>
      <c r="E1254" s="7" t="s">
        <v>3785</v>
      </c>
      <c r="F1254" s="8"/>
      <c r="G1254" s="8"/>
      <c r="H1254" s="9" t="s">
        <v>594</v>
      </c>
      <c r="I1254" s="9"/>
      <c r="J1254" s="9"/>
      <c r="K1254" s="9"/>
      <c r="L1254" s="8"/>
      <c r="M1254" s="8"/>
      <c r="N1254" s="8" t="s">
        <v>595</v>
      </c>
      <c r="O1254" s="8"/>
      <c r="P1254" s="10" t="n">
        <f aca="false">IF($H1254="숙박",0,IF($H1254=MID(P$1,3,20),IF($I1254="",1,0.6),IF($I1254=MID(P$1,3,20),0.4,0)))</f>
        <v>0</v>
      </c>
      <c r="Q1254" s="10" t="n">
        <f aca="false">IF($H1254="숙박",0,IF($H1254=MID(Q$1,3,20),IF($I1254="",1,0.6),IF($I1254=MID(Q$1,3,20),0.4,0)))</f>
        <v>0</v>
      </c>
      <c r="R1254" s="10" t="n">
        <f aca="false">IF($H1254="숙박",0,IF($H1254=MID(R$1,3,20),IF($I1254="",1,0.6),IF($I1254=MID(R$1,3,20),0.4,0)))</f>
        <v>0</v>
      </c>
      <c r="S1254" s="10" t="n">
        <f aca="false">IF($H1254="숙박",0,IF($H1254=MID(S$1,3,20),IF($I1254="",1,0.6),IF($I1254=MID(S$1,3,20),0.4,0)))</f>
        <v>0</v>
      </c>
      <c r="T1254" s="10" t="n">
        <f aca="false">IF($H1254="숙박",0,IF($H1254=MID(T$1,3,20),IF($I1254="",1,0.6),IF($I1254=MID(T$1,3,20),0.4,0)))</f>
        <v>0</v>
      </c>
      <c r="U1254" s="10" t="n">
        <f aca="false">IF($H1254="숙박",0,IF(ISNUMBER(SEARCH("야경",$J1254)),1,0))</f>
        <v>0</v>
      </c>
      <c r="V1254" s="10" t="n">
        <f aca="false">IF($H1254="숙박",0,1)</f>
        <v>0</v>
      </c>
    </row>
    <row r="1255" customFormat="false" ht="15" hidden="false" customHeight="false" outlineLevel="0" collapsed="false">
      <c r="A1255" s="8" t="n">
        <v>1254</v>
      </c>
      <c r="B1255" s="8" t="s">
        <v>45</v>
      </c>
      <c r="C1255" s="8" t="s">
        <v>1336</v>
      </c>
      <c r="D1255" s="8" t="s">
        <v>3786</v>
      </c>
      <c r="E1255" s="7" t="s">
        <v>3787</v>
      </c>
      <c r="F1255" s="8"/>
      <c r="G1255" s="8" t="s">
        <v>49</v>
      </c>
      <c r="H1255" s="9" t="s">
        <v>49</v>
      </c>
      <c r="I1255" s="9"/>
      <c r="J1255" s="9"/>
      <c r="K1255" s="9" t="s">
        <v>52</v>
      </c>
      <c r="L1255" s="8"/>
      <c r="M1255" s="8"/>
      <c r="N1255" s="8"/>
      <c r="O1255" s="8" t="s">
        <v>3788</v>
      </c>
      <c r="P1255" s="10" t="n">
        <f aca="false">IF($H1255="숙박",0,IF($H1255=MID(P$1,3,20),IF($I1255="",1,0.6),IF($I1255=MID(P$1,3,20),0.4,0)))</f>
        <v>0</v>
      </c>
      <c r="Q1255" s="10" t="n">
        <f aca="false">IF($H1255="숙박",0,IF($H1255=MID(Q$1,3,20),IF($I1255="",1,0.6),IF($I1255=MID(Q$1,3,20),0.4,0)))</f>
        <v>1</v>
      </c>
      <c r="R1255" s="10" t="n">
        <f aca="false">IF($H1255="숙박",0,IF($H1255=MID(R$1,3,20),IF($I1255="",1,0.6),IF($I1255=MID(R$1,3,20),0.4,0)))</f>
        <v>0</v>
      </c>
      <c r="S1255" s="10" t="n">
        <f aca="false">IF($H1255="숙박",0,IF($H1255=MID(S$1,3,20),IF($I1255="",1,0.6),IF($I1255=MID(S$1,3,20),0.4,0)))</f>
        <v>0</v>
      </c>
      <c r="T1255" s="10" t="n">
        <f aca="false">IF($H1255="숙박",0,IF($H1255=MID(T$1,3,20),IF($I1255="",1,0.6),IF($I1255=MID(T$1,3,20),0.4,0)))</f>
        <v>0</v>
      </c>
      <c r="U1255" s="10" t="n">
        <f aca="false">IF($H1255="숙박",0,IF(ISNUMBER(SEARCH("야경",$J1255)),1,0))</f>
        <v>0</v>
      </c>
      <c r="V1255" s="10" t="n">
        <f aca="false">IF($H1255="숙박",0,1)</f>
        <v>1</v>
      </c>
    </row>
    <row r="1256" customFormat="false" ht="15" hidden="false" customHeight="false" outlineLevel="0" collapsed="false">
      <c r="A1256" s="8" t="n">
        <v>1255</v>
      </c>
      <c r="B1256" s="8" t="s">
        <v>45</v>
      </c>
      <c r="C1256" s="8" t="s">
        <v>966</v>
      </c>
      <c r="D1256" s="8" t="s">
        <v>3789</v>
      </c>
      <c r="E1256" s="7" t="s">
        <v>3790</v>
      </c>
      <c r="F1256" s="8"/>
      <c r="G1256" s="8" t="s">
        <v>184</v>
      </c>
      <c r="H1256" s="9" t="s">
        <v>184</v>
      </c>
      <c r="I1256" s="9" t="s">
        <v>49</v>
      </c>
      <c r="J1256" s="9"/>
      <c r="K1256" s="9" t="s">
        <v>191</v>
      </c>
      <c r="L1256" s="8"/>
      <c r="M1256" s="8"/>
      <c r="N1256" s="8" t="s">
        <v>483</v>
      </c>
      <c r="O1256" s="8" t="s">
        <v>3791</v>
      </c>
      <c r="P1256" s="10" t="n">
        <f aca="false">IF($H1256="숙박",0,IF($H1256=MID(P$1,3,20),IF($I1256="",1,0.6),IF($I1256=MID(P$1,3,20),0.4,0)))</f>
        <v>0</v>
      </c>
      <c r="Q1256" s="10" t="n">
        <f aca="false">IF($H1256="숙박",0,IF($H1256=MID(Q$1,3,20),IF($I1256="",1,0.6),IF($I1256=MID(Q$1,3,20),0.4,0)))</f>
        <v>0.4</v>
      </c>
      <c r="R1256" s="10" t="n">
        <f aca="false">IF($H1256="숙박",0,IF($H1256=MID(R$1,3,20),IF($I1256="",1,0.6),IF($I1256=MID(R$1,3,20),0.4,0)))</f>
        <v>0.6</v>
      </c>
      <c r="S1256" s="10" t="n">
        <f aca="false">IF($H1256="숙박",0,IF($H1256=MID(S$1,3,20),IF($I1256="",1,0.6),IF($I1256=MID(S$1,3,20),0.4,0)))</f>
        <v>0</v>
      </c>
      <c r="T1256" s="10" t="n">
        <f aca="false">IF($H1256="숙박",0,IF($H1256=MID(T$1,3,20),IF($I1256="",1,0.6),IF($I1256=MID(T$1,3,20),0.4,0)))</f>
        <v>0</v>
      </c>
      <c r="U1256" s="10" t="n">
        <f aca="false">IF($H1256="숙박",0,IF(ISNUMBER(SEARCH("야경",$J1256)),1,0))</f>
        <v>0</v>
      </c>
      <c r="V1256" s="10" t="n">
        <f aca="false">IF($H1256="숙박",0,1)</f>
        <v>1</v>
      </c>
    </row>
    <row r="1257" customFormat="false" ht="15" hidden="false" customHeight="false" outlineLevel="0" collapsed="false">
      <c r="A1257" s="8" t="n">
        <v>1256</v>
      </c>
      <c r="B1257" s="8" t="s">
        <v>45</v>
      </c>
      <c r="C1257" s="8" t="s">
        <v>1535</v>
      </c>
      <c r="D1257" s="8" t="s">
        <v>3792</v>
      </c>
      <c r="E1257" s="7" t="s">
        <v>3793</v>
      </c>
      <c r="F1257" s="8"/>
      <c r="G1257" s="8" t="s">
        <v>216</v>
      </c>
      <c r="H1257" s="9" t="s">
        <v>216</v>
      </c>
      <c r="I1257" s="9"/>
      <c r="J1257" s="9"/>
      <c r="K1257" s="9" t="s">
        <v>191</v>
      </c>
      <c r="L1257" s="8"/>
      <c r="M1257" s="8"/>
      <c r="N1257" s="8"/>
      <c r="O1257" s="7" t="s">
        <v>3794</v>
      </c>
      <c r="P1257" s="10" t="n">
        <f aca="false">IF($H1257="숙박",0,IF($H1257=MID(P$1,3,20),IF($I1257="",1,0.6),IF($I1257=MID(P$1,3,20),0.4,0)))</f>
        <v>0</v>
      </c>
      <c r="Q1257" s="10" t="n">
        <f aca="false">IF($H1257="숙박",0,IF($H1257=MID(Q$1,3,20),IF($I1257="",1,0.6),IF($I1257=MID(Q$1,3,20),0.4,0)))</f>
        <v>0</v>
      </c>
      <c r="R1257" s="10" t="n">
        <f aca="false">IF($H1257="숙박",0,IF($H1257=MID(R$1,3,20),IF($I1257="",1,0.6),IF($I1257=MID(R$1,3,20),0.4,0)))</f>
        <v>0</v>
      </c>
      <c r="S1257" s="10" t="n">
        <f aca="false">IF($H1257="숙박",0,IF($H1257=MID(S$1,3,20),IF($I1257="",1,0.6),IF($I1257=MID(S$1,3,20),0.4,0)))</f>
        <v>1</v>
      </c>
      <c r="T1257" s="10" t="n">
        <f aca="false">IF($H1257="숙박",0,IF($H1257=MID(T$1,3,20),IF($I1257="",1,0.6),IF($I1257=MID(T$1,3,20),0.4,0)))</f>
        <v>0</v>
      </c>
      <c r="U1257" s="10" t="n">
        <f aca="false">IF($H1257="숙박",0,IF(ISNUMBER(SEARCH("야경",$J1257)),1,0))</f>
        <v>0</v>
      </c>
      <c r="V1257" s="10" t="n">
        <f aca="false">IF($H1257="숙박",0,1)</f>
        <v>1</v>
      </c>
    </row>
    <row r="1258" customFormat="false" ht="15" hidden="false" customHeight="false" outlineLevel="0" collapsed="false">
      <c r="A1258" s="8" t="n">
        <v>1257</v>
      </c>
      <c r="B1258" s="8" t="s">
        <v>45</v>
      </c>
      <c r="C1258" s="8" t="s">
        <v>388</v>
      </c>
      <c r="D1258" s="8" t="s">
        <v>3795</v>
      </c>
      <c r="E1258" s="7" t="s">
        <v>3796</v>
      </c>
      <c r="F1258" s="8"/>
      <c r="G1258" s="8" t="s">
        <v>49</v>
      </c>
      <c r="H1258" s="9" t="s">
        <v>49</v>
      </c>
      <c r="I1258" s="9" t="s">
        <v>184</v>
      </c>
      <c r="J1258" s="9" t="s">
        <v>43</v>
      </c>
      <c r="K1258" s="9" t="s">
        <v>52</v>
      </c>
      <c r="L1258" s="8"/>
      <c r="M1258" s="8"/>
      <c r="N1258" s="8" t="s">
        <v>483</v>
      </c>
      <c r="O1258" s="8" t="s">
        <v>3797</v>
      </c>
      <c r="P1258" s="10" t="n">
        <f aca="false">IF($H1258="숙박",0,IF($H1258=MID(P$1,3,20),IF($I1258="",1,0.6),IF($I1258=MID(P$1,3,20),0.4,0)))</f>
        <v>0</v>
      </c>
      <c r="Q1258" s="10" t="n">
        <f aca="false">IF($H1258="숙박",0,IF($H1258=MID(Q$1,3,20),IF($I1258="",1,0.6),IF($I1258=MID(Q$1,3,20),0.4,0)))</f>
        <v>0.6</v>
      </c>
      <c r="R1258" s="10" t="n">
        <f aca="false">IF($H1258="숙박",0,IF($H1258=MID(R$1,3,20),IF($I1258="",1,0.6),IF($I1258=MID(R$1,3,20),0.4,0)))</f>
        <v>0.4</v>
      </c>
      <c r="S1258" s="10" t="n">
        <f aca="false">IF($H1258="숙박",0,IF($H1258=MID(S$1,3,20),IF($I1258="",1,0.6),IF($I1258=MID(S$1,3,20),0.4,0)))</f>
        <v>0</v>
      </c>
      <c r="T1258" s="10" t="n">
        <f aca="false">IF($H1258="숙박",0,IF($H1258=MID(T$1,3,20),IF($I1258="",1,0.6),IF($I1258=MID(T$1,3,20),0.4,0)))</f>
        <v>0</v>
      </c>
      <c r="U1258" s="10" t="n">
        <f aca="false">IF($H1258="숙박",0,IF(ISNUMBER(SEARCH("야경",$J1258)),1,0))</f>
        <v>1</v>
      </c>
      <c r="V1258" s="10" t="n">
        <f aca="false">IF($H1258="숙박",0,1)</f>
        <v>1</v>
      </c>
    </row>
    <row r="1259" customFormat="false" ht="15" hidden="false" customHeight="false" outlineLevel="0" collapsed="false">
      <c r="A1259" s="8" t="n">
        <v>1258</v>
      </c>
      <c r="B1259" s="8" t="s">
        <v>45</v>
      </c>
      <c r="C1259" s="8"/>
      <c r="D1259" s="8" t="s">
        <v>3798</v>
      </c>
      <c r="E1259" s="7" t="s">
        <v>3799</v>
      </c>
      <c r="F1259" s="8"/>
      <c r="G1259" s="8"/>
      <c r="H1259" s="9" t="s">
        <v>594</v>
      </c>
      <c r="I1259" s="9"/>
      <c r="J1259" s="9"/>
      <c r="K1259" s="9"/>
      <c r="L1259" s="8"/>
      <c r="M1259" s="8"/>
      <c r="N1259" s="8" t="s">
        <v>595</v>
      </c>
      <c r="O1259" s="8"/>
      <c r="P1259" s="10" t="n">
        <f aca="false">IF($H1259="숙박",0,IF($H1259=MID(P$1,3,20),IF($I1259="",1,0.6),IF($I1259=MID(P$1,3,20),0.4,0)))</f>
        <v>0</v>
      </c>
      <c r="Q1259" s="10" t="n">
        <f aca="false">IF($H1259="숙박",0,IF($H1259=MID(Q$1,3,20),IF($I1259="",1,0.6),IF($I1259=MID(Q$1,3,20),0.4,0)))</f>
        <v>0</v>
      </c>
      <c r="R1259" s="10" t="n">
        <f aca="false">IF($H1259="숙박",0,IF($H1259=MID(R$1,3,20),IF($I1259="",1,0.6),IF($I1259=MID(R$1,3,20),0.4,0)))</f>
        <v>0</v>
      </c>
      <c r="S1259" s="10" t="n">
        <f aca="false">IF($H1259="숙박",0,IF($H1259=MID(S$1,3,20),IF($I1259="",1,0.6),IF($I1259=MID(S$1,3,20),0.4,0)))</f>
        <v>0</v>
      </c>
      <c r="T1259" s="10" t="n">
        <f aca="false">IF($H1259="숙박",0,IF($H1259=MID(T$1,3,20),IF($I1259="",1,0.6),IF($I1259=MID(T$1,3,20),0.4,0)))</f>
        <v>0</v>
      </c>
      <c r="U1259" s="10" t="n">
        <f aca="false">IF($H1259="숙박",0,IF(ISNUMBER(SEARCH("야경",$J1259)),1,0))</f>
        <v>0</v>
      </c>
      <c r="V1259" s="10" t="n">
        <f aca="false">IF($H1259="숙박",0,1)</f>
        <v>0</v>
      </c>
    </row>
    <row r="1260" customFormat="false" ht="15" hidden="false" customHeight="false" outlineLevel="0" collapsed="false">
      <c r="A1260" s="8" t="n">
        <v>1259</v>
      </c>
      <c r="B1260" s="8" t="s">
        <v>45</v>
      </c>
      <c r="C1260" s="8" t="s">
        <v>1881</v>
      </c>
      <c r="D1260" s="8" t="s">
        <v>3800</v>
      </c>
      <c r="E1260" s="7" t="s">
        <v>3801</v>
      </c>
      <c r="F1260" s="8"/>
      <c r="G1260" s="8" t="s">
        <v>49</v>
      </c>
      <c r="H1260" s="9" t="s">
        <v>49</v>
      </c>
      <c r="I1260" s="9"/>
      <c r="J1260" s="9"/>
      <c r="K1260" s="9" t="s">
        <v>52</v>
      </c>
      <c r="L1260" s="8"/>
      <c r="M1260" s="8"/>
      <c r="N1260" s="8"/>
      <c r="O1260" s="8" t="s">
        <v>3802</v>
      </c>
      <c r="P1260" s="10" t="n">
        <f aca="false">IF($H1260="숙박",0,IF($H1260=MID(P$1,3,20),IF($I1260="",1,0.6),IF($I1260=MID(P$1,3,20),0.4,0)))</f>
        <v>0</v>
      </c>
      <c r="Q1260" s="10" t="n">
        <f aca="false">IF($H1260="숙박",0,IF($H1260=MID(Q$1,3,20),IF($I1260="",1,0.6),IF($I1260=MID(Q$1,3,20),0.4,0)))</f>
        <v>1</v>
      </c>
      <c r="R1260" s="10" t="n">
        <f aca="false">IF($H1260="숙박",0,IF($H1260=MID(R$1,3,20),IF($I1260="",1,0.6),IF($I1260=MID(R$1,3,20),0.4,0)))</f>
        <v>0</v>
      </c>
      <c r="S1260" s="10" t="n">
        <f aca="false">IF($H1260="숙박",0,IF($H1260=MID(S$1,3,20),IF($I1260="",1,0.6),IF($I1260=MID(S$1,3,20),0.4,0)))</f>
        <v>0</v>
      </c>
      <c r="T1260" s="10" t="n">
        <f aca="false">IF($H1260="숙박",0,IF($H1260=MID(T$1,3,20),IF($I1260="",1,0.6),IF($I1260=MID(T$1,3,20),0.4,0)))</f>
        <v>0</v>
      </c>
      <c r="U1260" s="10" t="n">
        <f aca="false">IF($H1260="숙박",0,IF(ISNUMBER(SEARCH("야경",$J1260)),1,0))</f>
        <v>0</v>
      </c>
      <c r="V1260" s="10" t="n">
        <f aca="false">IF($H1260="숙박",0,1)</f>
        <v>1</v>
      </c>
    </row>
    <row r="1261" customFormat="false" ht="15" hidden="false" customHeight="false" outlineLevel="0" collapsed="false">
      <c r="A1261" s="8" t="n">
        <v>1260</v>
      </c>
      <c r="B1261" s="8" t="s">
        <v>45</v>
      </c>
      <c r="C1261" s="8" t="s">
        <v>2177</v>
      </c>
      <c r="D1261" s="8" t="s">
        <v>3803</v>
      </c>
      <c r="E1261" s="7" t="s">
        <v>3804</v>
      </c>
      <c r="F1261" s="8"/>
      <c r="G1261" s="8" t="s">
        <v>49</v>
      </c>
      <c r="H1261" s="9" t="s">
        <v>49</v>
      </c>
      <c r="I1261" s="9"/>
      <c r="J1261" s="9"/>
      <c r="K1261" s="9" t="s">
        <v>52</v>
      </c>
      <c r="L1261" s="8"/>
      <c r="M1261" s="8"/>
      <c r="N1261" s="8"/>
      <c r="O1261" s="8" t="s">
        <v>3805</v>
      </c>
      <c r="P1261" s="10" t="n">
        <f aca="false">IF($H1261="숙박",0,IF($H1261=MID(P$1,3,20),IF($I1261="",1,0.6),IF($I1261=MID(P$1,3,20),0.4,0)))</f>
        <v>0</v>
      </c>
      <c r="Q1261" s="10" t="n">
        <f aca="false">IF($H1261="숙박",0,IF($H1261=MID(Q$1,3,20),IF($I1261="",1,0.6),IF($I1261=MID(Q$1,3,20),0.4,0)))</f>
        <v>1</v>
      </c>
      <c r="R1261" s="10" t="n">
        <f aca="false">IF($H1261="숙박",0,IF($H1261=MID(R$1,3,20),IF($I1261="",1,0.6),IF($I1261=MID(R$1,3,20),0.4,0)))</f>
        <v>0</v>
      </c>
      <c r="S1261" s="10" t="n">
        <f aca="false">IF($H1261="숙박",0,IF($H1261=MID(S$1,3,20),IF($I1261="",1,0.6),IF($I1261=MID(S$1,3,20),0.4,0)))</f>
        <v>0</v>
      </c>
      <c r="T1261" s="10" t="n">
        <f aca="false">IF($H1261="숙박",0,IF($H1261=MID(T$1,3,20),IF($I1261="",1,0.6),IF($I1261=MID(T$1,3,20),0.4,0)))</f>
        <v>0</v>
      </c>
      <c r="U1261" s="10" t="n">
        <f aca="false">IF($H1261="숙박",0,IF(ISNUMBER(SEARCH("야경",$J1261)),1,0))</f>
        <v>0</v>
      </c>
      <c r="V1261" s="10" t="n">
        <f aca="false">IF($H1261="숙박",0,1)</f>
        <v>1</v>
      </c>
    </row>
    <row r="1262" customFormat="false" ht="15" hidden="false" customHeight="false" outlineLevel="0" collapsed="false">
      <c r="A1262" s="8" t="n">
        <v>1261</v>
      </c>
      <c r="B1262" s="8" t="s">
        <v>45</v>
      </c>
      <c r="C1262" s="8" t="s">
        <v>1363</v>
      </c>
      <c r="D1262" s="8" t="s">
        <v>3806</v>
      </c>
      <c r="E1262" s="7" t="s">
        <v>3807</v>
      </c>
      <c r="F1262" s="8"/>
      <c r="G1262" s="8" t="s">
        <v>190</v>
      </c>
      <c r="H1262" s="9" t="s">
        <v>190</v>
      </c>
      <c r="I1262" s="9"/>
      <c r="J1262" s="9"/>
      <c r="K1262" s="9" t="s">
        <v>52</v>
      </c>
      <c r="L1262" s="8"/>
      <c r="M1262" s="8"/>
      <c r="N1262" s="8"/>
      <c r="O1262" s="8" t="s">
        <v>3808</v>
      </c>
      <c r="P1262" s="10" t="n">
        <f aca="false">IF($H1262="숙박",0,IF($H1262=MID(P$1,3,20),IF($I1262="",1,0.6),IF($I1262=MID(P$1,3,20),0.4,0)))</f>
        <v>1</v>
      </c>
      <c r="Q1262" s="10" t="n">
        <f aca="false">IF($H1262="숙박",0,IF($H1262=MID(Q$1,3,20),IF($I1262="",1,0.6),IF($I1262=MID(Q$1,3,20),0.4,0)))</f>
        <v>0</v>
      </c>
      <c r="R1262" s="10" t="n">
        <f aca="false">IF($H1262="숙박",0,IF($H1262=MID(R$1,3,20),IF($I1262="",1,0.6),IF($I1262=MID(R$1,3,20),0.4,0)))</f>
        <v>0</v>
      </c>
      <c r="S1262" s="10" t="n">
        <f aca="false">IF($H1262="숙박",0,IF($H1262=MID(S$1,3,20),IF($I1262="",1,0.6),IF($I1262=MID(S$1,3,20),0.4,0)))</f>
        <v>0</v>
      </c>
      <c r="T1262" s="10" t="n">
        <f aca="false">IF($H1262="숙박",0,IF($H1262=MID(T$1,3,20),IF($I1262="",1,0.6),IF($I1262=MID(T$1,3,20),0.4,0)))</f>
        <v>0</v>
      </c>
      <c r="U1262" s="10" t="n">
        <f aca="false">IF($H1262="숙박",0,IF(ISNUMBER(SEARCH("야경",$J1262)),1,0))</f>
        <v>0</v>
      </c>
      <c r="V1262" s="10" t="n">
        <f aca="false">IF($H1262="숙박",0,1)</f>
        <v>1</v>
      </c>
    </row>
    <row r="1263" customFormat="false" ht="15" hidden="false" customHeight="false" outlineLevel="0" collapsed="false">
      <c r="A1263" s="8" t="n">
        <v>1262</v>
      </c>
      <c r="B1263" s="8" t="s">
        <v>45</v>
      </c>
      <c r="C1263" s="8" t="s">
        <v>2177</v>
      </c>
      <c r="D1263" s="8" t="s">
        <v>3809</v>
      </c>
      <c r="E1263" s="7" t="s">
        <v>3810</v>
      </c>
      <c r="F1263" s="8"/>
      <c r="G1263" s="8" t="s">
        <v>49</v>
      </c>
      <c r="H1263" s="9" t="s">
        <v>49</v>
      </c>
      <c r="I1263" s="9"/>
      <c r="J1263" s="9"/>
      <c r="K1263" s="9" t="s">
        <v>52</v>
      </c>
      <c r="L1263" s="8"/>
      <c r="M1263" s="8"/>
      <c r="N1263" s="8"/>
      <c r="O1263" s="8" t="s">
        <v>3811</v>
      </c>
      <c r="P1263" s="10" t="n">
        <f aca="false">IF($H1263="숙박",0,IF($H1263=MID(P$1,3,20),IF($I1263="",1,0.6),IF($I1263=MID(P$1,3,20),0.4,0)))</f>
        <v>0</v>
      </c>
      <c r="Q1263" s="10" t="n">
        <f aca="false">IF($H1263="숙박",0,IF($H1263=MID(Q$1,3,20),IF($I1263="",1,0.6),IF($I1263=MID(Q$1,3,20),0.4,0)))</f>
        <v>1</v>
      </c>
      <c r="R1263" s="10" t="n">
        <f aca="false">IF($H1263="숙박",0,IF($H1263=MID(R$1,3,20),IF($I1263="",1,0.6),IF($I1263=MID(R$1,3,20),0.4,0)))</f>
        <v>0</v>
      </c>
      <c r="S1263" s="10" t="n">
        <f aca="false">IF($H1263="숙박",0,IF($H1263=MID(S$1,3,20),IF($I1263="",1,0.6),IF($I1263=MID(S$1,3,20),0.4,0)))</f>
        <v>0</v>
      </c>
      <c r="T1263" s="10" t="n">
        <f aca="false">IF($H1263="숙박",0,IF($H1263=MID(T$1,3,20),IF($I1263="",1,0.6),IF($I1263=MID(T$1,3,20),0.4,0)))</f>
        <v>0</v>
      </c>
      <c r="U1263" s="10" t="n">
        <f aca="false">IF($H1263="숙박",0,IF(ISNUMBER(SEARCH("야경",$J1263)),1,0))</f>
        <v>0</v>
      </c>
      <c r="V1263" s="10" t="n">
        <f aca="false">IF($H1263="숙박",0,1)</f>
        <v>1</v>
      </c>
    </row>
    <row r="1264" customFormat="false" ht="15" hidden="false" customHeight="false" outlineLevel="0" collapsed="false">
      <c r="A1264" s="8" t="n">
        <v>1263</v>
      </c>
      <c r="B1264" s="8" t="s">
        <v>45</v>
      </c>
      <c r="C1264" s="8" t="s">
        <v>2061</v>
      </c>
      <c r="D1264" s="8" t="s">
        <v>3812</v>
      </c>
      <c r="E1264" s="7" t="s">
        <v>3813</v>
      </c>
      <c r="F1264" s="8"/>
      <c r="G1264" s="8" t="s">
        <v>49</v>
      </c>
      <c r="H1264" s="9" t="s">
        <v>49</v>
      </c>
      <c r="I1264" s="9"/>
      <c r="J1264" s="9"/>
      <c r="K1264" s="9" t="s">
        <v>52</v>
      </c>
      <c r="L1264" s="8"/>
      <c r="M1264" s="8"/>
      <c r="N1264" s="8"/>
      <c r="O1264" s="8" t="s">
        <v>3814</v>
      </c>
      <c r="P1264" s="10" t="n">
        <f aca="false">IF($H1264="숙박",0,IF($H1264=MID(P$1,3,20),IF($I1264="",1,0.6),IF($I1264=MID(P$1,3,20),0.4,0)))</f>
        <v>0</v>
      </c>
      <c r="Q1264" s="10" t="n">
        <f aca="false">IF($H1264="숙박",0,IF($H1264=MID(Q$1,3,20),IF($I1264="",1,0.6),IF($I1264=MID(Q$1,3,20),0.4,0)))</f>
        <v>1</v>
      </c>
      <c r="R1264" s="10" t="n">
        <f aca="false">IF($H1264="숙박",0,IF($H1264=MID(R$1,3,20),IF($I1264="",1,0.6),IF($I1264=MID(R$1,3,20),0.4,0)))</f>
        <v>0</v>
      </c>
      <c r="S1264" s="10" t="n">
        <f aca="false">IF($H1264="숙박",0,IF($H1264=MID(S$1,3,20),IF($I1264="",1,0.6),IF($I1264=MID(S$1,3,20),0.4,0)))</f>
        <v>0</v>
      </c>
      <c r="T1264" s="10" t="n">
        <f aca="false">IF($H1264="숙박",0,IF($H1264=MID(T$1,3,20),IF($I1264="",1,0.6),IF($I1264=MID(T$1,3,20),0.4,0)))</f>
        <v>0</v>
      </c>
      <c r="U1264" s="10" t="n">
        <f aca="false">IF($H1264="숙박",0,IF(ISNUMBER(SEARCH("야경",$J1264)),1,0))</f>
        <v>0</v>
      </c>
      <c r="V1264" s="10" t="n">
        <f aca="false">IF($H1264="숙박",0,1)</f>
        <v>1</v>
      </c>
    </row>
    <row r="1265" customFormat="false" ht="15" hidden="false" customHeight="false" outlineLevel="0" collapsed="false">
      <c r="A1265" s="8" t="n">
        <v>1264</v>
      </c>
      <c r="B1265" s="8" t="s">
        <v>45</v>
      </c>
      <c r="C1265" s="8" t="s">
        <v>2304</v>
      </c>
      <c r="D1265" s="8" t="s">
        <v>3815</v>
      </c>
      <c r="E1265" s="7" t="s">
        <v>3816</v>
      </c>
      <c r="F1265" s="8"/>
      <c r="G1265" s="8" t="s">
        <v>190</v>
      </c>
      <c r="H1265" s="9" t="s">
        <v>190</v>
      </c>
      <c r="I1265" s="9"/>
      <c r="J1265" s="9"/>
      <c r="K1265" s="9" t="s">
        <v>191</v>
      </c>
      <c r="L1265" s="8"/>
      <c r="M1265" s="8"/>
      <c r="N1265" s="8"/>
      <c r="O1265" s="8" t="s">
        <v>3817</v>
      </c>
      <c r="P1265" s="10" t="n">
        <f aca="false">IF($H1265="숙박",0,IF($H1265=MID(P$1,3,20),IF($I1265="",1,0.6),IF($I1265=MID(P$1,3,20),0.4,0)))</f>
        <v>1</v>
      </c>
      <c r="Q1265" s="10" t="n">
        <f aca="false">IF($H1265="숙박",0,IF($H1265=MID(Q$1,3,20),IF($I1265="",1,0.6),IF($I1265=MID(Q$1,3,20),0.4,0)))</f>
        <v>0</v>
      </c>
      <c r="R1265" s="10" t="n">
        <f aca="false">IF($H1265="숙박",0,IF($H1265=MID(R$1,3,20),IF($I1265="",1,0.6),IF($I1265=MID(R$1,3,20),0.4,0)))</f>
        <v>0</v>
      </c>
      <c r="S1265" s="10" t="n">
        <f aca="false">IF($H1265="숙박",0,IF($H1265=MID(S$1,3,20),IF($I1265="",1,0.6),IF($I1265=MID(S$1,3,20),0.4,0)))</f>
        <v>0</v>
      </c>
      <c r="T1265" s="10" t="n">
        <f aca="false">IF($H1265="숙박",0,IF($H1265=MID(T$1,3,20),IF($I1265="",1,0.6),IF($I1265=MID(T$1,3,20),0.4,0)))</f>
        <v>0</v>
      </c>
      <c r="U1265" s="10" t="n">
        <f aca="false">IF($H1265="숙박",0,IF(ISNUMBER(SEARCH("야경",$J1265)),1,0))</f>
        <v>0</v>
      </c>
      <c r="V1265" s="10" t="n">
        <f aca="false">IF($H1265="숙박",0,1)</f>
        <v>1</v>
      </c>
    </row>
    <row r="1266" customFormat="false" ht="15" hidden="false" customHeight="false" outlineLevel="0" collapsed="false">
      <c r="A1266" s="8" t="n">
        <v>1265</v>
      </c>
      <c r="B1266" s="8" t="s">
        <v>45</v>
      </c>
      <c r="C1266" s="8" t="s">
        <v>1736</v>
      </c>
      <c r="D1266" s="8" t="s">
        <v>3818</v>
      </c>
      <c r="E1266" s="7" t="s">
        <v>3819</v>
      </c>
      <c r="F1266" s="8"/>
      <c r="G1266" s="8" t="s">
        <v>190</v>
      </c>
      <c r="H1266" s="9" t="s">
        <v>190</v>
      </c>
      <c r="I1266" s="9"/>
      <c r="J1266" s="9"/>
      <c r="K1266" s="9" t="s">
        <v>191</v>
      </c>
      <c r="L1266" s="8"/>
      <c r="M1266" s="8"/>
      <c r="N1266" s="8"/>
      <c r="O1266" s="8" t="s">
        <v>3820</v>
      </c>
      <c r="P1266" s="10" t="n">
        <f aca="false">IF($H1266="숙박",0,IF($H1266=MID(P$1,3,20),IF($I1266="",1,0.6),IF($I1266=MID(P$1,3,20),0.4,0)))</f>
        <v>1</v>
      </c>
      <c r="Q1266" s="10" t="n">
        <f aca="false">IF($H1266="숙박",0,IF($H1266=MID(Q$1,3,20),IF($I1266="",1,0.6),IF($I1266=MID(Q$1,3,20),0.4,0)))</f>
        <v>0</v>
      </c>
      <c r="R1266" s="10" t="n">
        <f aca="false">IF($H1266="숙박",0,IF($H1266=MID(R$1,3,20),IF($I1266="",1,0.6),IF($I1266=MID(R$1,3,20),0.4,0)))</f>
        <v>0</v>
      </c>
      <c r="S1266" s="10" t="n">
        <f aca="false">IF($H1266="숙박",0,IF($H1266=MID(S$1,3,20),IF($I1266="",1,0.6),IF($I1266=MID(S$1,3,20),0.4,0)))</f>
        <v>0</v>
      </c>
      <c r="T1266" s="10" t="n">
        <f aca="false">IF($H1266="숙박",0,IF($H1266=MID(T$1,3,20),IF($I1266="",1,0.6),IF($I1266=MID(T$1,3,20),0.4,0)))</f>
        <v>0</v>
      </c>
      <c r="U1266" s="10" t="n">
        <f aca="false">IF($H1266="숙박",0,IF(ISNUMBER(SEARCH("야경",$J1266)),1,0))</f>
        <v>0</v>
      </c>
      <c r="V1266" s="10" t="n">
        <f aca="false">IF($H1266="숙박",0,1)</f>
        <v>1</v>
      </c>
    </row>
    <row r="1267" customFormat="false" ht="15" hidden="false" customHeight="false" outlineLevel="0" collapsed="false">
      <c r="A1267" s="8" t="n">
        <v>1266</v>
      </c>
      <c r="B1267" s="8" t="s">
        <v>45</v>
      </c>
      <c r="C1267" s="8" t="s">
        <v>454</v>
      </c>
      <c r="D1267" s="8" t="s">
        <v>3821</v>
      </c>
      <c r="E1267" s="7" t="s">
        <v>3822</v>
      </c>
      <c r="F1267" s="8"/>
      <c r="G1267" s="8" t="s">
        <v>50</v>
      </c>
      <c r="H1267" s="9" t="s">
        <v>50</v>
      </c>
      <c r="I1267" s="9"/>
      <c r="J1267" s="9" t="s">
        <v>168</v>
      </c>
      <c r="K1267" s="9" t="s">
        <v>52</v>
      </c>
      <c r="L1267" s="8"/>
      <c r="M1267" s="8"/>
      <c r="N1267" s="8"/>
      <c r="O1267" s="8" t="s">
        <v>3823</v>
      </c>
      <c r="P1267" s="10" t="n">
        <f aca="false">IF($H1267="숙박",0,IF($H1267=MID(P$1,3,20),IF($I1267="",1,0.6),IF($I1267=MID(P$1,3,20),0.4,0)))</f>
        <v>0</v>
      </c>
      <c r="Q1267" s="10" t="n">
        <f aca="false">IF($H1267="숙박",0,IF($H1267=MID(Q$1,3,20),IF($I1267="",1,0.6),IF($I1267=MID(Q$1,3,20),0.4,0)))</f>
        <v>0</v>
      </c>
      <c r="R1267" s="10" t="n">
        <f aca="false">IF($H1267="숙박",0,IF($H1267=MID(R$1,3,20),IF($I1267="",1,0.6),IF($I1267=MID(R$1,3,20),0.4,0)))</f>
        <v>0</v>
      </c>
      <c r="S1267" s="10" t="n">
        <f aca="false">IF($H1267="숙박",0,IF($H1267=MID(S$1,3,20),IF($I1267="",1,0.6),IF($I1267=MID(S$1,3,20),0.4,0)))</f>
        <v>0</v>
      </c>
      <c r="T1267" s="10" t="n">
        <f aca="false">IF($H1267="숙박",0,IF($H1267=MID(T$1,3,20),IF($I1267="",1,0.6),IF($I1267=MID(T$1,3,20),0.4,0)))</f>
        <v>1</v>
      </c>
      <c r="U1267" s="10" t="n">
        <f aca="false">IF($H1267="숙박",0,IF(ISNUMBER(SEARCH("야경",$J1267)),1,0))</f>
        <v>0</v>
      </c>
      <c r="V1267" s="10" t="n">
        <f aca="false">IF($H1267="숙박",0,1)</f>
        <v>1</v>
      </c>
    </row>
    <row r="1268" customFormat="false" ht="15" hidden="false" customHeight="false" outlineLevel="0" collapsed="false">
      <c r="A1268" s="8" t="n">
        <v>1267</v>
      </c>
      <c r="B1268" s="8" t="s">
        <v>45</v>
      </c>
      <c r="C1268" s="8" t="s">
        <v>1895</v>
      </c>
      <c r="D1268" s="8" t="s">
        <v>3824</v>
      </c>
      <c r="E1268" s="7" t="s">
        <v>3825</v>
      </c>
      <c r="F1268" s="8"/>
      <c r="G1268" s="8" t="s">
        <v>49</v>
      </c>
      <c r="H1268" s="9" t="s">
        <v>49</v>
      </c>
      <c r="I1268" s="9"/>
      <c r="J1268" s="9"/>
      <c r="K1268" s="9" t="s">
        <v>52</v>
      </c>
      <c r="L1268" s="8"/>
      <c r="M1268" s="8"/>
      <c r="N1268" s="8"/>
      <c r="O1268" s="8" t="s">
        <v>3826</v>
      </c>
      <c r="P1268" s="10" t="n">
        <f aca="false">IF($H1268="숙박",0,IF($H1268=MID(P$1,3,20),IF($I1268="",1,0.6),IF($I1268=MID(P$1,3,20),0.4,0)))</f>
        <v>0</v>
      </c>
      <c r="Q1268" s="10" t="n">
        <f aca="false">IF($H1268="숙박",0,IF($H1268=MID(Q$1,3,20),IF($I1268="",1,0.6),IF($I1268=MID(Q$1,3,20),0.4,0)))</f>
        <v>1</v>
      </c>
      <c r="R1268" s="10" t="n">
        <f aca="false">IF($H1268="숙박",0,IF($H1268=MID(R$1,3,20),IF($I1268="",1,0.6),IF($I1268=MID(R$1,3,20),0.4,0)))</f>
        <v>0</v>
      </c>
      <c r="S1268" s="10" t="n">
        <f aca="false">IF($H1268="숙박",0,IF($H1268=MID(S$1,3,20),IF($I1268="",1,0.6),IF($I1268=MID(S$1,3,20),0.4,0)))</f>
        <v>0</v>
      </c>
      <c r="T1268" s="10" t="n">
        <f aca="false">IF($H1268="숙박",0,IF($H1268=MID(T$1,3,20),IF($I1268="",1,0.6),IF($I1268=MID(T$1,3,20),0.4,0)))</f>
        <v>0</v>
      </c>
      <c r="U1268" s="10" t="n">
        <f aca="false">IF($H1268="숙박",0,IF(ISNUMBER(SEARCH("야경",$J1268)),1,0))</f>
        <v>0</v>
      </c>
      <c r="V1268" s="10" t="n">
        <f aca="false">IF($H1268="숙박",0,1)</f>
        <v>1</v>
      </c>
    </row>
    <row r="1269" customFormat="false" ht="15" hidden="false" customHeight="false" outlineLevel="0" collapsed="false">
      <c r="A1269" s="8" t="n">
        <v>1268</v>
      </c>
      <c r="B1269" s="8" t="s">
        <v>45</v>
      </c>
      <c r="C1269" s="8" t="s">
        <v>317</v>
      </c>
      <c r="D1269" s="8" t="s">
        <v>3827</v>
      </c>
      <c r="E1269" s="7" t="s">
        <v>3828</v>
      </c>
      <c r="F1269" s="8"/>
      <c r="G1269" s="8" t="s">
        <v>190</v>
      </c>
      <c r="H1269" s="9" t="s">
        <v>190</v>
      </c>
      <c r="I1269" s="9"/>
      <c r="J1269" s="9"/>
      <c r="K1269" s="9" t="s">
        <v>191</v>
      </c>
      <c r="L1269" s="8"/>
      <c r="M1269" s="8"/>
      <c r="N1269" s="8"/>
      <c r="O1269" s="8" t="s">
        <v>3829</v>
      </c>
      <c r="P1269" s="10" t="n">
        <f aca="false">IF($H1269="숙박",0,IF($H1269=MID(P$1,3,20),IF($I1269="",1,0.6),IF($I1269=MID(P$1,3,20),0.4,0)))</f>
        <v>1</v>
      </c>
      <c r="Q1269" s="10" t="n">
        <f aca="false">IF($H1269="숙박",0,IF($H1269=MID(Q$1,3,20),IF($I1269="",1,0.6),IF($I1269=MID(Q$1,3,20),0.4,0)))</f>
        <v>0</v>
      </c>
      <c r="R1269" s="10" t="n">
        <f aca="false">IF($H1269="숙박",0,IF($H1269=MID(R$1,3,20),IF($I1269="",1,0.6),IF($I1269=MID(R$1,3,20),0.4,0)))</f>
        <v>0</v>
      </c>
      <c r="S1269" s="10" t="n">
        <f aca="false">IF($H1269="숙박",0,IF($H1269=MID(S$1,3,20),IF($I1269="",1,0.6),IF($I1269=MID(S$1,3,20),0.4,0)))</f>
        <v>0</v>
      </c>
      <c r="T1269" s="10" t="n">
        <f aca="false">IF($H1269="숙박",0,IF($H1269=MID(T$1,3,20),IF($I1269="",1,0.6),IF($I1269=MID(T$1,3,20),0.4,0)))</f>
        <v>0</v>
      </c>
      <c r="U1269" s="10" t="n">
        <f aca="false">IF($H1269="숙박",0,IF(ISNUMBER(SEARCH("야경",$J1269)),1,0))</f>
        <v>0</v>
      </c>
      <c r="V1269" s="10" t="n">
        <f aca="false">IF($H1269="숙박",0,1)</f>
        <v>1</v>
      </c>
    </row>
    <row r="1270" customFormat="false" ht="15" hidden="false" customHeight="false" outlineLevel="0" collapsed="false">
      <c r="A1270" s="8" t="n">
        <v>1269</v>
      </c>
      <c r="B1270" s="8" t="s">
        <v>45</v>
      </c>
      <c r="C1270" s="8" t="s">
        <v>2084</v>
      </c>
      <c r="D1270" s="8" t="s">
        <v>3830</v>
      </c>
      <c r="E1270" s="7" t="s">
        <v>3831</v>
      </c>
      <c r="F1270" s="8"/>
      <c r="G1270" s="8" t="s">
        <v>49</v>
      </c>
      <c r="H1270" s="9" t="s">
        <v>49</v>
      </c>
      <c r="I1270" s="9"/>
      <c r="J1270" s="9"/>
      <c r="K1270" s="9" t="s">
        <v>52</v>
      </c>
      <c r="L1270" s="8"/>
      <c r="M1270" s="8"/>
      <c r="N1270" s="8"/>
      <c r="O1270" s="8" t="s">
        <v>3832</v>
      </c>
      <c r="P1270" s="10" t="n">
        <f aca="false">IF($H1270="숙박",0,IF($H1270=MID(P$1,3,20),IF($I1270="",1,0.6),IF($I1270=MID(P$1,3,20),0.4,0)))</f>
        <v>0</v>
      </c>
      <c r="Q1270" s="10" t="n">
        <f aca="false">IF($H1270="숙박",0,IF($H1270=MID(Q$1,3,20),IF($I1270="",1,0.6),IF($I1270=MID(Q$1,3,20),0.4,0)))</f>
        <v>1</v>
      </c>
      <c r="R1270" s="10" t="n">
        <f aca="false">IF($H1270="숙박",0,IF($H1270=MID(R$1,3,20),IF($I1270="",1,0.6),IF($I1270=MID(R$1,3,20),0.4,0)))</f>
        <v>0</v>
      </c>
      <c r="S1270" s="10" t="n">
        <f aca="false">IF($H1270="숙박",0,IF($H1270=MID(S$1,3,20),IF($I1270="",1,0.6),IF($I1270=MID(S$1,3,20),0.4,0)))</f>
        <v>0</v>
      </c>
      <c r="T1270" s="10" t="n">
        <f aca="false">IF($H1270="숙박",0,IF($H1270=MID(T$1,3,20),IF($I1270="",1,0.6),IF($I1270=MID(T$1,3,20),0.4,0)))</f>
        <v>0</v>
      </c>
      <c r="U1270" s="10" t="n">
        <f aca="false">IF($H1270="숙박",0,IF(ISNUMBER(SEARCH("야경",$J1270)),1,0))</f>
        <v>0</v>
      </c>
      <c r="V1270" s="10" t="n">
        <f aca="false">IF($H1270="숙박",0,1)</f>
        <v>1</v>
      </c>
    </row>
  </sheetData>
  <autoFilter ref="A1:V1270"/>
  <dataValidations count="2">
    <dataValidation allowBlank="true" errorStyle="stop" operator="between" showDropDown="false" showErrorMessage="false" showInputMessage="false" sqref="H2:I1270" type="list">
      <formula1>"역사·문화,힐링·생태,테마파크·액티비티,로컬·먹거리,해양·자연,숙박"</formula1>
      <formula2>0</formula2>
    </dataValidation>
    <dataValidation allowBlank="true" errorStyle="stop" operator="between" showDropDown="false" showErrorMessage="false" showInputMessage="false" sqref="K2:K1270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13" min="3" style="0" width="11"/>
  </cols>
  <sheetData>
    <row r="1" customFormat="false" ht="19.4" hidden="false" customHeight="false" outlineLevel="0" collapsed="false">
      <c r="A1" s="11" t="s">
        <v>3833</v>
      </c>
    </row>
    <row r="3" customFormat="false" ht="44" hidden="false" customHeight="false" outlineLevel="0" collapsed="false">
      <c r="A3" s="6" t="s">
        <v>3834</v>
      </c>
      <c r="B3" s="6" t="s">
        <v>3835</v>
      </c>
      <c r="C3" s="6" t="s">
        <v>3836</v>
      </c>
      <c r="D3" s="6" t="s">
        <v>3837</v>
      </c>
      <c r="E3" s="6" t="s">
        <v>3838</v>
      </c>
      <c r="F3" s="6" t="s">
        <v>3839</v>
      </c>
      <c r="G3" s="6" t="s">
        <v>3840</v>
      </c>
      <c r="H3" s="6" t="s">
        <v>3841</v>
      </c>
      <c r="I3" s="6" t="s">
        <v>3842</v>
      </c>
      <c r="J3" s="6" t="s">
        <v>3843</v>
      </c>
      <c r="K3" s="6" t="s">
        <v>3844</v>
      </c>
      <c r="L3" s="6" t="s">
        <v>3845</v>
      </c>
      <c r="M3" s="6" t="s">
        <v>3846</v>
      </c>
    </row>
    <row r="4" customFormat="false" ht="15" hidden="false" customHeight="false" outlineLevel="0" collapsed="false">
      <c r="A4" s="12" t="s">
        <v>567</v>
      </c>
      <c r="B4" s="4" t="n">
        <f aca="false">SUMIFS('장소 분류'!$V:$V,'장소 분류'!$F:$F,"*"&amp;$A4&amp;"*")</f>
        <v>18</v>
      </c>
      <c r="C4" s="13" t="n">
        <f aca="false">SUMIFS('장소 분류'!P:P,'장소 분류'!$F:$F,"*"&amp;$A4&amp;"*")/$B4</f>
        <v>0.4</v>
      </c>
      <c r="D4" s="13" t="n">
        <f aca="false">SUMIFS('장소 분류'!Q:Q,'장소 분류'!$F:$F,"*"&amp;$A4&amp;"*")/$B4</f>
        <v>0.311111111111111</v>
      </c>
      <c r="E4" s="13" t="n">
        <f aca="false">SUMIFS('장소 분류'!R:R,'장소 분류'!$F:$F,"*"&amp;$A4&amp;"*")/$B4</f>
        <v>0.233333333333333</v>
      </c>
      <c r="F4" s="13" t="n">
        <f aca="false">SUMIFS('장소 분류'!S:S,'장소 분류'!$F:$F,"*"&amp;$A4&amp;"*")/$B4</f>
        <v>0.0555555555555556</v>
      </c>
      <c r="G4" s="13" t="n">
        <f aca="false">SUMIFS('장소 분류'!T:T,'장소 분류'!$F:$F,"*"&amp;$A4&amp;"*")/$B4</f>
        <v>0</v>
      </c>
      <c r="H4" s="13" t="n">
        <f aca="false">SUMIFS('장소 분류'!U:U,'장소 분류'!$F:$F,"*"&amp;$A4&amp;"*")/$B4</f>
        <v>0.0555555555555556</v>
      </c>
      <c r="I4" s="14" t="n">
        <v>0.3333</v>
      </c>
      <c r="J4" s="14" t="n">
        <v>0.3333</v>
      </c>
      <c r="K4" s="14" t="n">
        <v>0.2778</v>
      </c>
      <c r="L4" s="14" t="n">
        <v>0.0556</v>
      </c>
      <c r="M4" s="14" t="n">
        <v>0</v>
      </c>
    </row>
    <row r="5" customFormat="false" ht="15" hidden="false" customHeight="false" outlineLevel="0" collapsed="false">
      <c r="A5" s="12" t="s">
        <v>199</v>
      </c>
      <c r="B5" s="4" t="n">
        <f aca="false">SUMIFS('장소 분류'!$V:$V,'장소 분류'!$F:$F,"*"&amp;$A5&amp;"*")</f>
        <v>86</v>
      </c>
      <c r="C5" s="13" t="n">
        <f aca="false">SUMIFS('장소 분류'!P:P,'장소 분류'!$F:$F,"*"&amp;$A5&amp;"*")/$B5</f>
        <v>0.293023255813954</v>
      </c>
      <c r="D5" s="13" t="n">
        <f aca="false">SUMIFS('장소 분류'!Q:Q,'장소 분류'!$F:$F,"*"&amp;$A5&amp;"*")/$B5</f>
        <v>0.227906976744186</v>
      </c>
      <c r="E5" s="13" t="n">
        <f aca="false">SUMIFS('장소 분류'!R:R,'장소 분류'!$F:$F,"*"&amp;$A5&amp;"*")/$B5</f>
        <v>0.216279069767442</v>
      </c>
      <c r="F5" s="13" t="n">
        <f aca="false">SUMIFS('장소 분류'!S:S,'장소 분류'!$F:$F,"*"&amp;$A5&amp;"*")/$B5</f>
        <v>0.253488372093023</v>
      </c>
      <c r="G5" s="13" t="n">
        <f aca="false">SUMIFS('장소 분류'!T:T,'장소 분류'!$F:$F,"*"&amp;$A5&amp;"*")/$B5</f>
        <v>0.00930232558139535</v>
      </c>
      <c r="H5" s="13" t="n">
        <f aca="false">SUMIFS('장소 분류'!U:U,'장소 분류'!$F:$F,"*"&amp;$A5&amp;"*")/$B5</f>
        <v>0.127906976744186</v>
      </c>
      <c r="I5" s="14" t="n">
        <v>0.3023</v>
      </c>
      <c r="J5" s="14" t="n">
        <v>0.2093</v>
      </c>
      <c r="K5" s="14" t="n">
        <v>0.2209</v>
      </c>
      <c r="L5" s="14" t="n">
        <v>0.2674</v>
      </c>
      <c r="M5" s="14" t="n">
        <v>0</v>
      </c>
    </row>
    <row r="6" customFormat="false" ht="15" hidden="false" customHeight="false" outlineLevel="0" collapsed="false">
      <c r="A6" s="15" t="s">
        <v>189</v>
      </c>
      <c r="B6" s="4" t="n">
        <f aca="false">SUMIFS('장소 분류'!$V:$V,'장소 분류'!$F:$F,"*"&amp;$A6&amp;"*")</f>
        <v>86</v>
      </c>
      <c r="C6" s="13" t="n">
        <f aca="false">SUMIFS('장소 분류'!P:P,'장소 분류'!$F:$F,"*"&amp;$A6&amp;"*")/$B6</f>
        <v>0.327906976744186</v>
      </c>
      <c r="D6" s="13" t="n">
        <f aca="false">SUMIFS('장소 분류'!Q:Q,'장소 분류'!$F:$F,"*"&amp;$A6&amp;"*")/$B6</f>
        <v>0.165116279069767</v>
      </c>
      <c r="E6" s="13" t="n">
        <f aca="false">SUMIFS('장소 분류'!R:R,'장소 분류'!$F:$F,"*"&amp;$A6&amp;"*")/$B6</f>
        <v>0.130232558139535</v>
      </c>
      <c r="F6" s="13" t="n">
        <f aca="false">SUMIFS('장소 분류'!S:S,'장소 분류'!$F:$F,"*"&amp;$A6&amp;"*")/$B6</f>
        <v>0.193023255813954</v>
      </c>
      <c r="G6" s="13" t="n">
        <f aca="false">SUMIFS('장소 분류'!T:T,'장소 분류'!$F:$F,"*"&amp;$A6&amp;"*")/$B6</f>
        <v>0.183720930232558</v>
      </c>
      <c r="H6" s="13" t="n">
        <f aca="false">SUMIFS('장소 분류'!U:U,'장소 분류'!$F:$F,"*"&amp;$A6&amp;"*")/$B6</f>
        <v>0.0581395348837209</v>
      </c>
      <c r="I6" s="14" t="n">
        <v>0.2907</v>
      </c>
      <c r="J6" s="14" t="n">
        <v>0.1744</v>
      </c>
      <c r="K6" s="14" t="n">
        <v>0.1395</v>
      </c>
      <c r="L6" s="14" t="n">
        <v>0.1977</v>
      </c>
      <c r="M6" s="14" t="n">
        <v>0.1977</v>
      </c>
    </row>
    <row r="7" customFormat="false" ht="15" hidden="false" customHeight="false" outlineLevel="0" collapsed="false">
      <c r="A7" s="12" t="s">
        <v>3847</v>
      </c>
      <c r="B7" s="4" t="n">
        <f aca="false">SUMIFS('장소 분류'!$V:$V,'장소 분류'!$F:$F,"*"&amp;$A7&amp;"*")</f>
        <v>81</v>
      </c>
      <c r="C7" s="13" t="n">
        <f aca="false">SUMIFS('장소 분류'!P:P,'장소 분류'!$F:$F,"*"&amp;$A7&amp;"*")/$B7</f>
        <v>0.165432098765432</v>
      </c>
      <c r="D7" s="13" t="n">
        <f aca="false">SUMIFS('장소 분류'!Q:Q,'장소 분류'!$F:$F,"*"&amp;$A7&amp;"*")/$B7</f>
        <v>0.437037037037037</v>
      </c>
      <c r="E7" s="13" t="n">
        <f aca="false">SUMIFS('장소 분류'!R:R,'장소 분류'!$F:$F,"*"&amp;$A7&amp;"*")/$B7</f>
        <v>0.0839506172839506</v>
      </c>
      <c r="F7" s="13" t="n">
        <f aca="false">SUMIFS('장소 분류'!S:S,'장소 분류'!$F:$F,"*"&amp;$A7&amp;"*")/$B7</f>
        <v>0.0518518518518519</v>
      </c>
      <c r="G7" s="13" t="n">
        <f aca="false">SUMIFS('장소 분류'!T:T,'장소 분류'!$F:$F,"*"&amp;$A7&amp;"*")/$B7</f>
        <v>0.261728395061728</v>
      </c>
      <c r="H7" s="13" t="n">
        <f aca="false">SUMIFS('장소 분류'!U:U,'장소 분류'!$F:$F,"*"&amp;$A7&amp;"*")/$B7</f>
        <v>0.037037037037037</v>
      </c>
      <c r="I7" s="14" t="n">
        <v>0.1852</v>
      </c>
      <c r="J7" s="14" t="n">
        <v>0.6296</v>
      </c>
      <c r="K7" s="14" t="n">
        <v>0.1235</v>
      </c>
      <c r="L7" s="14" t="n">
        <v>0.0617</v>
      </c>
      <c r="M7" s="14" t="n">
        <v>0</v>
      </c>
    </row>
    <row r="8" customFormat="false" ht="15" hidden="false" customHeight="false" outlineLevel="0" collapsed="false">
      <c r="A8" s="12" t="s">
        <v>59</v>
      </c>
      <c r="B8" s="4" t="n">
        <f aca="false">SUMIFS('장소 분류'!$V:$V,'장소 분류'!$F:$F,"*"&amp;$A8&amp;"*")</f>
        <v>71</v>
      </c>
      <c r="C8" s="13" t="n">
        <f aca="false">SUMIFS('장소 분류'!P:P,'장소 분류'!$F:$F,"*"&amp;$A8&amp;"*")/$B8</f>
        <v>0.140845070422535</v>
      </c>
      <c r="D8" s="13" t="n">
        <f aca="false">SUMIFS('장소 분류'!Q:Q,'장소 분류'!$F:$F,"*"&amp;$A8&amp;"*")/$B8</f>
        <v>0.245070422535211</v>
      </c>
      <c r="E8" s="13" t="n">
        <f aca="false">SUMIFS('장소 분류'!R:R,'장소 분류'!$F:$F,"*"&amp;$A8&amp;"*")/$B8</f>
        <v>0.152112676056338</v>
      </c>
      <c r="F8" s="13" t="n">
        <f aca="false">SUMIFS('장소 분류'!S:S,'장소 분류'!$F:$F,"*"&amp;$A8&amp;"*")/$B8</f>
        <v>0.264788732394366</v>
      </c>
      <c r="G8" s="13" t="n">
        <f aca="false">SUMIFS('장소 분류'!T:T,'장소 분류'!$F:$F,"*"&amp;$A8&amp;"*")/$B8</f>
        <v>0.197183098591549</v>
      </c>
      <c r="H8" s="13" t="n">
        <f aca="false">SUMIFS('장소 분류'!U:U,'장소 분류'!$F:$F,"*"&amp;$A8&amp;"*")/$B8</f>
        <v>0.140845070422535</v>
      </c>
      <c r="I8" s="14" t="n">
        <v>0.1408</v>
      </c>
      <c r="J8" s="14" t="n">
        <v>0.4085</v>
      </c>
      <c r="K8" s="14" t="n">
        <v>0.169</v>
      </c>
      <c r="L8" s="14" t="n">
        <v>0.2817</v>
      </c>
      <c r="M8" s="14" t="n">
        <v>0</v>
      </c>
    </row>
    <row r="10" customFormat="false" ht="15" hidden="false" customHeight="false" outlineLevel="0" collapsed="false">
      <c r="A10" s="16" t="s">
        <v>3848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19.4" hidden="false" customHeight="false" outlineLevel="0" collapsed="false">
      <c r="A1" s="11" t="s">
        <v>3849</v>
      </c>
    </row>
    <row r="2" customFormat="false" ht="15" hidden="false" customHeight="false" outlineLevel="0" collapsed="false">
      <c r="A2" s="16" t="s">
        <v>3850</v>
      </c>
    </row>
    <row r="4" customFormat="false" ht="29.85" hidden="false" customHeight="false" outlineLevel="0" collapsed="false">
      <c r="A4" s="6" t="s">
        <v>3851</v>
      </c>
      <c r="B4" s="6" t="s">
        <v>3852</v>
      </c>
      <c r="C4" s="6" t="s">
        <v>3853</v>
      </c>
      <c r="D4" s="6" t="s">
        <v>3854</v>
      </c>
      <c r="E4" s="6" t="s">
        <v>3855</v>
      </c>
      <c r="F4" s="6" t="s">
        <v>3856</v>
      </c>
    </row>
    <row r="5" customFormat="false" ht="15" hidden="false" customHeight="false" outlineLevel="0" collapsed="false">
      <c r="A5" s="15" t="s">
        <v>3857</v>
      </c>
      <c r="B5" s="9" t="n">
        <v>0.1</v>
      </c>
      <c r="C5" s="9" t="n">
        <v>0.1</v>
      </c>
      <c r="D5" s="9" t="n">
        <v>0.3</v>
      </c>
      <c r="E5" s="9" t="n">
        <v>0.3</v>
      </c>
      <c r="F5" s="9" t="n">
        <v>0.2</v>
      </c>
    </row>
    <row r="6" customFormat="false" ht="15" hidden="false" customHeight="false" outlineLevel="0" collapsed="false">
      <c r="A6" s="15" t="s">
        <v>3858</v>
      </c>
      <c r="B6" s="9" t="n">
        <v>0.1</v>
      </c>
      <c r="C6" s="9" t="n">
        <v>0.2</v>
      </c>
      <c r="D6" s="9" t="n">
        <v>0.1</v>
      </c>
      <c r="E6" s="9" t="n">
        <v>0.3</v>
      </c>
      <c r="F6" s="9" t="n">
        <v>0.3</v>
      </c>
    </row>
    <row r="7" customFormat="false" ht="15" hidden="false" customHeight="false" outlineLevel="0" collapsed="false">
      <c r="A7" s="15" t="s">
        <v>3859</v>
      </c>
      <c r="B7" s="9" t="n">
        <v>0.1</v>
      </c>
      <c r="C7" s="9" t="n">
        <v>0.1</v>
      </c>
      <c r="D7" s="9" t="n">
        <v>0.5</v>
      </c>
      <c r="E7" s="9" t="n">
        <v>0.1</v>
      </c>
      <c r="F7" s="9" t="n">
        <v>0.2</v>
      </c>
    </row>
    <row r="8" customFormat="false" ht="15" hidden="false" customHeight="false" outlineLevel="0" collapsed="false">
      <c r="A8" s="15" t="s">
        <v>3860</v>
      </c>
      <c r="B8" s="9" t="n">
        <v>0.5</v>
      </c>
      <c r="C8" s="9" t="n">
        <v>0.3</v>
      </c>
      <c r="D8" s="9" t="n">
        <v>0.05</v>
      </c>
      <c r="E8" s="9" t="n">
        <v>0.15</v>
      </c>
      <c r="F8" s="9" t="n">
        <v>0</v>
      </c>
    </row>
    <row r="9" customFormat="false" ht="15" hidden="false" customHeight="false" outlineLevel="0" collapsed="false">
      <c r="A9" s="15" t="s">
        <v>3861</v>
      </c>
      <c r="B9" s="9" t="n">
        <v>0.1</v>
      </c>
      <c r="C9" s="9" t="n">
        <v>0.6</v>
      </c>
      <c r="D9" s="9" t="n">
        <v>0</v>
      </c>
      <c r="E9" s="9" t="n">
        <v>0.1</v>
      </c>
      <c r="F9" s="9" t="n">
        <v>0.2</v>
      </c>
    </row>
    <row r="10" customFormat="false" ht="15" hidden="false" customHeight="false" outlineLevel="0" collapsed="false">
      <c r="A10" s="15" t="s">
        <v>3862</v>
      </c>
      <c r="B10" s="9" t="n">
        <v>0.2</v>
      </c>
      <c r="C10" s="9" t="n">
        <v>0.05</v>
      </c>
      <c r="D10" s="9" t="n">
        <v>0.05</v>
      </c>
      <c r="E10" s="9" t="n">
        <v>0.7</v>
      </c>
      <c r="F10" s="9" t="n">
        <v>0</v>
      </c>
    </row>
    <row r="11" customFormat="false" ht="15" hidden="false" customHeight="false" outlineLevel="0" collapsed="false">
      <c r="A11" s="15" t="s">
        <v>3863</v>
      </c>
      <c r="B11" s="9" t="n">
        <v>0.3</v>
      </c>
      <c r="C11" s="9" t="n">
        <v>0.05</v>
      </c>
      <c r="D11" s="9" t="n">
        <v>0.2</v>
      </c>
      <c r="E11" s="9" t="n">
        <v>0.3</v>
      </c>
      <c r="F11" s="9" t="n">
        <v>0.15</v>
      </c>
    </row>
    <row r="12" customFormat="false" ht="15" hidden="false" customHeight="false" outlineLevel="0" collapsed="false">
      <c r="A12" s="15" t="s">
        <v>3864</v>
      </c>
      <c r="B12" s="9" t="n">
        <v>0.1</v>
      </c>
      <c r="C12" s="9" t="n">
        <v>0.3</v>
      </c>
      <c r="D12" s="9" t="n">
        <v>0</v>
      </c>
      <c r="E12" s="9" t="n">
        <v>0.4</v>
      </c>
      <c r="F12" s="9" t="n">
        <v>0.2</v>
      </c>
    </row>
    <row r="15" customFormat="false" ht="29.85" hidden="false" customHeight="false" outlineLevel="0" collapsed="false">
      <c r="A15" s="6" t="s">
        <v>3851</v>
      </c>
      <c r="B15" s="6" t="s">
        <v>567</v>
      </c>
      <c r="C15" s="6" t="s">
        <v>199</v>
      </c>
      <c r="D15" s="5" t="s">
        <v>189</v>
      </c>
      <c r="E15" s="6" t="s">
        <v>3865</v>
      </c>
      <c r="F15" s="6" t="s">
        <v>59</v>
      </c>
    </row>
    <row r="16" customFormat="false" ht="15" hidden="false" customHeight="false" outlineLevel="0" collapsed="false">
      <c r="A16" s="15" t="s">
        <v>3857</v>
      </c>
      <c r="B16" s="17" t="n">
        <f aca="false">SUMPRODUCT(B5:F5,'테마 프로필'!C4:G4)</f>
        <v>0.157777777777778</v>
      </c>
      <c r="C16" s="17" t="n">
        <f aca="false">SUMPRODUCT(B5:F5,'테마 프로필'!C5:G5)</f>
        <v>0.194883720930233</v>
      </c>
      <c r="D16" s="17" t="n">
        <f aca="false">SUMPRODUCT(B5:F5,'테마 프로필'!C6:G6)</f>
        <v>0.183023255813953</v>
      </c>
      <c r="E16" s="17" t="n">
        <f aca="false">SUMPRODUCT(B5:F5,'테마 프로필'!C7:G7)</f>
        <v>0.153333333333333</v>
      </c>
      <c r="F16" s="17" t="n">
        <f aca="false">SUMPRODUCT(B5:F5,'테마 프로필'!C8:G8)</f>
        <v>0.203098591549296</v>
      </c>
    </row>
    <row r="17" customFormat="false" ht="15" hidden="false" customHeight="false" outlineLevel="0" collapsed="false">
      <c r="A17" s="15" t="s">
        <v>3858</v>
      </c>
      <c r="B17" s="17" t="n">
        <f aca="false">SUMPRODUCT(B6:F6,'테마 프로필'!C4:G4)</f>
        <v>0.142222222222222</v>
      </c>
      <c r="C17" s="17" t="n">
        <f aca="false">SUMPRODUCT(B6:F6,'테마 프로필'!C5:G5)</f>
        <v>0.175348837209302</v>
      </c>
      <c r="D17" s="17" t="n">
        <f aca="false">SUMPRODUCT(B6:F6,'테마 프로필'!C6:G6)</f>
        <v>0.191860465116279</v>
      </c>
      <c r="E17" s="17" t="n">
        <f aca="false">SUMPRODUCT(B6:F6,'테마 프로필'!C7:G7)</f>
        <v>0.20641975308642</v>
      </c>
      <c r="F17" s="17" t="n">
        <f aca="false">SUMPRODUCT(B6:F6,'테마 프로필'!C8:G8)</f>
        <v>0.216901408450704</v>
      </c>
    </row>
    <row r="18" customFormat="false" ht="15" hidden="false" customHeight="false" outlineLevel="0" collapsed="false">
      <c r="A18" s="15" t="s">
        <v>3859</v>
      </c>
      <c r="B18" s="17" t="n">
        <f aca="false">SUMPRODUCT(B7:F7,'테마 프로필'!C4:G4)</f>
        <v>0.193333333333333</v>
      </c>
      <c r="C18" s="17" t="n">
        <f aca="false">SUMPRODUCT(B7:F7,'테마 프로필'!C5:G5)</f>
        <v>0.187441860465116</v>
      </c>
      <c r="D18" s="17" t="n">
        <f aca="false">SUMPRODUCT(B7:F7,'테마 프로필'!C6:G6)</f>
        <v>0.17046511627907</v>
      </c>
      <c r="E18" s="17" t="n">
        <f aca="false">SUMPRODUCT(B7:F7,'테마 프로필'!C7:G7)</f>
        <v>0.159753086419753</v>
      </c>
      <c r="F18" s="17" t="n">
        <f aca="false">SUMPRODUCT(B7:F7,'테마 프로필'!C8:G8)</f>
        <v>0.18056338028169</v>
      </c>
    </row>
    <row r="19" customFormat="false" ht="15" hidden="false" customHeight="false" outlineLevel="0" collapsed="false">
      <c r="A19" s="15" t="s">
        <v>3860</v>
      </c>
      <c r="B19" s="17" t="n">
        <f aca="false">SUMPRODUCT(B8:F8,'테마 프로필'!C4:G4)</f>
        <v>0.313333333333333</v>
      </c>
      <c r="C19" s="17" t="n">
        <f aca="false">SUMPRODUCT(B8:F8,'테마 프로필'!C5:G5)</f>
        <v>0.263720930232558</v>
      </c>
      <c r="D19" s="17" t="n">
        <f aca="false">SUMPRODUCT(B8:F8,'테마 프로필'!C6:G6)</f>
        <v>0.248953488372093</v>
      </c>
      <c r="E19" s="17" t="n">
        <f aca="false">SUMPRODUCT(B8:F8,'테마 프로필'!C7:G7)</f>
        <v>0.225802469135802</v>
      </c>
      <c r="F19" s="17" t="n">
        <f aca="false">SUMPRODUCT(B8:F8,'테마 프로필'!C8:G8)</f>
        <v>0.191267605633803</v>
      </c>
    </row>
    <row r="20" customFormat="false" ht="15" hidden="false" customHeight="false" outlineLevel="0" collapsed="false">
      <c r="A20" s="15" t="s">
        <v>3861</v>
      </c>
      <c r="B20" s="17" t="n">
        <f aca="false">SUMPRODUCT(B9:F9,'테마 프로필'!C4:G4)</f>
        <v>0.232222222222222</v>
      </c>
      <c r="C20" s="17" t="n">
        <f aca="false">SUMPRODUCT(B9:F9,'테마 프로필'!C5:G5)</f>
        <v>0.193255813953488</v>
      </c>
      <c r="D20" s="17" t="n">
        <f aca="false">SUMPRODUCT(B9:F9,'테마 프로필'!C6:G6)</f>
        <v>0.187906976744186</v>
      </c>
      <c r="E20" s="17" t="n">
        <f aca="false">SUMPRODUCT(B9:F9,'테마 프로필'!C7:G7)</f>
        <v>0.336296296296296</v>
      </c>
      <c r="F20" s="17" t="n">
        <f aca="false">SUMPRODUCT(B9:F9,'테마 프로필'!C8:G8)</f>
        <v>0.227042253521127</v>
      </c>
    </row>
    <row r="21" customFormat="false" ht="15" hidden="false" customHeight="false" outlineLevel="0" collapsed="false">
      <c r="A21" s="15" t="s">
        <v>3862</v>
      </c>
      <c r="B21" s="17" t="n">
        <f aca="false">SUMPRODUCT(B10:F10,'테마 프로필'!C4:G4)</f>
        <v>0.146111111111111</v>
      </c>
      <c r="C21" s="17" t="n">
        <f aca="false">SUMPRODUCT(B10:F10,'테마 프로필'!C5:G5)</f>
        <v>0.258255813953488</v>
      </c>
      <c r="D21" s="17" t="n">
        <f aca="false">SUMPRODUCT(B10:F10,'테마 프로필'!C6:G6)</f>
        <v>0.21546511627907</v>
      </c>
      <c r="E21" s="17" t="n">
        <f aca="false">SUMPRODUCT(B10:F10,'테마 프로필'!C7:G7)</f>
        <v>0.0954320987654321</v>
      </c>
      <c r="F21" s="17" t="n">
        <f aca="false">SUMPRODUCT(B10:F10,'테마 프로필'!C8:G8)</f>
        <v>0.233380281690141</v>
      </c>
    </row>
    <row r="22" customFormat="false" ht="15" hidden="false" customHeight="false" outlineLevel="0" collapsed="false">
      <c r="A22" s="15" t="s">
        <v>3863</v>
      </c>
      <c r="B22" s="17" t="n">
        <f aca="false">SUMPRODUCT(B11:F11,'테마 프로필'!C4:G4)</f>
        <v>0.198888888888889</v>
      </c>
      <c r="C22" s="17" t="n">
        <f aca="false">SUMPRODUCT(B11:F11,'테마 프로필'!C5:G5)</f>
        <v>0.22</v>
      </c>
      <c r="D22" s="17" t="n">
        <f aca="false">SUMPRODUCT(B11:F11,'테마 프로필'!C6:G6)</f>
        <v>0.218139534883721</v>
      </c>
      <c r="E22" s="17" t="n">
        <f aca="false">SUMPRODUCT(B11:F11,'테마 프로필'!C7:G7)</f>
        <v>0.143086419753086</v>
      </c>
      <c r="F22" s="17" t="n">
        <f aca="false">SUMPRODUCT(B11:F11,'테마 프로필'!C8:G8)</f>
        <v>0.193943661971831</v>
      </c>
    </row>
    <row r="23" customFormat="false" ht="15" hidden="false" customHeight="false" outlineLevel="0" collapsed="false">
      <c r="A23" s="15" t="s">
        <v>3864</v>
      </c>
      <c r="B23" s="17" t="n">
        <f aca="false">SUMPRODUCT(B12:F12,'테마 프로필'!C4:G4)</f>
        <v>0.155555555555556</v>
      </c>
      <c r="C23" s="17" t="n">
        <f aca="false">SUMPRODUCT(B12:F12,'테마 프로필'!C5:G5)</f>
        <v>0.20093023255814</v>
      </c>
      <c r="D23" s="17" t="n">
        <f aca="false">SUMPRODUCT(B12:F12,'테마 프로필'!C6:G6)</f>
        <v>0.196279069767442</v>
      </c>
      <c r="E23" s="17" t="n">
        <f aca="false">SUMPRODUCT(B12:F12,'테마 프로필'!C7:G7)</f>
        <v>0.220740740740741</v>
      </c>
      <c r="F23" s="17" t="n">
        <f aca="false">SUMPRODUCT(B12:F12,'테마 프로필'!C8:G8)</f>
        <v>0.232957746478873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10"/>
  </cols>
  <sheetData>
    <row r="1" customFormat="false" ht="19.4" hidden="false" customHeight="false" outlineLevel="0" collapsed="false">
      <c r="A1" s="11" t="s">
        <v>3866</v>
      </c>
    </row>
    <row r="3" customFormat="false" ht="15" hidden="false" customHeight="false" outlineLevel="0" collapsed="false">
      <c r="A3" s="6" t="s">
        <v>3867</v>
      </c>
      <c r="B3" s="6" t="s">
        <v>3868</v>
      </c>
      <c r="C3" s="6" t="s">
        <v>3869</v>
      </c>
      <c r="D3" s="6" t="s">
        <v>3870</v>
      </c>
      <c r="E3" s="6" t="s">
        <v>3871</v>
      </c>
    </row>
    <row r="4" customFormat="false" ht="15" hidden="false" customHeight="false" outlineLevel="0" collapsed="false">
      <c r="A4" s="4" t="s">
        <v>3872</v>
      </c>
      <c r="B4" s="4" t="s">
        <v>2527</v>
      </c>
      <c r="C4" s="4" t="s">
        <v>50</v>
      </c>
      <c r="D4" s="4" t="s">
        <v>49</v>
      </c>
      <c r="E4" s="4"/>
    </row>
    <row r="5" customFormat="false" ht="15" hidden="false" customHeight="false" outlineLevel="0" collapsed="false">
      <c r="A5" s="4" t="s">
        <v>3872</v>
      </c>
      <c r="B5" s="4" t="s">
        <v>3664</v>
      </c>
      <c r="C5" s="4" t="s">
        <v>190</v>
      </c>
      <c r="D5" s="4" t="s">
        <v>50</v>
      </c>
      <c r="E5" s="4"/>
    </row>
    <row r="6" customFormat="false" ht="15" hidden="false" customHeight="false" outlineLevel="0" collapsed="false">
      <c r="A6" s="4" t="s">
        <v>3872</v>
      </c>
      <c r="B6" s="4" t="s">
        <v>3873</v>
      </c>
      <c r="C6" s="4" t="s">
        <v>49</v>
      </c>
      <c r="D6" s="4" t="s">
        <v>190</v>
      </c>
      <c r="E6" s="4" t="s">
        <v>43</v>
      </c>
    </row>
    <row r="7" customFormat="false" ht="15" hidden="false" customHeight="false" outlineLevel="0" collapsed="false">
      <c r="A7" s="4" t="s">
        <v>3872</v>
      </c>
      <c r="B7" s="4" t="s">
        <v>3874</v>
      </c>
      <c r="C7" s="4" t="s">
        <v>184</v>
      </c>
      <c r="D7" s="4" t="s">
        <v>50</v>
      </c>
      <c r="E7" s="4"/>
    </row>
    <row r="8" customFormat="false" ht="15" hidden="false" customHeight="false" outlineLevel="0" collapsed="false">
      <c r="A8" s="4" t="s">
        <v>3872</v>
      </c>
      <c r="B8" s="4" t="s">
        <v>3875</v>
      </c>
      <c r="C8" s="4" t="s">
        <v>49</v>
      </c>
      <c r="D8" s="4" t="s">
        <v>50</v>
      </c>
      <c r="E8" s="4"/>
    </row>
    <row r="9" customFormat="false" ht="15" hidden="false" customHeight="false" outlineLevel="0" collapsed="false">
      <c r="A9" s="4" t="s">
        <v>3872</v>
      </c>
      <c r="B9" s="4" t="s">
        <v>332</v>
      </c>
      <c r="C9" s="4" t="s">
        <v>190</v>
      </c>
      <c r="D9" s="4" t="s">
        <v>49</v>
      </c>
      <c r="E9" s="4"/>
    </row>
    <row r="10" customFormat="false" ht="15" hidden="false" customHeight="false" outlineLevel="0" collapsed="false">
      <c r="A10" s="4" t="s">
        <v>3872</v>
      </c>
      <c r="B10" s="4" t="s">
        <v>2404</v>
      </c>
      <c r="C10" s="4" t="s">
        <v>50</v>
      </c>
      <c r="D10" s="4" t="s">
        <v>49</v>
      </c>
      <c r="E10" s="4"/>
    </row>
    <row r="11" customFormat="false" ht="15" hidden="false" customHeight="false" outlineLevel="0" collapsed="false">
      <c r="A11" s="4" t="s">
        <v>3872</v>
      </c>
      <c r="B11" s="4" t="s">
        <v>3876</v>
      </c>
      <c r="C11" s="4" t="s">
        <v>216</v>
      </c>
      <c r="D11" s="4" t="s">
        <v>50</v>
      </c>
      <c r="E11" s="4"/>
    </row>
    <row r="12" customFormat="false" ht="15" hidden="false" customHeight="false" outlineLevel="0" collapsed="false">
      <c r="A12" s="4" t="s">
        <v>3872</v>
      </c>
      <c r="B12" s="4" t="s">
        <v>3877</v>
      </c>
      <c r="C12" s="4" t="s">
        <v>50</v>
      </c>
      <c r="D12" s="4" t="s">
        <v>216</v>
      </c>
      <c r="E12" s="4" t="s">
        <v>43</v>
      </c>
    </row>
    <row r="13" customFormat="false" ht="15" hidden="false" customHeight="false" outlineLevel="0" collapsed="false">
      <c r="A13" s="4" t="s">
        <v>3872</v>
      </c>
      <c r="B13" s="4" t="s">
        <v>415</v>
      </c>
      <c r="C13" s="4" t="s">
        <v>49</v>
      </c>
      <c r="D13" s="4" t="s">
        <v>50</v>
      </c>
      <c r="E13" s="4"/>
    </row>
    <row r="14" customFormat="false" ht="15" hidden="false" customHeight="false" outlineLevel="0" collapsed="false">
      <c r="A14" s="4" t="s">
        <v>3872</v>
      </c>
      <c r="B14" s="4" t="s">
        <v>3878</v>
      </c>
      <c r="C14" s="4" t="s">
        <v>190</v>
      </c>
      <c r="D14" s="4" t="s">
        <v>50</v>
      </c>
      <c r="E14" s="4"/>
    </row>
    <row r="15" customFormat="false" ht="15" hidden="false" customHeight="false" outlineLevel="0" collapsed="false">
      <c r="A15" s="4" t="s">
        <v>3872</v>
      </c>
      <c r="B15" s="4" t="s">
        <v>2146</v>
      </c>
      <c r="C15" s="4" t="s">
        <v>216</v>
      </c>
      <c r="D15" s="4" t="s">
        <v>50</v>
      </c>
      <c r="E15" s="4"/>
    </row>
    <row r="16" customFormat="false" ht="15" hidden="false" customHeight="false" outlineLevel="0" collapsed="false">
      <c r="A16" s="4" t="s">
        <v>3879</v>
      </c>
      <c r="B16" s="4" t="s">
        <v>2832</v>
      </c>
      <c r="C16" s="4" t="s">
        <v>184</v>
      </c>
      <c r="D16" s="4"/>
      <c r="E16" s="4" t="s">
        <v>43</v>
      </c>
    </row>
    <row r="17" customFormat="false" ht="15" hidden="false" customHeight="false" outlineLevel="0" collapsed="false">
      <c r="A17" s="4" t="s">
        <v>3879</v>
      </c>
      <c r="B17" s="4" t="s">
        <v>3653</v>
      </c>
      <c r="C17" s="4" t="s">
        <v>190</v>
      </c>
      <c r="D17" s="4" t="s">
        <v>184</v>
      </c>
      <c r="E17" s="4"/>
    </row>
    <row r="18" customFormat="false" ht="15" hidden="false" customHeight="false" outlineLevel="0" collapsed="false">
      <c r="A18" s="4" t="s">
        <v>3879</v>
      </c>
      <c r="B18" s="4" t="s">
        <v>3880</v>
      </c>
      <c r="C18" s="4" t="s">
        <v>184</v>
      </c>
      <c r="D18" s="4"/>
      <c r="E18" s="4"/>
    </row>
    <row r="19" customFormat="false" ht="15" hidden="false" customHeight="false" outlineLevel="0" collapsed="false">
      <c r="A19" s="4" t="s">
        <v>3879</v>
      </c>
      <c r="B19" s="4" t="s">
        <v>3881</v>
      </c>
      <c r="C19" s="4" t="s">
        <v>184</v>
      </c>
      <c r="D19" s="4"/>
      <c r="E19" s="4"/>
    </row>
    <row r="20" customFormat="false" ht="15" hidden="false" customHeight="false" outlineLevel="0" collapsed="false">
      <c r="A20" s="4" t="s">
        <v>3879</v>
      </c>
      <c r="B20" s="4" t="s">
        <v>3728</v>
      </c>
      <c r="C20" s="4" t="s">
        <v>49</v>
      </c>
      <c r="D20" s="4" t="s">
        <v>184</v>
      </c>
      <c r="E20" s="4"/>
    </row>
    <row r="21" customFormat="false" ht="15" hidden="false" customHeight="false" outlineLevel="0" collapsed="false">
      <c r="A21" s="4" t="s">
        <v>3879</v>
      </c>
      <c r="B21" s="4" t="s">
        <v>3882</v>
      </c>
      <c r="C21" s="4" t="s">
        <v>184</v>
      </c>
      <c r="D21" s="4" t="s">
        <v>49</v>
      </c>
      <c r="E21" s="4" t="s">
        <v>43</v>
      </c>
    </row>
    <row r="22" customFormat="false" ht="15" hidden="false" customHeight="false" outlineLevel="0" collapsed="false">
      <c r="A22" s="4" t="s">
        <v>3879</v>
      </c>
      <c r="B22" s="4" t="s">
        <v>328</v>
      </c>
      <c r="C22" s="4" t="s">
        <v>49</v>
      </c>
      <c r="D22" s="4" t="s">
        <v>184</v>
      </c>
      <c r="E22" s="4"/>
    </row>
    <row r="23" customFormat="false" ht="15" hidden="false" customHeight="false" outlineLevel="0" collapsed="false">
      <c r="A23" s="4" t="s">
        <v>3879</v>
      </c>
      <c r="B23" s="4" t="s">
        <v>3883</v>
      </c>
      <c r="C23" s="4" t="s">
        <v>184</v>
      </c>
      <c r="D23" s="4" t="s">
        <v>190</v>
      </c>
      <c r="E23" s="4"/>
    </row>
    <row r="24" customFormat="false" ht="15" hidden="false" customHeight="false" outlineLevel="0" collapsed="false">
      <c r="A24" s="4" t="s">
        <v>3879</v>
      </c>
      <c r="B24" s="4" t="s">
        <v>3884</v>
      </c>
      <c r="C24" s="4" t="s">
        <v>216</v>
      </c>
      <c r="D24" s="4"/>
      <c r="E24" s="4"/>
    </row>
    <row r="25" customFormat="false" ht="15" hidden="false" customHeight="false" outlineLevel="0" collapsed="false">
      <c r="A25" s="4" t="s">
        <v>3879</v>
      </c>
      <c r="B25" s="4" t="s">
        <v>3885</v>
      </c>
      <c r="C25" s="4" t="s">
        <v>49</v>
      </c>
      <c r="D25" s="4"/>
      <c r="E25" s="4"/>
    </row>
    <row r="26" customFormat="false" ht="15" hidden="false" customHeight="false" outlineLevel="0" collapsed="false">
      <c r="A26" s="4" t="s">
        <v>3886</v>
      </c>
      <c r="B26" s="4" t="s">
        <v>2421</v>
      </c>
      <c r="C26" s="4" t="s">
        <v>216</v>
      </c>
      <c r="D26" s="4"/>
      <c r="E26" s="4" t="s">
        <v>43</v>
      </c>
    </row>
    <row r="27" customFormat="false" ht="15" hidden="false" customHeight="false" outlineLevel="0" collapsed="false">
      <c r="A27" s="4" t="s">
        <v>3886</v>
      </c>
      <c r="B27" s="4" t="s">
        <v>3887</v>
      </c>
      <c r="C27" s="4" t="s">
        <v>216</v>
      </c>
      <c r="D27" s="4"/>
      <c r="E27" s="4" t="s">
        <v>43</v>
      </c>
    </row>
    <row r="28" customFormat="false" ht="15" hidden="false" customHeight="false" outlineLevel="0" collapsed="false">
      <c r="A28" s="4" t="s">
        <v>3886</v>
      </c>
      <c r="B28" s="4" t="s">
        <v>3888</v>
      </c>
      <c r="C28" s="4" t="s">
        <v>190</v>
      </c>
      <c r="D28" s="4" t="s">
        <v>49</v>
      </c>
      <c r="E28" s="4"/>
    </row>
    <row r="29" customFormat="false" ht="15" hidden="false" customHeight="false" outlineLevel="0" collapsed="false">
      <c r="A29" s="4" t="s">
        <v>3886</v>
      </c>
      <c r="B29" s="4" t="s">
        <v>3889</v>
      </c>
      <c r="C29" s="4" t="s">
        <v>216</v>
      </c>
      <c r="D29" s="4"/>
      <c r="E29" s="4"/>
    </row>
    <row r="30" customFormat="false" ht="15" hidden="false" customHeight="false" outlineLevel="0" collapsed="false">
      <c r="A30" s="4" t="s">
        <v>3886</v>
      </c>
      <c r="B30" s="4" t="s">
        <v>3890</v>
      </c>
      <c r="C30" s="4" t="s">
        <v>216</v>
      </c>
      <c r="D30" s="4" t="s">
        <v>190</v>
      </c>
      <c r="E30" s="4"/>
    </row>
    <row r="31" customFormat="false" ht="15" hidden="false" customHeight="false" outlineLevel="0" collapsed="false">
      <c r="A31" s="4" t="s">
        <v>3886</v>
      </c>
      <c r="B31" s="4" t="s">
        <v>3891</v>
      </c>
      <c r="C31" s="4" t="s">
        <v>190</v>
      </c>
      <c r="D31" s="4" t="s">
        <v>49</v>
      </c>
      <c r="E31" s="4"/>
    </row>
    <row r="32" customFormat="false" ht="15" hidden="false" customHeight="false" outlineLevel="0" collapsed="false">
      <c r="A32" s="4" t="s">
        <v>3886</v>
      </c>
      <c r="B32" s="4" t="s">
        <v>3050</v>
      </c>
      <c r="C32" s="4" t="s">
        <v>49</v>
      </c>
      <c r="D32" s="4"/>
      <c r="E32" s="4" t="s">
        <v>43</v>
      </c>
    </row>
    <row r="33" customFormat="false" ht="15" hidden="false" customHeight="false" outlineLevel="0" collapsed="false">
      <c r="A33" s="4" t="s">
        <v>3886</v>
      </c>
      <c r="B33" s="4" t="s">
        <v>1977</v>
      </c>
      <c r="C33" s="4" t="s">
        <v>216</v>
      </c>
      <c r="D33" s="4" t="s">
        <v>184</v>
      </c>
      <c r="E33" s="4" t="s">
        <v>43</v>
      </c>
    </row>
    <row r="34" customFormat="false" ht="15" hidden="false" customHeight="false" outlineLevel="0" collapsed="false">
      <c r="A34" s="4" t="s">
        <v>3886</v>
      </c>
      <c r="B34" s="18" t="s">
        <v>3892</v>
      </c>
      <c r="C34" s="4" t="s">
        <v>184</v>
      </c>
      <c r="D34" s="4"/>
      <c r="E34" s="4" t="s">
        <v>43</v>
      </c>
    </row>
    <row r="35" customFormat="false" ht="15" hidden="false" customHeight="false" outlineLevel="0" collapsed="false">
      <c r="A35" s="4" t="s">
        <v>3886</v>
      </c>
      <c r="B35" s="4" t="s">
        <v>3893</v>
      </c>
      <c r="C35" s="4" t="s">
        <v>216</v>
      </c>
      <c r="D35" s="4" t="s">
        <v>190</v>
      </c>
      <c r="E3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2026-09-23T23:08:09Z</dcterms:created>
  <dc:creator>openpyxl</dc:creator>
  <dc:description/>
  <dc:language>en-US</dc:language>
  <cp:lastModifiedBy/>
  <dcterms:modified xsi:type="dcterms:W3CDTF">2026-09-23T23:08:10Z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